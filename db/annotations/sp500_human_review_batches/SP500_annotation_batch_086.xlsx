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682e26563a48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086" sheetId="1" r:id="Rf40edc7774ee43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sz val="11"/>
      <x:color rgb="375623"/>
      <x:name val="Carlito"/>
    </x:font>
    <x:font>
      <x:sz val="11"/>
      <x:color rgb="9C000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70AD47"/>
      </x:patternFill>
    </x:fill>
    <x:fill>
      <x:patternFill patternType="solid">
        <x:fgColor rgb="E2F0D9"/>
      </x:patternFill>
    </x:fill>
    <x:fill>
      <x:patternFill patternType="solid">
        <x:fgColor rgb="FCE4D6"/>
      </x:patternFill>
    </x:fill>
    <x:fill>
      <x:patternFill patternType="solid">
        <x:fgColor rgb="F2F2F2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wrapText="1"/>
    </x:xf>
    <x:xf numFmtId="201" fontId="0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9c50fe88974495" /><Relationship Type="http://schemas.openxmlformats.org/officeDocument/2006/relationships/theme" Target="/xl/theme/theme1.xml" Id="R82dd8ad254c0414a" /><Relationship Type="http://schemas.openxmlformats.org/officeDocument/2006/relationships/sharedStrings" Target="/xl/sharedStrings.xml" Id="R59f5545a80424287" /><Relationship Type="http://schemas.openxmlformats.org/officeDocument/2006/relationships/worksheet" Target="/xl/worksheets/sheet1.xml" Id="Rf40edc7774ee431a" /></Relationships>
</file>

<file path=xl/tables/table1.xml><?xml version="1.0" encoding="utf-8"?>
<x:table xmlns:x="http://schemas.openxmlformats.org/spreadsheetml/2006/main" id="1" name="AnnotationTable_086" displayName="AnnotationTable_086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c426c162655467d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12" hidden="0" customWidth="1"/>
    <x:col min="4" max="4" width="48" hidden="0" customWidth="1"/>
    <x:col min="5" max="5" width="48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48" hidden="0" customWidth="1"/>
    <x:col min="11" max="11" width="18" hidden="0" customWidth="1"/>
    <x:col min="12" max="12" width="42" hidden="0" customWidth="1"/>
    <x:col min="14" max="14" width="18" hidden="0" customWidth="1"/>
    <x:col min="15" max="15" width="14" hidden="0" customWidth="1"/>
  </x:cols>
  <x:sheetData>
    <x:row r="1" ht="28" customHeight="1">
      <x:c r="A1" s="16" t="str">
        <x:v>annotation_id</x:v>
      </x:c>
      <x:c r="B1" s="16" t="str">
        <x:v>sample_id</x:v>
      </x:c>
      <x:c r="C1" s="16" t="str">
        <x:v>date</x:v>
      </x:c>
      <x:c r="D1" s="16" t="str">
        <x:v>text_en</x:v>
      </x:c>
      <x:c r="E1" s="16" t="str">
        <x:v>text_tr</x:v>
      </x:c>
      <x:c r="F1" s="16" t="str">
        <x:v>finbert_label</x:v>
      </x:c>
      <x:c r="G1" s="16" t="str">
        <x:v>finbert_confidence</x:v>
      </x:c>
      <x:c r="H1" s="16" t="str">
        <x:v>chatgpt_label</x:v>
      </x:c>
      <x:c r="I1" s="16" t="str">
        <x:v>chatgpt_confidence</x:v>
      </x:c>
      <x:c r="J1" s="16" t="str">
        <x:v>chatgpt_reason_tr</x:v>
      </x:c>
      <x:c r="K1" s="16" t="str">
        <x:v>finbert_correctness</x:v>
      </x:c>
      <x:c r="L1" s="16" t="str">
        <x:v>finbert_correctness_note</x:v>
      </x:c>
      <x:c r="M1" s="17"/>
      <x:c r="N1" s="18" t="str">
        <x:v>Özet</x:v>
      </x:c>
      <x:c r="O1" s="18" t="str">
        <x:v>Değer</x:v>
      </x:c>
    </x:row>
    <x:row r="2" ht="72" customHeight="1">
      <x:c r="A2" s="17" t="str">
        <x:v>SP500_ANN_0851</x:v>
      </x:c>
      <x:c r="B2" s="17" t="str">
        <x:v>SP500_HEAD_012960</x:v>
      </x:c>
      <x:c r="C2" s="17" t="str">
        <x:v>2023-02-23</x:v>
      </x:c>
      <x:c r="D2" s="17" t="str">
        <x:v>Should Invesco S&amp;P 500 High Dividend Low Volatility ETF (SPHD) Be on Your Investing Radar?</x:v>
      </x:c>
      <x:c r="E2" s="17" t="str">
        <x:v>Invesco S&amp;P 500 High Dividend Low Volatility ETF radarınızda olmalı mı?</x:v>
      </x:c>
      <x:c r="F2" s="17" t="str">
        <x:v>neutral</x:v>
      </x:c>
      <x:c r="G2" s="17" t="n">
        <x:v>0.898</x:v>
      </x:c>
      <x:c r="H2" s="17" t="str">
        <x:v>neutral</x:v>
      </x:c>
      <x:c r="I2" s="17" t="str">
        <x:v>high</x:v>
      </x:c>
      <x:c r="J2" s="17" t="str">
        <x:v>Soru/ürün incelemesi; yönlü duygu yok.</x:v>
      </x:c>
      <x:c r="K2" s="27" t="str">
        <x:v>correct</x:v>
      </x:c>
      <x:c r="L2" s="17" t="str">
        <x:v>FinBERT etiketi final etiket ile aynı.</x:v>
      </x:c>
      <x:c r="M2" s="17"/>
      <x:c r="N2" s="34" t="str">
        <x:v>Toplam örnek</x:v>
      </x:c>
      <x:c r="O2" s="35" t="n">
        <x:f>COUNTA(A2:A11)</x:f>
        <x:v>10</x:v>
      </x:c>
    </x:row>
    <x:row r="3" ht="72" customHeight="1">
      <x:c r="A3" s="17" t="str">
        <x:v>SP500_ANN_0852</x:v>
      </x:c>
      <x:c r="B3" s="17" t="str">
        <x:v>SP500_HEAD_010920</x:v>
      </x:c>
      <x:c r="C3" s="17" t="str">
        <x:v>2022-05-18</x:v>
      </x:c>
      <x:c r="D3" s="17" t="str">
        <x:v>Tesla got booted from S&amp;P 500 ESG index and Musk is mad</x:v>
      </x:c>
      <x:c r="E3" s="17" t="str">
        <x:v>Tesla S&amp;P 500 ESG endeksinden çıkarıldı ve Musk kızgın.</x:v>
      </x:c>
      <x:c r="F3" s="17" t="str">
        <x:v>neutral</x:v>
      </x:c>
      <x:c r="G3" s="17" t="n">
        <x:v>0.843</x:v>
      </x:c>
      <x:c r="H3" s="17" t="str">
        <x:v>negative</x:v>
      </x:c>
      <x:c r="I3" s="17" t="str">
        <x:v>high</x:v>
      </x:c>
      <x:c r="J3" s="17" t="str">
        <x:v>Endeksten çıkarılma ve olumsuz tepki şirket açısından negatif.</x:v>
      </x:c>
      <x:c r="K3" s="31" t="str">
        <x:v>wrong</x:v>
      </x:c>
      <x:c r="L3" s="17" t="str">
        <x:v>FinBERT neutral demiş; final etiket negative. Başlıktaki baskın sinyal farklı yorumlanmalı.</x:v>
      </x:c>
      <x:c r="M3" s="17"/>
      <x:c r="N3" s="34" t="str">
        <x:v>FinBERT doğru</x:v>
      </x:c>
      <x:c r="O3" s="35" t="n">
        <x:f>COUNTIF(K2:K11,"correct")</x:f>
        <x:v>9</x:v>
      </x:c>
    </x:row>
    <x:row r="4" ht="72" customHeight="1">
      <x:c r="A4" s="17" t="str">
        <x:v>SP500_ANN_0853</x:v>
      </x:c>
      <x:c r="B4" s="17" t="str">
        <x:v>SP500_HEAD_004111</x:v>
      </x:c>
      <x:c r="C4" s="17" t="str">
        <x:v>2015-12-24</x:v>
      </x:c>
      <x:c r="D4" s="17" t="str">
        <x:v>S&amp;P 500 ends holiday-shortened week up nearly 3 percent</x:v>
      </x:c>
      <x:c r="E4" s="17" t="str">
        <x:v>S&amp;P 500 tatil nedeniyle kısa haftayı yaklaşık %3 yükselişle bitirdi.</x:v>
      </x:c>
      <x:c r="F4" s="17" t="str">
        <x:v>positive</x:v>
      </x:c>
      <x:c r="G4" s="17" t="n">
        <x:v>0.863</x:v>
      </x:c>
      <x:c r="H4" s="17" t="str">
        <x:v>positive</x:v>
      </x:c>
      <x:c r="I4" s="17" t="str">
        <x:v>high</x:v>
      </x:c>
      <x:c r="J4" s="17" t="str">
        <x:v>Haftalık yükseliş açık olumlu.</x:v>
      </x:c>
      <x:c r="K4" s="27" t="str">
        <x:v>correct</x:v>
      </x:c>
      <x:c r="L4" s="17" t="str">
        <x:v>FinBERT etiketi final etiket ile aynı.</x:v>
      </x:c>
      <x:c r="M4" s="17"/>
      <x:c r="N4" s="34" t="str">
        <x:v>FinBERT yanlış</x:v>
      </x:c>
      <x:c r="O4" s="35" t="n">
        <x:f>COUNTIF(K2:K11,"wrong")</x:f>
        <x:v>1</x:v>
      </x:c>
    </x:row>
    <x:row r="5" ht="72" customHeight="1">
      <x:c r="A5" s="17" t="str">
        <x:v>SP500_ANN_0854</x:v>
      </x:c>
      <x:c r="B5" s="17" t="str">
        <x:v>SP500_HEAD_009171</x:v>
      </x:c>
      <x:c r="C5" s="17" t="str">
        <x:v>2021-04-19</x:v>
      </x:c>
      <x:c r="D5" s="17" t="str">
        <x:v>VIX ETFs Surge Over 6% as Stocks Fall and Volatility Expands</x:v>
      </x:c>
      <x:c r="E5" s="17" t="str">
        <x:v>Hisseler düşerken ve volatilite artarken VIX ETF’leri %6’dan fazla yükseldi.</x:v>
      </x:c>
      <x:c r="F5" s="17" t="str">
        <x:v>negative</x:v>
      </x:c>
      <x:c r="G5" s="17" t="n">
        <x:v>0.682</x:v>
      </x:c>
      <x:c r="H5" s="17" t="str">
        <x:v>negative</x:v>
      </x:c>
      <x:c r="I5" s="17" t="str">
        <x:v>high</x:v>
      </x:c>
      <x:c r="J5" s="17" t="str">
        <x:v>Hisse düşüşü ve volatilite artışı negatif piyasa sinyali.</x:v>
      </x:c>
      <x:c r="K5" s="27" t="str">
        <x:v>correct</x:v>
      </x:c>
      <x:c r="L5" s="17" t="str">
        <x:v>FinBERT etiketi final etiket ile aynı.</x:v>
      </x:c>
      <x:c r="M5" s="17"/>
      <x:c r="N5" s="34" t="str">
        <x:v>Doğruluk oranı</x:v>
      </x:c>
      <x:c r="O5" s="36" t="n">
        <x:f>O3/O2</x:f>
        <x:v>0.9</x:v>
      </x:c>
    </x:row>
    <x:row r="6" ht="72" customHeight="1">
      <x:c r="A6" s="17" t="str">
        <x:v>SP500_ANN_0855</x:v>
      </x:c>
      <x:c r="B6" s="17" t="str">
        <x:v>SP500_HEAD_009884</x:v>
      </x:c>
      <x:c r="C6" s="17" t="str">
        <x:v>2021-11-18</x:v>
      </x:c>
      <x:c r="D6" s="17" t="str">
        <x:v>Motilal Oswal MSCI EAFE Top 100 Select Index Fund Review</x:v>
      </x:c>
      <x:c r="E6" s="17" t="str">
        <x:v>Motilal Oswal MSCI EAFE Top 100 Select Endeks Fonu incelemesi.</x:v>
      </x:c>
      <x:c r="F6" s="17" t="str">
        <x:v>neutral</x:v>
      </x:c>
      <x:c r="G6" s="17" t="n">
        <x:v>0.902</x:v>
      </x:c>
      <x:c r="H6" s="17" t="str">
        <x:v>neutral</x:v>
      </x:c>
      <x:c r="I6" s="17" t="str">
        <x:v>high</x:v>
      </x:c>
      <x:c r="J6" s="17" t="str">
        <x:v>Fon incelemesi; net piyasa yönü yok.</x:v>
      </x:c>
      <x:c r="K6" s="27" t="str">
        <x:v>correct</x:v>
      </x:c>
      <x:c r="L6" s="17" t="str">
        <x:v>FinBERT etiketi final etiket ile aynı.</x:v>
      </x:c>
      <x:c r="M6" s="17"/>
      <x:c r="N6" s="17"/>
      <x:c r="O6" s="17"/>
    </x:row>
    <x:row r="7" ht="72" customHeight="1">
      <x:c r="A7" s="17" t="str">
        <x:v>SP500_ANN_0856</x:v>
      </x:c>
      <x:c r="B7" s="17" t="str">
        <x:v>SP500_HEAD_008313</x:v>
      </x:c>
      <x:c r="C7" s="17" t="str">
        <x:v>2020-08-27</x:v>
      </x:c>
      <x:c r="D7" s="17" t="str">
        <x:v>CBOE launches S&amp;P 500 ESG Index Options - PA Future</x:v>
      </x:c>
      <x:c r="E7" s="17" t="str">
        <x:v>CBOE, S&amp;P 500 ESG Endeks opsiyonlarını başlattı.</x:v>
      </x:c>
      <x:c r="F7" s="17" t="str">
        <x:v>neutral</x:v>
      </x:c>
      <x:c r="G7" s="17" t="n">
        <x:v>0.905</x:v>
      </x:c>
      <x:c r="H7" s="17" t="str">
        <x:v>neutral</x:v>
      </x:c>
      <x:c r="I7" s="17" t="str">
        <x:v>high</x:v>
      </x:c>
      <x:c r="J7" s="17" t="str">
        <x:v>Ürün lansmanı; piyasa duyarlılığı sınırlı.</x:v>
      </x:c>
      <x:c r="K7" s="27" t="str">
        <x:v>correct</x:v>
      </x:c>
      <x:c r="L7" s="17" t="str">
        <x:v>FinBERT etiketi final etiket ile aynı.</x:v>
      </x:c>
      <x:c r="M7" s="17"/>
      <x:c r="N7" s="17"/>
      <x:c r="O7" s="17"/>
    </x:row>
    <x:row r="8" ht="72" customHeight="1">
      <x:c r="A8" s="17" t="str">
        <x:v>SP500_ANN_0857</x:v>
      </x:c>
      <x:c r="B8" s="17" t="str">
        <x:v>SP500_HEAD_008387</x:v>
      </x:c>
      <x:c r="C8" s="17" t="str">
        <x:v>2020-09-16</x:v>
      </x:c>
      <x:c r="D8" s="17" t="str">
        <x:v>S&amp;P 500 Price Forecast – Stock Markets Run Into Brick Wall</x:v>
      </x:c>
      <x:c r="E8" s="17" t="str">
        <x:v>S&amp;P 500 fiyat tahmini: borsalar duvara tosladı.</x:v>
      </x:c>
      <x:c r="F8" s="17" t="str">
        <x:v>negative</x:v>
      </x:c>
      <x:c r="G8" s="17" t="n">
        <x:v>0.738</x:v>
      </x:c>
      <x:c r="H8" s="17" t="str">
        <x:v>negative</x:v>
      </x:c>
      <x:c r="I8" s="17" t="str">
        <x:v>high</x:v>
      </x:c>
      <x:c r="J8" s="17" t="str">
        <x:v>Duvara toslama ifadesi negatif teknik sinyal.</x:v>
      </x:c>
      <x:c r="K8" s="27" t="str">
        <x:v>correct</x:v>
      </x:c>
      <x:c r="L8" s="17" t="str">
        <x:v>FinBERT etiketi final etiket ile aynı.</x:v>
      </x:c>
      <x:c r="M8" s="17"/>
      <x:c r="N8" s="17"/>
      <x:c r="O8" s="17"/>
    </x:row>
    <x:row r="9" ht="72" customHeight="1">
      <x:c r="A9" s="17" t="str">
        <x:v>SP500_ANN_0858</x:v>
      </x:c>
      <x:c r="B9" s="17" t="str">
        <x:v>SP500_HEAD_016836</x:v>
      </x:c>
      <x:c r="C9" s="17" t="str">
        <x:v>2023-12-11</x:v>
      </x:c>
      <x:c r="D9" s="17" t="str">
        <x:v>Oppenheimer’s Stoltzfus Sees Record High for S&amp;P 500 in 2024</x:v>
      </x:c>
      <x:c r="E9" s="17" t="str">
        <x:v>Oppenheimer’dan Stoltzfus, 2024’te S&amp;P 500 için rekor seviye bekliyor.</x:v>
      </x:c>
      <x:c r="F9" s="17" t="str">
        <x:v>positive</x:v>
      </x:c>
      <x:c r="G9" s="17" t="n">
        <x:v>0.849</x:v>
      </x:c>
      <x:c r="H9" s="17" t="str">
        <x:v>positive</x:v>
      </x:c>
      <x:c r="I9" s="17" t="str">
        <x:v>high</x:v>
      </x:c>
      <x:c r="J9" s="17" t="str">
        <x:v>Rekor seviye beklentisi olumlu.</x:v>
      </x:c>
      <x:c r="K9" s="27" t="str">
        <x:v>correct</x:v>
      </x:c>
      <x:c r="L9" s="17" t="str">
        <x:v>FinBERT etiketi final etiket ile aynı.</x:v>
      </x:c>
      <x:c r="M9" s="17"/>
      <x:c r="N9" s="17"/>
      <x:c r="O9" s="17"/>
    </x:row>
    <x:row r="10" ht="72" customHeight="1">
      <x:c r="A10" s="17" t="str">
        <x:v>SP500_ANN_0859</x:v>
      </x:c>
      <x:c r="B10" s="17" t="str">
        <x:v>SP500_HEAD_005820</x:v>
      </x:c>
      <x:c r="C10" s="17" t="str">
        <x:v>2018-04-03</x:v>
      </x:c>
      <x:c r="D10" s="17" t="str">
        <x:v>Stocks Poised for Bull Run in April Despite Monday Sell-Off</x:v>
      </x:c>
      <x:c r="E10" s="17" t="str">
        <x:v>Hisseler Pazartesi satışına rağmen Nisan’da boğa koşusuna hazır görünüyor.</x:v>
      </x:c>
      <x:c r="F10" s="17" t="str">
        <x:v>positive</x:v>
      </x:c>
      <x:c r="G10" s="17" t="n">
        <x:v>0.746</x:v>
      </x:c>
      <x:c r="H10" s="17" t="str">
        <x:v>positive</x:v>
      </x:c>
      <x:c r="I10" s="17" t="str">
        <x:v>medium</x:v>
      </x:c>
      <x:c r="J10" s="17" t="str">
        <x:v>Satışa rağmen boğa koşusu beklentisi olumlu.</x:v>
      </x:c>
      <x:c r="K10" s="27" t="str">
        <x:v>correct</x:v>
      </x:c>
      <x:c r="L10" s="17" t="str">
        <x:v>FinBERT etiketi final etiket ile aynı.</x:v>
      </x:c>
      <x:c r="M10" s="17"/>
      <x:c r="N10" s="17"/>
      <x:c r="O10" s="17"/>
    </x:row>
    <x:row r="11" ht="72" customHeight="1">
      <x:c r="A11" s="17" t="str">
        <x:v>SP500_ANN_0860</x:v>
      </x:c>
      <x:c r="B11" s="17" t="str">
        <x:v>SP500_HEAD_016778</x:v>
      </x:c>
      <x:c r="C11" s="17" t="str">
        <x:v>2023-12-07</x:v>
      </x:c>
      <x:c r="D11" s="17" t="str">
        <x:v>Nasdaq ends sharply higher as Alphabet and AMD fuel AI surge</x:v>
      </x:c>
      <x:c r="E11" s="17" t="str">
        <x:v>Nasdaq, Alphabet ve AMD’nin AI ivmesiyle sert yükselişle kapandı.</x:v>
      </x:c>
      <x:c r="F11" s="17" t="str">
        <x:v>positive</x:v>
      </x:c>
      <x:c r="G11" s="17" t="n">
        <x:v>0.84</x:v>
      </x:c>
      <x:c r="H11" s="17" t="str">
        <x:v>positive</x:v>
      </x:c>
      <x:c r="I11" s="17" t="str">
        <x:v>high</x:v>
      </x:c>
      <x:c r="J11" s="17" t="str">
        <x:v>Nasdaq’ın güçlü yükselişi olumlu.</x:v>
      </x:c>
      <x:c r="K11" s="27" t="str">
        <x:v>correct</x:v>
      </x:c>
      <x:c r="L11" s="17" t="str">
        <x:v>FinBERT etiketi final etiket ile aynı.</x:v>
      </x:c>
      <x:c r="M11" s="17"/>
      <x:c r="N11" s="17"/>
      <x:c r="O11" s="17"/>
    </x:row>
  </x:sheetData>
  <x:pageMargins left="0.7" right="0.7" top="0.75" bottom="0.75" header="0.3" footer="0.3"/>
  <x:tableParts count="1">
    <x:tablePart xmlns:r="http://schemas.openxmlformats.org/officeDocument/2006/relationships" r:id="R0c426c162655467d"/>
  </x:tableParts>
</x:worksheet>
</file>