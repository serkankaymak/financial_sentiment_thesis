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8433d50f6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cd547c37a0d1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27fd3bad54d3d" /><Relationship Type="http://schemas.openxmlformats.org/officeDocument/2006/relationships/theme" Target="/xl/theme/theme1.xml" Id="R46e8e023193a4cef" /><Relationship Type="http://schemas.openxmlformats.org/officeDocument/2006/relationships/sharedStrings" Target="/xl/sharedStrings.xml" Id="Re6815bc4c6924c42" /><Relationship Type="http://schemas.openxmlformats.org/officeDocument/2006/relationships/worksheet" Target="/xl/worksheets/sheet1.xml" Id="Rcd547c37a0d1426a" /></Relationships>
</file>

<file path=xl/tables/table1.xml><?xml version="1.0" encoding="utf-8"?>
<x:table xmlns:x="http://schemas.openxmlformats.org/spreadsheetml/2006/main" id="1" name="AnnotationTable" displayName="Annotation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be9f134da0423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6" hidden="0" customWidth="1"/>
    <x:col min="5" max="5" width="46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6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N1" s="14" t="str">
        <x:v>Özet</x:v>
      </x:c>
      <x:c r="O1" s="14" t="str">
        <x:v>Değer</x:v>
      </x:c>
    </x:row>
    <x:row r="2" ht="24" customHeight="1">
      <x:c r="A2" s="15" t="str">
        <x:v>SP500_ANN_0791</x:v>
      </x:c>
      <x:c r="B2" s="15" t="str">
        <x:v>SP500_HEAD_004945</x:v>
      </x:c>
      <x:c r="C2" s="15" t="str">
        <x:v>2017-01-20</x:v>
      </x:c>
      <x:c r="D2" s="15" t="str">
        <x:v>President Obama made one of history's greatest stock market calls in March 2009</x:v>
      </x:c>
      <x:c r="E2" s="15" t="str">
        <x:v>Obama, Mart 2009'da tarihin en iyi borsa çağrılarından birini yaptı.</x:v>
      </x:c>
      <x:c r="F2" s="15" t="str">
        <x:v>neutral</x:v>
      </x:c>
      <x:c r="G2" s="18" t="n">
        <x:v>0.856</x:v>
      </x:c>
      <x:c r="H2" s="15" t="str">
        <x:v>neutral</x:v>
      </x:c>
      <x:c r="I2" s="15" t="str">
        <x:v>medium</x:v>
      </x:c>
      <x:c r="J2" s="15" t="str">
        <x:v>Geçmişe dönük değerlendirme; güncel piyasa yönü yok.</x:v>
      </x:c>
      <x:c r="K2" s="15" t="str">
        <x:v>correct</x:v>
      </x:c>
      <x:c r="L2" s="15" t="str">
        <x:v>FinBERT etiketi final etiket ile aynı.</x:v>
      </x:c>
      <x:c r="N2" s="15" t="str">
        <x:v>Toplam örnek</x:v>
      </x:c>
      <x:c r="O2" s="15" t="n">
        <x:f>COUNTA(A2:A11)</x:f>
        <x:v>10</x:v>
      </x:c>
    </x:row>
    <x:row r="3" ht="24" customHeight="1">
      <x:c r="A3" s="15" t="str">
        <x:v>SP500_ANN_0792</x:v>
      </x:c>
      <x:c r="B3" s="15" t="str">
        <x:v>SP500_HEAD_014327</x:v>
      </x:c>
      <x:c r="C3" s="15" t="str">
        <x:v>2023-06-15</x:v>
      </x:c>
      <x:c r="D3" s="15" t="str">
        <x:v>NASDAQ 100, Dow Jones, S&amp;P 500: Dow Jones Surges Over 350 Points, S&amp;P 500 Hits 13-Month High</x:v>
      </x:c>
      <x:c r="E3" s="15" t="str">
        <x:v>Dow Jones 350 puandan fazla yükseldi; S&amp;P 500 13 ayın zirvesine çıktı.</x:v>
      </x:c>
      <x:c r="F3" s="15" t="str">
        <x:v>positive</x:v>
      </x:c>
      <x:c r="G3" s="18" t="n">
        <x:v>0.768</x:v>
      </x:c>
      <x:c r="H3" s="15" t="str">
        <x:v>positive</x:v>
      </x:c>
      <x:c r="I3" s="15" t="str">
        <x:v>high</x:v>
      </x:c>
      <x:c r="J3" s="15" t="str">
        <x:v>Endekslerde güçlü yükseliş ve yeni zirve var.</x:v>
      </x:c>
      <x:c r="K3" s="15" t="str">
        <x:v>correct</x:v>
      </x:c>
      <x:c r="L3" s="15" t="str">
        <x:v>FinBERT etiketi final etiket ile aynı.</x:v>
      </x:c>
      <x:c r="N3" s="15" t="str">
        <x:v>FinBERT doğru</x:v>
      </x:c>
      <x:c r="O3" s="15" t="n">
        <x:f>COUNTIF(K2:K11,"correct")</x:f>
        <x:v>10</x:v>
      </x:c>
    </x:row>
    <x:row r="4" ht="24" customHeight="1">
      <x:c r="A4" s="15" t="str">
        <x:v>SP500_ANN_0793</x:v>
      </x:c>
      <x:c r="B4" s="15" t="str">
        <x:v>SP500_HEAD_014705</x:v>
      </x:c>
      <x:c r="C4" s="15" t="str">
        <x:v>2023-07-17</x:v>
      </x:c>
      <x:c r="D4" s="15" t="str">
        <x:v>S&amp;P 500 (SPY) ETF: What's on the Horizon? - TipRanks.com</x:v>
      </x:c>
      <x:c r="E4" s="15" t="str">
        <x:v>S&amp;P 500 ETF'si için ufukta ne var?</x:v>
      </x:c>
      <x:c r="F4" s="15" t="str">
        <x:v>neutral</x:v>
      </x:c>
      <x:c r="G4" s="18" t="n">
        <x:v>0.938</x:v>
      </x:c>
      <x:c r="H4" s="15" t="str">
        <x:v>neutral</x:v>
      </x:c>
      <x:c r="I4" s="15" t="str">
        <x:v>high</x:v>
      </x:c>
      <x:c r="J4" s="15" t="str">
        <x:v>Soru/analiz başlığı; net yön yok.</x:v>
      </x:c>
      <x:c r="K4" s="15" t="str">
        <x:v>correct</x:v>
      </x:c>
      <x:c r="L4" s="15" t="str">
        <x:v>FinBERT etiketi final etiket ile aynı.</x:v>
      </x:c>
      <x:c r="N4" s="15" t="str">
        <x:v>FinBERT yanlış</x:v>
      </x:c>
      <x:c r="O4" s="15" t="n">
        <x:f>COUNTIF(K2:K11,"wrong")</x:f>
        <x:v>0</x:v>
      </x:c>
    </x:row>
    <x:row r="5" ht="24" customHeight="1">
      <x:c r="A5" s="15" t="str">
        <x:v>SP500_ANN_0794</x:v>
      </x:c>
      <x:c r="B5" s="15" t="str">
        <x:v>SP500_HEAD_017556</x:v>
      </x:c>
      <x:c r="C5" s="15" t="str">
        <x:v>2024-02-09</x:v>
      </x:c>
      <x:c r="D5" s="15" t="str">
        <x:v>Wall Street marks a milestone as the S&amp;P 500 closes above 5,000 for the first time</x:v>
      </x:c>
      <x:c r="E5" s="15" t="str">
        <x:v>Wall Street önemli eşiği gördü; S&amp;P 500 ilk kez 5.000 üzerinde kapandı.</x:v>
      </x:c>
      <x:c r="F5" s="15" t="str">
        <x:v>positive</x:v>
      </x:c>
      <x:c r="G5" s="18" t="n">
        <x:v>0.834</x:v>
      </x:c>
      <x:c r="H5" s="15" t="str">
        <x:v>positive</x:v>
      </x:c>
      <x:c r="I5" s="15" t="str">
        <x:v>high</x:v>
      </x:c>
      <x:c r="J5" s="15" t="str">
        <x:v>Endeksin tarihi eşik üstü kapanışı olumlu.</x:v>
      </x:c>
      <x:c r="K5" s="15" t="str">
        <x:v>correct</x:v>
      </x:c>
      <x:c r="L5" s="15" t="str">
        <x:v>FinBERT etiketi final etiket ile aynı.</x:v>
      </x:c>
      <x:c r="N5" s="15" t="str">
        <x:v>Doğruluk oranı</x:v>
      </x:c>
      <x:c r="O5" s="20" t="n">
        <x:f>IFERROR(O3/O2,0)</x:f>
        <x:v>1</x:v>
      </x:c>
    </x:row>
    <x:row r="6" ht="42" customHeight="1">
      <x:c r="A6" s="15" t="str">
        <x:v>SP500_ANN_0795</x:v>
      </x:c>
      <x:c r="B6" s="15" t="str">
        <x:v>SP500_HEAD_014801</x:v>
      </x:c>
      <x:c r="C6" s="15" t="str">
        <x:v>2023-07-21</x:v>
      </x:c>
      <x:c r="D6" s="15" t="str">
        <x:v>Wall St Week Ahead Relentless U.S. stock rally faces Fed test</x:v>
      </x:c>
      <x:c r="E6" s="15" t="str">
        <x:v>Kesintisiz ABD hisse rallisi Fed testiyle karşı karşıya.</x:v>
      </x:c>
      <x:c r="F6" s="15" t="str">
        <x:v>negative</x:v>
      </x:c>
      <x:c r="G6" s="18" t="n">
        <x:v>0.593</x:v>
      </x:c>
      <x:c r="H6" s="15" t="str">
        <x:v>negative</x:v>
      </x:c>
      <x:c r="I6" s="15" t="str">
        <x:v>medium</x:v>
      </x:c>
      <x:c r="J6" s="15" t="str">
        <x:v>Ralliye risk/test vurgusu temkinli negatif.</x:v>
      </x:c>
      <x:c r="K6" s="15" t="str">
        <x:v>correct</x:v>
      </x:c>
      <x:c r="L6" s="15" t="str">
        <x:v>FinBERT etiketi final etiket ile aynı.</x:v>
      </x:c>
    </x:row>
    <x:row r="7" ht="42" customHeight="1">
      <x:c r="A7" s="15" t="str">
        <x:v>SP500_ANN_0796</x:v>
      </x:c>
      <x:c r="B7" s="15" t="str">
        <x:v>SP500_HEAD_017125</x:v>
      </x:c>
      <x:c r="C7" s="15" t="str">
        <x:v>2024-01-02</x:v>
      </x:c>
      <x:c r="D7" s="15" t="str">
        <x:v>5 Dividend ETFs That Beat S&amp;P 500 in 2023</x:v>
      </x:c>
      <x:c r="E7" s="15" t="str">
        <x:v>2023'te S&amp;P 500'ü yenen beş temettü ETF'i.</x:v>
      </x:c>
      <x:c r="F7" s="15" t="str">
        <x:v>positive</x:v>
      </x:c>
      <x:c r="G7" s="18" t="n">
        <x:v>0.843</x:v>
      </x:c>
      <x:c r="H7" s="15" t="str">
        <x:v>positive</x:v>
      </x:c>
      <x:c r="I7" s="15" t="str">
        <x:v>high</x:v>
      </x:c>
      <x:c r="J7" s="15" t="str">
        <x:v>S&amp;P 500'ü aşan performans olumlu.</x:v>
      </x:c>
      <x:c r="K7" s="15" t="str">
        <x:v>correct</x:v>
      </x:c>
      <x:c r="L7" s="15" t="str">
        <x:v>FinBERT etiketi final etiket ile aynı.</x:v>
      </x:c>
    </x:row>
    <x:row r="8" ht="42" customHeight="1">
      <x:c r="A8" s="15" t="str">
        <x:v>SP500_ANN_0797</x:v>
      </x:c>
      <x:c r="B8" s="15" t="str">
        <x:v>SP500_HEAD_016380</x:v>
      </x:c>
      <x:c r="C8" s="15" t="str">
        <x:v>2023-11-09</x:v>
      </x:c>
      <x:c r="D8" s="15" t="str">
        <x:v>Rare stock-market event? Here's how many times the S&amp;P 500 has seen a 9-day winning streak in the last 95 years.</x:v>
      </x:c>
      <x:c r="E8" s="15" t="str">
        <x:v>S&amp;P 500'ün 95 yılda kaç kez 9 günlük kazanma serisi yaşadığına bakılıyor.</x:v>
      </x:c>
      <x:c r="F8" s="15" t="str">
        <x:v>neutral</x:v>
      </x:c>
      <x:c r="G8" s="18" t="n">
        <x:v>0.907</x:v>
      </x:c>
      <x:c r="H8" s="15" t="str">
        <x:v>neutral</x:v>
      </x:c>
      <x:c r="I8" s="15" t="str">
        <x:v>high</x:v>
      </x:c>
      <x:c r="J8" s="15" t="str">
        <x:v>İstatistiksel/bilgilendirici başlık; net yön yok.</x:v>
      </x:c>
      <x:c r="K8" s="15" t="str">
        <x:v>correct</x:v>
      </x:c>
      <x:c r="L8" s="15" t="str">
        <x:v>FinBERT etiketi final etiket ile aynı.</x:v>
      </x:c>
    </x:row>
    <x:row r="9" ht="42" customHeight="1">
      <x:c r="A9" s="15" t="str">
        <x:v>SP500_ANN_0798</x:v>
      </x:c>
      <x:c r="B9" s="15" t="str">
        <x:v>SP500_HEAD_008292</x:v>
      </x:c>
      <x:c r="C9" s="15" t="str">
        <x:v>2020-08-24</x:v>
      </x:c>
      <x:c r="D9" s="15" t="str">
        <x:v>US stocks join global rally amid COVID treatment hopes</x:v>
      </x:c>
      <x:c r="E9" s="15" t="str">
        <x:v>COVID tedavisi umutlarıyla ABD hisseleri küresel ralliye katıldı.</x:v>
      </x:c>
      <x:c r="F9" s="15" t="str">
        <x:v>positive</x:v>
      </x:c>
      <x:c r="G9" s="18" t="n">
        <x:v>0.572</x:v>
      </x:c>
      <x:c r="H9" s="15" t="str">
        <x:v>positive</x:v>
      </x:c>
      <x:c r="I9" s="15" t="str">
        <x:v>high</x:v>
      </x:c>
      <x:c r="J9" s="15" t="str">
        <x:v>Küresel ralli ve umutlar açık olumlu.</x:v>
      </x:c>
      <x:c r="K9" s="15" t="str">
        <x:v>correct</x:v>
      </x:c>
      <x:c r="L9" s="15" t="str">
        <x:v>FinBERT etiketi final etiket ile aynı.</x:v>
      </x:c>
    </x:row>
    <x:row r="10" ht="42" customHeight="1">
      <x:c r="A10" s="15" t="str">
        <x:v>SP500_ANN_0799</x:v>
      </x:c>
      <x:c r="B10" s="15" t="str">
        <x:v>SP500_HEAD_007498</x:v>
      </x:c>
      <x:c r="C10" s="15" t="str">
        <x:v>2020-02-24</x:v>
      </x:c>
      <x:c r="D10" s="15" t="str">
        <x:v>U.S. Stocks Plunge as Coronavirus Crisis Spreads</x:v>
      </x:c>
      <x:c r="E10" s="15" t="str">
        <x:v>Koronavirüs krizi yayılırken ABD hisseleri sert düştü.</x:v>
      </x:c>
      <x:c r="F10" s="15" t="str">
        <x:v>negative</x:v>
      </x:c>
      <x:c r="G10" s="18" t="n">
        <x:v>0.95</x:v>
      </x:c>
      <x:c r="H10" s="15" t="str">
        <x:v>negative</x:v>
      </x:c>
      <x:c r="I10" s="15" t="str">
        <x:v>high</x:v>
      </x:c>
      <x:c r="J10" s="15" t="str">
        <x:v>Plunge/sert düşüş açık negatif.</x:v>
      </x:c>
      <x:c r="K10" s="15" t="str">
        <x:v>correct</x:v>
      </x:c>
      <x:c r="L10" s="15" t="str">
        <x:v>FinBERT etiketi final etiket ile aynı.</x:v>
      </x:c>
    </x:row>
    <x:row r="11" ht="42" customHeight="1">
      <x:c r="A11" s="15" t="str">
        <x:v>SP500_ANN_0800</x:v>
      </x:c>
      <x:c r="B11" s="15" t="str">
        <x:v>SP500_HEAD_000944</x:v>
      </x:c>
      <x:c r="C11" s="15" t="str">
        <x:v>2011-12-08</x:v>
      </x:c>
      <x:c r="D11" s="15" t="str">
        <x:v>Spotify founder: I’m not music industry’s savior</x:v>
      </x:c>
      <x:c r="E11" s="15" t="str">
        <x:v>Spotify kurucusu: müzik endüstrisinin kurtarıcısı değilim.</x:v>
      </x:c>
      <x:c r="F11" s="15" t="str">
        <x:v>neutral</x:v>
      </x:c>
      <x:c r="G11" s="18" t="n">
        <x:v>0.878</x:v>
      </x:c>
      <x:c r="H11" s="15" t="str">
        <x:v>neutral</x:v>
      </x:c>
      <x:c r="I11" s="15" t="str">
        <x:v>high</x:v>
      </x:c>
      <x:c r="J11" s="15" t="str">
        <x:v>Piyasa/finans yönüyle ilgili değil.</x:v>
      </x:c>
      <x:c r="K11" s="15" t="str">
        <x:v>correct</x:v>
      </x:c>
      <x:c r="L11" s="15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be9f134da04239"/>
  </x:tableParts>
</x:worksheet>
</file>