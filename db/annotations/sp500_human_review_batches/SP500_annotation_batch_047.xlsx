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d1d8e8be3f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47" sheetId="1" r:id="R28b15f0d70074d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0.0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a8cc35d594a90" /><Relationship Type="http://schemas.openxmlformats.org/officeDocument/2006/relationships/theme" Target="/xl/theme/theme1.xml" Id="R899d597804b547f2" /><Relationship Type="http://schemas.openxmlformats.org/officeDocument/2006/relationships/sharedStrings" Target="/xl/sharedStrings.xml" Id="R0c95ebc947ea4b84" /><Relationship Type="http://schemas.openxmlformats.org/officeDocument/2006/relationships/worksheet" Target="/xl/worksheets/sheet1.xml" Id="R28b15f0d70074d6b" /></Relationships>
</file>

<file path=xl/tables/table1.xml><?xml version="1.0" encoding="utf-8"?>
<x:table xmlns:x="http://schemas.openxmlformats.org/spreadsheetml/2006/main" id="1" name="Batch047Table" displayName="Batch047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8551acbe8b4fc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2" customHeight="1">
      <x:c r="A1" s="24" t="str">
        <x:v>annotation_id</x:v>
      </x:c>
      <x:c r="B1" s="24" t="str">
        <x:v>sample_id</x:v>
      </x:c>
      <x:c r="C1" s="24" t="str">
        <x:v>date</x:v>
      </x:c>
      <x:c r="D1" s="24" t="str">
        <x:v>text_en</x:v>
      </x:c>
      <x:c r="E1" s="24" t="str">
        <x:v>text_tr</x:v>
      </x:c>
      <x:c r="F1" s="24" t="str">
        <x:v>finbert_label</x:v>
      </x:c>
      <x:c r="G1" s="24" t="str">
        <x:v>finbert_confidence</x:v>
      </x:c>
      <x:c r="H1" s="24" t="str">
        <x:v>chatgpt_label</x:v>
      </x:c>
      <x:c r="I1" s="24" t="str">
        <x:v>chatgpt_confidence</x:v>
      </x:c>
      <x:c r="J1" s="24" t="str">
        <x:v>chatgpt_reason_tr</x:v>
      </x:c>
      <x:c r="K1" s="24" t="str">
        <x:v>finbert_correctness</x:v>
      </x:c>
      <x:c r="L1" s="24" t="str">
        <x:v>finbert_correctness_note</x:v>
      </x:c>
      <x:c r="M1" s="25" t="str"/>
      <x:c r="N1" s="26" t="str">
        <x:v>Özet</x:v>
      </x:c>
      <x:c r="O1" s="26" t="str">
        <x:v>Değer</x:v>
      </x:c>
    </x:row>
    <x:row r="2" ht="78" customHeight="1">
      <x:c r="A2" s="25" t="str">
        <x:v>SP500_ANN_0461</x:v>
      </x:c>
      <x:c r="B2" s="25" t="str">
        <x:v>SP500_HEAD_013511</x:v>
      </x:c>
      <x:c r="C2" s="25" t="str">
        <x:v>2023-04-05</x:v>
      </x:c>
      <x:c r="D2" s="25" t="str">
        <x:v>Top 10 Names in S&amp;P 500 Responsible for 90% of Q1 Gains</x:v>
      </x:c>
      <x:c r="E2" s="25" t="str">
        <x:v>S&amp;P 500'de ilk 10 isim birinci çeyrek kazançlarının %90'ından sorumlu.</x:v>
      </x:c>
      <x:c r="F2" s="25" t="str">
        <x:v>neutral</x:v>
      </x:c>
      <x:c r="G2" s="34" t="n">
        <x:v>0.909</x:v>
      </x:c>
      <x:c r="H2" s="25" t="str">
        <x:v>neutral</x:v>
      </x:c>
      <x:c r="I2" s="25" t="str">
        <x:v>medium</x:v>
      </x:c>
      <x:c r="J2" s="25" t="str">
        <x:v>Kazanç var ama yoğunlaşma vurgusu nedeniyle yönlü duygu net değil.</x:v>
      </x:c>
      <x:c r="K2" s="25" t="str">
        <x:v>correct</x:v>
      </x:c>
      <x:c r="L2" s="25" t="str">
        <x:v>FinBERT etiketi final etiket ile aynı.</x:v>
      </x:c>
      <x:c r="M2" s="25" t="str"/>
      <x:c r="N2" s="25" t="str">
        <x:v>Toplam örnek</x:v>
      </x:c>
      <x:c r="O2" s="30" t="n">
        <x:f>COUNTA(A2:A11)</x:f>
        <x:v>10</x:v>
      </x:c>
    </x:row>
    <x:row r="3" ht="78" customHeight="1">
      <x:c r="A3" s="25" t="str">
        <x:v>SP500_ANN_0462</x:v>
      </x:c>
      <x:c r="B3" s="25" t="str">
        <x:v>SP500_HEAD_006809</x:v>
      </x:c>
      <x:c r="C3" s="25" t="str">
        <x:v>2019-06-13</x:v>
      </x:c>
      <x:c r="D3" s="25" t="str">
        <x:v>Facebook gets dumped from an S&amp;P index that tracks socially responsible companies</x:v>
      </x:c>
      <x:c r="E3" s="25" t="str">
        <x:v>Facebook, sosyal sorumluluk şirketlerini izleyen bir S&amp;P endeksinden çıkarıldı.</x:v>
      </x:c>
      <x:c r="F3" s="25" t="str">
        <x:v>negative</x:v>
      </x:c>
      <x:c r="G3" s="34" t="n">
        <x:v>0.952</x:v>
      </x:c>
      <x:c r="H3" s="25" t="str">
        <x:v>negative</x:v>
      </x:c>
      <x:c r="I3" s="25" t="str">
        <x:v>high</x:v>
      </x:c>
      <x:c r="J3" s="25" t="str">
        <x:v>Endeksten çıkarılma ve olumsuz ESG bağlamı negatif.</x:v>
      </x:c>
      <x:c r="K3" s="25" t="str">
        <x:v>correct</x:v>
      </x:c>
      <x:c r="L3" s="25" t="str">
        <x:v>FinBERT etiketi final etiket ile aynı.</x:v>
      </x:c>
      <x:c r="M3" s="25" t="str"/>
      <x:c r="N3" s="25" t="str">
        <x:v>FinBERT doğru</x:v>
      </x:c>
      <x:c r="O3" s="30" t="n">
        <x:f>COUNTIF(K2:K11,"correct")</x:f>
        <x:v>8</x:v>
      </x:c>
    </x:row>
    <x:row r="4" ht="78" customHeight="1">
      <x:c r="A4" s="25" t="str">
        <x:v>SP500_ANN_0463</x:v>
      </x:c>
      <x:c r="B4" s="25" t="str">
        <x:v>SP500_HEAD_016344</x:v>
      </x:c>
      <x:c r="C4" s="25" t="str">
        <x:v>2023-11-07</x:v>
      </x:c>
      <x:c r="D4" s="25" t="str">
        <x:v>S&amp;P 500 Gains and Losses Today: Gen Digital's Customers, Revenue Advance</x:v>
      </x:c>
      <x:c r="E4" s="25" t="str">
        <x:v>S&amp;P 500 kazanan/kaybedenleri: Gen Digital'in müşterileri ve geliri arttı.</x:v>
      </x:c>
      <x:c r="F4" s="25" t="str">
        <x:v>negative</x:v>
      </x:c>
      <x:c r="G4" s="34" t="n">
        <x:v>0.567</x:v>
      </x:c>
      <x:c r="H4" s="25" t="str">
        <x:v>positive</x:v>
      </x:c>
      <x:c r="I4" s="25" t="str">
        <x:v>high</x:v>
      </x:c>
      <x:c r="J4" s="25" t="str">
        <x:v>Müşteri ve gelir artışı şirket açısından açık olumlu.</x:v>
      </x:c>
      <x:c r="K4" s="25" t="str">
        <x:v>wrong</x:v>
      </x:c>
      <x:c r="L4" s="25" t="str">
        <x:v>FinBERT negative demiş; final etiket positive.</x:v>
      </x:c>
      <x:c r="M4" s="25" t="str"/>
      <x:c r="N4" s="25" t="str">
        <x:v>FinBERT yanlış</x:v>
      </x:c>
      <x:c r="O4" s="30" t="n">
        <x:f>COUNTIF(K2:K11,"wrong")</x:f>
        <x:v>2</x:v>
      </x:c>
    </x:row>
    <x:row r="5" ht="78" customHeight="1">
      <x:c r="A5" s="25" t="str">
        <x:v>SP500_ANN_0464</x:v>
      </x:c>
      <x:c r="B5" s="25" t="str">
        <x:v>SP500_HEAD_006611</x:v>
      </x:c>
      <x:c r="C5" s="25" t="str">
        <x:v>2019-03-13</x:v>
      </x:c>
      <x:c r="D5" s="25" t="str">
        <x:v>Should You Buy the Vanguard S&amp;P 500 ETF? 3 Pros, 2 Cons</x:v>
      </x:c>
      <x:c r="E5" s="25" t="str">
        <x:v>Vanguard S&amp;P 500 ETF alınmalı mı? 3 artı, 2 eksi.</x:v>
      </x:c>
      <x:c r="F5" s="25" t="str">
        <x:v>neutral</x:v>
      </x:c>
      <x:c r="G5" s="34" t="n">
        <x:v>0.927</x:v>
      </x:c>
      <x:c r="H5" s="25" t="str">
        <x:v>neutral</x:v>
      </x:c>
      <x:c r="I5" s="25" t="str">
        <x:v>high</x:v>
      </x:c>
      <x:c r="J5" s="25" t="str">
        <x:v>Artı/eksi dengeli değerlendirme; net yön yok.</x:v>
      </x:c>
      <x:c r="K5" s="25" t="str">
        <x:v>correct</x:v>
      </x:c>
      <x:c r="L5" s="25" t="str">
        <x:v>FinBERT etiketi final etiket ile aynı.</x:v>
      </x:c>
      <x:c r="M5" s="25" t="str"/>
      <x:c r="N5" s="25" t="str">
        <x:v>Doğruluk oranı</x:v>
      </x:c>
      <x:c r="O5" s="32" t="n">
        <x:f>IF(O2=0,0,O3/O2)</x:f>
        <x:v>0.8</x:v>
      </x:c>
    </x:row>
    <x:row r="6" ht="78" customHeight="1">
      <x:c r="A6" s="25" t="str">
        <x:v>SP500_ANN_0465</x:v>
      </x:c>
      <x:c r="B6" s="25" t="str">
        <x:v>SP500_HEAD_006414</x:v>
      </x:c>
      <x:c r="C6" s="25" t="str">
        <x:v>2018-12-28</x:v>
      </x:c>
      <x:c r="D6" s="25" t="str">
        <x:v>Stocks Wobble as a Bumpy Week on Wall St. Comes to a Close (Published 2018)</x:v>
      </x:c>
      <x:c r="E6" s="25" t="str">
        <x:v>Wall Street'te dalgalı bir haftanın sonunda hisseler sendeledi.</x:v>
      </x:c>
      <x:c r="F6" s="25" t="str">
        <x:v>negative</x:v>
      </x:c>
      <x:c r="G6" s="34" t="n">
        <x:v>0.589</x:v>
      </x:c>
      <x:c r="H6" s="25" t="str">
        <x:v>negative</x:v>
      </x:c>
      <x:c r="I6" s="25" t="str">
        <x:v>high</x:v>
      </x:c>
      <x:c r="J6" s="25" t="str">
        <x:v>Sendeleme ve dalgalı haftanın negatif kapanışı olumsuz.</x:v>
      </x:c>
      <x:c r="K6" s="25" t="str">
        <x:v>correct</x:v>
      </x:c>
      <x:c r="L6" s="25" t="str">
        <x:v>FinBERT etiketi final etiket ile aynı.</x:v>
      </x:c>
      <x:c r="M6" s="25" t="str"/>
      <x:c r="N6" s="25" t="str"/>
      <x:c r="O6" s="25" t="str"/>
    </x:row>
    <x:row r="7" ht="78" customHeight="1">
      <x:c r="A7" s="25" t="str">
        <x:v>SP500_ANN_0466</x:v>
      </x:c>
      <x:c r="B7" s="25" t="str">
        <x:v>SP500_HEAD_014031</x:v>
      </x:c>
      <x:c r="C7" s="25" t="str">
        <x:v>2023-05-24</x:v>
      </x:c>
      <x:c r="D7" s="25" t="str">
        <x:v>Stock Market Today: Dow, S&amp;P Live Updates for May 25</x:v>
      </x:c>
      <x:c r="E7" s="25" t="str">
        <x:v>Borsa bugün: Dow ve S&amp;P canlı güncellemeleri, 25 Mayıs.</x:v>
      </x:c>
      <x:c r="F7" s="25" t="str">
        <x:v>neutral</x:v>
      </x:c>
      <x:c r="G7" s="34" t="n">
        <x:v>0.923</x:v>
      </x:c>
      <x:c r="H7" s="25" t="str">
        <x:v>neutral</x:v>
      </x:c>
      <x:c r="I7" s="25" t="str">
        <x:v>high</x:v>
      </x:c>
      <x:c r="J7" s="25" t="str">
        <x:v>Canlı güncelleme/kategori başlığı; net duygu yok.</x:v>
      </x:c>
      <x:c r="K7" s="25" t="str">
        <x:v>correct</x:v>
      </x:c>
      <x:c r="L7" s="25" t="str">
        <x:v>FinBERT etiketi final etiket ile aynı.</x:v>
      </x:c>
      <x:c r="M7" s="25" t="str"/>
      <x:c r="N7" s="25" t="str"/>
      <x:c r="O7" s="25" t="str"/>
    </x:row>
    <x:row r="8" ht="78" customHeight="1">
      <x:c r="A8" s="25" t="str">
        <x:v>SP500_ANN_0467</x:v>
      </x:c>
      <x:c r="B8" s="25" t="str">
        <x:v>SP500_HEAD_015288</x:v>
      </x:c>
      <x:c r="C8" s="25" t="str">
        <x:v>2023-08-24</x:v>
      </x:c>
      <x:c r="D8" s="25" t="str">
        <x:v>The 100 Largest Low-Wage Employers Have Spent $341 Billion on Stock Buybacks Since 2020</x:v>
      </x:c>
      <x:c r="E8" s="25" t="str">
        <x:v>En büyük 100 düşük ücretli işveren 2020'den beri hisse geri alımlarına 341 milyar dolar harcadı.</x:v>
      </x:c>
      <x:c r="F8" s="25" t="str">
        <x:v>neutral</x:v>
      </x:c>
      <x:c r="G8" s="34" t="n">
        <x:v>0.873</x:v>
      </x:c>
      <x:c r="H8" s="25" t="str">
        <x:v>neutral</x:v>
      </x:c>
      <x:c r="I8" s="25" t="str">
        <x:v>medium</x:v>
      </x:c>
      <x:c r="J8" s="25" t="str">
        <x:v>Sosyal/kurumsal eleştiri ima etse de piyasa yönü net değil.</x:v>
      </x:c>
      <x:c r="K8" s="25" t="str">
        <x:v>correct</x:v>
      </x:c>
      <x:c r="L8" s="25" t="str">
        <x:v>FinBERT etiketi final etiket ile aynı.</x:v>
      </x:c>
      <x:c r="M8" s="25" t="str"/>
      <x:c r="N8" s="25" t="str"/>
      <x:c r="O8" s="25" t="str"/>
    </x:row>
    <x:row r="9" ht="78" customHeight="1">
      <x:c r="A9" s="25" t="str">
        <x:v>SP500_ANN_0468</x:v>
      </x:c>
      <x:c r="B9" s="25" t="str">
        <x:v>SP500_HEAD_017407</x:v>
      </x:c>
      <x:c r="C9" s="25" t="str">
        <x:v>2024-01-24</x:v>
      </x:c>
      <x:c r="D9" s="25" t="str">
        <x:v>Tech giants drive fifth day of gains for Nasdaq, S&amp;P 500</x:v>
      </x:c>
      <x:c r="E9" s="25" t="str">
        <x:v>Teknoloji devleri Nasdaq ve S&amp;P 500'de beşinci yükseliş gününü sağladı.</x:v>
      </x:c>
      <x:c r="F9" s="25" t="str">
        <x:v>positive</x:v>
      </x:c>
      <x:c r="G9" s="34" t="n">
        <x:v>0.82</x:v>
      </x:c>
      <x:c r="H9" s="25" t="str">
        <x:v>positive</x:v>
      </x:c>
      <x:c r="I9" s="25" t="str">
        <x:v>high</x:v>
      </x:c>
      <x:c r="J9" s="25" t="str">
        <x:v>Beşinci gün kazanç ve teknoloji desteği açık pozitif.</x:v>
      </x:c>
      <x:c r="K9" s="25" t="str">
        <x:v>correct</x:v>
      </x:c>
      <x:c r="L9" s="25" t="str">
        <x:v>FinBERT etiketi final etiket ile aynı.</x:v>
      </x:c>
      <x:c r="M9" s="25" t="str"/>
      <x:c r="N9" s="25" t="str"/>
      <x:c r="O9" s="25" t="str"/>
    </x:row>
    <x:row r="10" ht="78" customHeight="1">
      <x:c r="A10" s="25" t="str">
        <x:v>SP500_ANN_0469</x:v>
      </x:c>
      <x:c r="B10" s="25" t="str">
        <x:v>SP500_HEAD_012483</x:v>
      </x:c>
      <x:c r="C10" s="25" t="str">
        <x:v>2023-01-09</x:v>
      </x:c>
      <x:c r="D10" s="25" t="str">
        <x:v>Now is an 'ideal' time for young people to start building wealth, says investing expert</x:v>
      </x:c>
      <x:c r="E10" s="25" t="str">
        <x:v>Yatırım uzmanına göre gençlerin servet oluşturmaya başlaması için şimdi ideal zaman.</x:v>
      </x:c>
      <x:c r="F10" s="25" t="str">
        <x:v>neutral</x:v>
      </x:c>
      <x:c r="G10" s="34" t="n">
        <x:v>0.587</x:v>
      </x:c>
      <x:c r="H10" s="25" t="str">
        <x:v>positive</x:v>
      </x:c>
      <x:c r="I10" s="25" t="str">
        <x:v>medium</x:v>
      </x:c>
      <x:c r="J10" s="25" t="str">
        <x:v>Yatırıma başlamak için olumlu zaman vurgusu var.</x:v>
      </x:c>
      <x:c r="K10" s="25" t="str">
        <x:v>wrong</x:v>
      </x:c>
      <x:c r="L10" s="25" t="str">
        <x:v>FinBERT neutral demiş; final etiket positive.</x:v>
      </x:c>
      <x:c r="M10" s="25" t="str"/>
      <x:c r="N10" s="25" t="str"/>
      <x:c r="O10" s="25" t="str"/>
    </x:row>
    <x:row r="11" ht="78" customHeight="1">
      <x:c r="A11" s="25" t="str">
        <x:v>SP500_ANN_0470</x:v>
      </x:c>
      <x:c r="B11" s="25" t="str">
        <x:v>SP500_HEAD_003869</x:v>
      </x:c>
      <x:c r="C11" s="25" t="str">
        <x:v>2015-09-04</x:v>
      </x:c>
      <x:c r="D11" s="25" t="str">
        <x:v>Stocks gain as European central bank says it's ready to act</x:v>
      </x:c>
      <x:c r="E11" s="25" t="str">
        <x:v>Avrupa Merkez Bankası harekete hazır olduğunu söylerken hisseler yükseldi.</x:v>
      </x:c>
      <x:c r="F11" s="25" t="str">
        <x:v>positive</x:v>
      </x:c>
      <x:c r="G11" s="34" t="n">
        <x:v>0.497</x:v>
      </x:c>
      <x:c r="H11" s="25" t="str">
        <x:v>positive</x:v>
      </x:c>
      <x:c r="I11" s="25" t="str">
        <x:v>high</x:v>
      </x:c>
      <x:c r="J11" s="25" t="str">
        <x:v>Hisselerin yükselmesi ve merkez bankası desteği olumlu.</x:v>
      </x:c>
      <x:c r="K11" s="25" t="str">
        <x:v>correct</x:v>
      </x:c>
      <x:c r="L11" s="25" t="str">
        <x:v>FinBERT etiketi final etiket ile aynı.</x:v>
      </x:c>
      <x:c r="M11" s="25" t="str"/>
      <x:c r="N11" s="25" t="str"/>
      <x:c r="O11" s="2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8551acbe8b4fc9"/>
  </x:tableParts>
</x:worksheet>
</file>