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a33c99cbc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27" sheetId="1" r:id="Ra2ed475b0ade44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8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b/>
      <x:sz val="10"/>
      <x:color rgb="FFFFFF"/>
      <x:name val="Calibri"/>
    </x:font>
    <x:font>
      <x:sz val="10"/>
      <x:name val="Calibri"/>
    </x:font>
    <x:font>
      <x:b/>
      <x:sz val="10"/>
      <x:color rgb="000000"/>
      <x:name val="Calibri"/>
    </x:font>
    <x:font>
      <x:sz val="10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7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274E13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deb63504844d3b" /><Relationship Type="http://schemas.openxmlformats.org/officeDocument/2006/relationships/theme" Target="/xl/theme/theme1.xml" Id="Rf6bbb7b378ae49cc" /><Relationship Type="http://schemas.openxmlformats.org/officeDocument/2006/relationships/sharedStrings" Target="/xl/sharedStrings.xml" Id="R58c4fa7285e74bd9" /><Relationship Type="http://schemas.openxmlformats.org/officeDocument/2006/relationships/worksheet" Target="/xl/worksheets/sheet1.xml" Id="Ra2ed475b0ade4447" /></Relationships>
</file>

<file path=xl/tables/table1.xml><?xml version="1.0" encoding="utf-8"?>
<x:table xmlns:x="http://schemas.openxmlformats.org/spreadsheetml/2006/main" id="1" name="AnnTable_027" displayName="AnnTable_027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f26151ced04e1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60" hidden="0" customWidth="1"/>
    <x:col min="5" max="5" width="60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60" hidden="0" customWidth="1"/>
    <x:col min="11" max="11" width="18" hidden="0" customWidth="1"/>
    <x:col min="12" max="12" width="50" hidden="0" customWidth="1"/>
    <x:col min="13" max="13" width="4" hidden="0" customWidth="1"/>
    <x:col min="14" max="14" width="20" hidden="0" customWidth="1"/>
    <x:col min="15" max="15" width="16" hidden="0" customWidth="1"/>
  </x:cols>
  <x:sheetData>
    <x:row r="1" ht="28" customHeight="1">
      <x:c r="A1" s="30" t="str">
        <x:v>annotation_id</x:v>
      </x:c>
      <x:c r="B1" s="30" t="str">
        <x:v>sample_id</x:v>
      </x:c>
      <x:c r="C1" s="30" t="str">
        <x:v>date</x:v>
      </x:c>
      <x:c r="D1" s="30" t="str">
        <x:v>text_en</x:v>
      </x:c>
      <x:c r="E1" s="30" t="str">
        <x:v>text_tr</x:v>
      </x:c>
      <x:c r="F1" s="30" t="str">
        <x:v>finbert_label</x:v>
      </x:c>
      <x:c r="G1" s="30" t="str">
        <x:v>finbert_confidence</x:v>
      </x:c>
      <x:c r="H1" s="30" t="str">
        <x:v>chatgpt_label</x:v>
      </x:c>
      <x:c r="I1" s="30" t="str">
        <x:v>chatgpt_confidence</x:v>
      </x:c>
      <x:c r="J1" s="30" t="str">
        <x:v>chatgpt_reason_tr</x:v>
      </x:c>
      <x:c r="K1" s="30" t="str">
        <x:v>finbert_correctness</x:v>
      </x:c>
      <x:c r="L1" s="30" t="str">
        <x:v>finbert_correctness_note</x:v>
      </x:c>
      <x:c r="M1" s="40" t="str"/>
      <x:c r="N1" s="30" t="str">
        <x:v>Özet</x:v>
      </x:c>
      <x:c r="O1" s="30" t="str">
        <x:v>Değer</x:v>
      </x:c>
    </x:row>
    <x:row r="2" ht="58" customHeight="1">
      <x:c r="A2" s="32" t="str">
        <x:v>SP500_ANN_0261</x:v>
      </x:c>
      <x:c r="B2" s="32" t="str">
        <x:v>SP500_HEAD_008584</x:v>
      </x:c>
      <x:c r="C2" s="42" t="n">
        <x:v>44138</x:v>
      </x:c>
      <x:c r="D2" s="32" t="str">
        <x:v>Hexcel Corporation Stock Has 25% Upside In The Near Term</x:v>
      </x:c>
      <x:c r="E2" s="32" t="str">
        <x:v>Hexcel Corporation hissesinde yakın vadede %25 yükseliş potansiyeli var.</x:v>
      </x:c>
      <x:c r="F2" s="32" t="str">
        <x:v>positive</x:v>
      </x:c>
      <x:c r="G2" s="44" t="n">
        <x:v>0.877</x:v>
      </x:c>
      <x:c r="H2" s="32" t="str">
        <x:v>positive</x:v>
      </x:c>
      <x:c r="I2" s="32" t="str">
        <x:v>high</x:v>
      </x:c>
      <x:c r="J2" s="32" t="str">
        <x:v>Belirgin upside beklentisi pozitif.</x:v>
      </x:c>
      <x:c r="K2" s="32" t="str">
        <x:v>correct</x:v>
      </x:c>
      <x:c r="L2" s="32" t="str">
        <x:v>FinBERT etiketi final etiket ile aynı.</x:v>
      </x:c>
      <x:c r="M2" s="31" t="str"/>
      <x:c r="N2" s="33" t="str">
        <x:v>Toplam örnek</x:v>
      </x:c>
      <x:c r="O2" s="34" t="n">
        <x:f>COUNTA(A2:A11)</x:f>
        <x:v>10</x:v>
      </x:c>
    </x:row>
    <x:row r="3" ht="58" customHeight="1">
      <x:c r="A3" s="32" t="str">
        <x:v>SP500_ANN_0262</x:v>
      </x:c>
      <x:c r="B3" s="32" t="str">
        <x:v>SP500_HEAD_007075</x:v>
      </x:c>
      <x:c r="C3" s="42" t="n">
        <x:v>43739</x:v>
      </x:c>
      <x:c r="D3" s="32" t="str">
        <x:v>Dow drops to start Q4, but there's a historical case to remain bullish on stocks in final trading quarter</x:v>
      </x:c>
      <x:c r="E3" s="32" t="str">
        <x:v>Dow dördüncü çeyreğe düşüşle başladı, ancak son çeyrekte hisseler için iyimser kalmaya tarihsel gerekçe var.</x:v>
      </x:c>
      <x:c r="F3" s="32" t="str">
        <x:v>negative</x:v>
      </x:c>
      <x:c r="G3" s="44" t="n">
        <x:v>0.572</x:v>
      </x:c>
      <x:c r="H3" s="32" t="str">
        <x:v>neutral</x:v>
      </x:c>
      <x:c r="I3" s="32" t="str">
        <x:v>medium</x:v>
      </x:c>
      <x:c r="J3" s="32" t="str">
        <x:v>Düşüş ve iyimser tarihsel argüman birlikte; net yön karışık.</x:v>
      </x:c>
      <x:c r="K3" s="32" t="str">
        <x:v>wrong</x:v>
      </x:c>
      <x:c r="L3" s="32" t="str">
        <x:v>FinBERT negative demiş; final etiket neutral.</x:v>
      </x:c>
      <x:c r="M3" s="31" t="str"/>
      <x:c r="N3" s="33" t="str">
        <x:v>FinBERT doğru</x:v>
      </x:c>
      <x:c r="O3" s="34" t="n">
        <x:f>COUNTIF(K2:K11,"correct")</x:f>
        <x:v>8</x:v>
      </x:c>
    </x:row>
    <x:row r="4" ht="58" customHeight="1">
      <x:c r="A4" s="32" t="str">
        <x:v>SP500_ANN_0263</x:v>
      </x:c>
      <x:c r="B4" s="32" t="str">
        <x:v>SP500_HEAD_013920</x:v>
      </x:c>
      <x:c r="C4" s="42" t="n">
        <x:v>45063</x:v>
      </x:c>
      <x:c r="D4" s="32" t="str">
        <x:v>Monthly Covered Call Commentary – Global X ETFs</x:v>
      </x:c>
      <x:c r="E4" s="32" t="str">
        <x:v>Aylık covered call yorumu – Global X ETF'leri.</x:v>
      </x:c>
      <x:c r="F4" s="32" t="str">
        <x:v>neutral</x:v>
      </x:c>
      <x:c r="G4" s="44" t="n">
        <x:v>0.945</x:v>
      </x:c>
      <x:c r="H4" s="32" t="str">
        <x:v>neutral</x:v>
      </x:c>
      <x:c r="I4" s="32" t="str">
        <x:v>high</x:v>
      </x:c>
      <x:c r="J4" s="32" t="str">
        <x:v>Genel yorum/rapor başlığı; net sentiment yok.</x:v>
      </x:c>
      <x:c r="K4" s="32" t="str">
        <x:v>correct</x:v>
      </x:c>
      <x:c r="L4" s="32" t="str">
        <x:v>FinBERT etiketi final etiket ile aynı.</x:v>
      </x:c>
      <x:c r="M4" s="31" t="str"/>
      <x:c r="N4" s="33" t="str">
        <x:v>FinBERT yanlış</x:v>
      </x:c>
      <x:c r="O4" s="34" t="n">
        <x:f>COUNTIF(K2:K11,"wrong")</x:f>
        <x:v>2</x:v>
      </x:c>
    </x:row>
    <x:row r="5" ht="58" customHeight="1">
      <x:c r="A5" s="32" t="str">
        <x:v>SP500_ANN_0264</x:v>
      </x:c>
      <x:c r="B5" s="32" t="str">
        <x:v>SP500_HEAD_006605</x:v>
      </x:c>
      <x:c r="C5" s="42" t="n">
        <x:v>43535</x:v>
      </x:c>
      <x:c r="D5" s="32" t="str">
        <x:v>SPDJI: The importance of sector selection over stock picking</x:v>
      </x:c>
      <x:c r="E5" s="32" t="str">
        <x:v>SPDJI: Hisse seçimine karşı sektör seçiminin önemi.</x:v>
      </x:c>
      <x:c r="F5" s="32" t="str">
        <x:v>neutral</x:v>
      </x:c>
      <x:c r="G5" s="44" t="n">
        <x:v>0.911</x:v>
      </x:c>
      <x:c r="H5" s="32" t="str">
        <x:v>neutral</x:v>
      </x:c>
      <x:c r="I5" s="32" t="str">
        <x:v>high</x:v>
      </x:c>
      <x:c r="J5" s="32" t="str">
        <x:v>Eğitici/strateji başlığı; yön yok.</x:v>
      </x:c>
      <x:c r="K5" s="32" t="str">
        <x:v>correct</x:v>
      </x:c>
      <x:c r="L5" s="32" t="str">
        <x:v>FinBERT etiketi final etiket ile aynı.</x:v>
      </x:c>
      <x:c r="M5" s="31" t="str"/>
      <x:c r="N5" s="33" t="str">
        <x:v>Doğruluk oranı</x:v>
      </x:c>
      <x:c r="O5" s="46" t="n">
        <x:f>O3/O2</x:f>
        <x:v>0.8</x:v>
      </x:c>
    </x:row>
    <x:row r="6" ht="58" customHeight="1">
      <x:c r="A6" s="32" t="str">
        <x:v>SP500_ANN_0265</x:v>
      </x:c>
      <x:c r="B6" s="32" t="str">
        <x:v>SP500_HEAD_009133</x:v>
      </x:c>
      <x:c r="C6" s="42" t="n">
        <x:v>44287</x:v>
      </x:c>
      <x:c r="D6" s="32" t="str">
        <x:v>Stock market news live updates: S&amp;P 500 tops 4000 for the first time, Nasdaq gains more than 1%</x:v>
      </x:c>
      <x:c r="E6" s="32" t="str">
        <x:v>S&amp;P 500 ilk kez 4000'in üzerine çıktı, Nasdaq %1'den fazla yükseldi.</x:v>
      </x:c>
      <x:c r="F6" s="32" t="str">
        <x:v>positive</x:v>
      </x:c>
      <x:c r="G6" s="44" t="n">
        <x:v>0.882</x:v>
      </x:c>
      <x:c r="H6" s="32" t="str">
        <x:v>positive</x:v>
      </x:c>
      <x:c r="I6" s="32" t="str">
        <x:v>high</x:v>
      </x:c>
      <x:c r="J6" s="32" t="str">
        <x:v>Yeni seviye ve endeks yükselişi açık pozitif.</x:v>
      </x:c>
      <x:c r="K6" s="32" t="str">
        <x:v>correct</x:v>
      </x:c>
      <x:c r="L6" s="32" t="str">
        <x:v>FinBERT etiketi final etiket ile aynı.</x:v>
      </x:c>
      <x:c r="M6" s="31" t="str"/>
      <x:c r="N6" s="31" t="str"/>
      <x:c r="O6" s="31" t="str"/>
    </x:row>
    <x:row r="7" ht="58" customHeight="1">
      <x:c r="A7" s="32" t="str">
        <x:v>SP500_ANN_0266</x:v>
      </x:c>
      <x:c r="B7" s="32" t="str">
        <x:v>SP500_HEAD_017293</x:v>
      </x:c>
      <x:c r="C7" s="42" t="n">
        <x:v>45307</x:v>
      </x:c>
      <x:c r="D7" s="32" t="str">
        <x:v>Analysts see over 7% upside in S&amp;P 500 amid small-cap rally</x:v>
      </x:c>
      <x:c r="E7" s="32" t="str">
        <x:v>Analistler küçük ölçekli hisse rallisi arasında S&amp;P 500'de %7'den fazla yükseliş potansiyeli görüyor.</x:v>
      </x:c>
      <x:c r="F7" s="32" t="str">
        <x:v>positive</x:v>
      </x:c>
      <x:c r="G7" s="44" t="n">
        <x:v>0.692</x:v>
      </x:c>
      <x:c r="H7" s="32" t="str">
        <x:v>positive</x:v>
      </x:c>
      <x:c r="I7" s="32" t="str">
        <x:v>high</x:v>
      </x:c>
      <x:c r="J7" s="32" t="str">
        <x:v>Analistlerin upside görmesi olumlu.</x:v>
      </x:c>
      <x:c r="K7" s="32" t="str">
        <x:v>correct</x:v>
      </x:c>
      <x:c r="L7" s="32" t="str">
        <x:v>FinBERT etiketi final etiket ile aynı.</x:v>
      </x:c>
      <x:c r="M7" s="31" t="str"/>
      <x:c r="N7" s="31" t="str"/>
      <x:c r="O7" s="31" t="str"/>
    </x:row>
    <x:row r="8" ht="58" customHeight="1">
      <x:c r="A8" s="32" t="str">
        <x:v>SP500_ANN_0267</x:v>
      </x:c>
      <x:c r="B8" s="32" t="str">
        <x:v>SP500_HEAD_014335</x:v>
      </x:c>
      <x:c r="C8" s="42" t="n">
        <x:v>45093</x:v>
      </x:c>
      <x:c r="D8" s="32" t="str">
        <x:v>The S&amp;P 493 is finally joining the S&amp;P 500's rally: Morning Brief</x:v>
      </x:c>
      <x:c r="E8" s="32" t="str">
        <x:v>S&amp;P 493 nihayet S&amp;P 500 rallisine katılıyor: Morning Brief.</x:v>
      </x:c>
      <x:c r="F8" s="32" t="str">
        <x:v>neutral</x:v>
      </x:c>
      <x:c r="G8" s="44" t="n">
        <x:v>0.674</x:v>
      </x:c>
      <x:c r="H8" s="32" t="str">
        <x:v>positive</x:v>
      </x:c>
      <x:c r="I8" s="32" t="str">
        <x:v>high</x:v>
      </x:c>
      <x:c r="J8" s="32" t="str">
        <x:v>Rallinin genişlemesi olumlu piyasa sinyali.</x:v>
      </x:c>
      <x:c r="K8" s="32" t="str">
        <x:v>wrong</x:v>
      </x:c>
      <x:c r="L8" s="32" t="str">
        <x:v>FinBERT neutral demiş; final etiket positive.</x:v>
      </x:c>
      <x:c r="M8" s="31" t="str"/>
      <x:c r="N8" s="31" t="str"/>
      <x:c r="O8" s="31" t="str"/>
    </x:row>
    <x:row r="9" ht="58" customHeight="1">
      <x:c r="A9" s="32" t="str">
        <x:v>SP500_ANN_0268</x:v>
      </x:c>
      <x:c r="B9" s="32" t="str">
        <x:v>SP500_HEAD_012393</x:v>
      </x:c>
      <x:c r="C9" s="42" t="n">
        <x:v>44924</x:v>
      </x:c>
      <x:c r="D9" s="32" t="str">
        <x:v>Just 5 Trading Days Accounted for 94% of the S&amp;P 500's Decline in 2022</x:v>
      </x:c>
      <x:c r="E9" s="32" t="str">
        <x:v>2022'de S&amp;P 500 düşüşünün %94'ünden sadece 5 işlem günü sorumluydu.</x:v>
      </x:c>
      <x:c r="F9" s="32" t="str">
        <x:v>negative</x:v>
      </x:c>
      <x:c r="G9" s="44" t="n">
        <x:v>0.971</x:v>
      </x:c>
      <x:c r="H9" s="32" t="str">
        <x:v>negative</x:v>
      </x:c>
      <x:c r="I9" s="32" t="str">
        <x:v>high</x:v>
      </x:c>
      <x:c r="J9" s="32" t="str">
        <x:v>S&amp;P 500 düşüşüne odaklanan başlık negatif.</x:v>
      </x:c>
      <x:c r="K9" s="32" t="str">
        <x:v>correct</x:v>
      </x:c>
      <x:c r="L9" s="32" t="str">
        <x:v>FinBERT etiketi final etiket ile aynı.</x:v>
      </x:c>
      <x:c r="M9" s="31" t="str"/>
      <x:c r="N9" s="31" t="str"/>
      <x:c r="O9" s="31" t="str"/>
    </x:row>
    <x:row r="10" ht="58" customHeight="1">
      <x:c r="A10" s="32" t="str">
        <x:v>SP500_ANN_0269</x:v>
      </x:c>
      <x:c r="B10" s="32" t="str">
        <x:v>SP500_HEAD_010337</x:v>
      </x:c>
      <x:c r="C10" s="42" t="n">
        <x:v>44599</x:v>
      </x:c>
      <x:c r="D10" s="32" t="str">
        <x:v>Fintech-friendly banks lead best-performing US bank stocks in January</x:v>
      </x:c>
      <x:c r="E10" s="32" t="str">
        <x:v>Fintech dostu bankalar Ocak ayında en iyi performans gösteren ABD banka hisselerine öncülük etti.</x:v>
      </x:c>
      <x:c r="F10" s="32" t="str">
        <x:v>positive</x:v>
      </x:c>
      <x:c r="G10" s="44" t="n">
        <x:v>0.894</x:v>
      </x:c>
      <x:c r="H10" s="32" t="str">
        <x:v>positive</x:v>
      </x:c>
      <x:c r="I10" s="32" t="str">
        <x:v>high</x:v>
      </x:c>
      <x:c r="J10" s="32" t="str">
        <x:v>En iyi performans gösteren hisseler ifadesi olumlu.</x:v>
      </x:c>
      <x:c r="K10" s="32" t="str">
        <x:v>correct</x:v>
      </x:c>
      <x:c r="L10" s="32" t="str">
        <x:v>FinBERT etiketi final etiket ile aynı.</x:v>
      </x:c>
      <x:c r="M10" s="31" t="str"/>
      <x:c r="N10" s="31" t="str"/>
      <x:c r="O10" s="31" t="str"/>
    </x:row>
    <x:row r="11" ht="58" customHeight="1">
      <x:c r="A11" s="32" t="str">
        <x:v>SP500_ANN_0270</x:v>
      </x:c>
      <x:c r="B11" s="32" t="str">
        <x:v>SP500_HEAD_012602</x:v>
      </x:c>
      <x:c r="C11" s="42" t="n">
        <x:v>44949</x:v>
      </x:c>
      <x:c r="D11" s="32" t="str">
        <x:v>Getting a Technical Perspective on S&amp;P 500</x:v>
      </x:c>
      <x:c r="E11" s="32" t="str">
        <x:v>S&amp;P 500'e teknik açıdan bakış.</x:v>
      </x:c>
      <x:c r="F11" s="32" t="str">
        <x:v>neutral</x:v>
      </x:c>
      <x:c r="G11" s="44" t="n">
        <x:v>0.911</x:v>
      </x:c>
      <x:c r="H11" s="32" t="str">
        <x:v>neutral</x:v>
      </x:c>
      <x:c r="I11" s="32" t="str">
        <x:v>high</x:v>
      </x:c>
      <x:c r="J11" s="32" t="str">
        <x:v>Teknik analiz başlığı; net yön belirtilmemiş.</x:v>
      </x:c>
      <x:c r="K11" s="32" t="str">
        <x:v>correct</x:v>
      </x:c>
      <x:c r="L11" s="32" t="str">
        <x:v>FinBERT etiketi final etiket ile aynı.</x:v>
      </x:c>
      <x:c r="M11" s="31" t="str"/>
      <x:c r="N11" s="31" t="str"/>
      <x:c r="O11" s="31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f26151ced04e13"/>
  </x:tableParts>
</x:worksheet>
</file>