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5c354408c449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110" sheetId="1" r:id="Rbc3885eb3a8844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yyyy-mm-dd"/>
    <x:numFmt numFmtId="202" formatCode="0.0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AF3F8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2" fillId="3" borderId="0" xfId="0" applyNumberFormat="1" applyFont="1" applyFill="1" applyBorder="1" applyAlignment="1">
      <x:alignment horizontal="left" vertical="center"/>
    </x:xf>
    <x:xf numFmtId="200" fontId="2" fillId="3" borderId="1" xfId="0" applyNumberFormat="1" applyFont="1" applyFill="1" applyBorder="1" applyAlignment="1">
      <x:alignment horizontal="left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2" fillId="3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2" fillId="3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200" fontId="2" fillId="3" borderId="0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8">
    <x:dxf>
      <x:font>
        <x:color rgb="166534"/>
      </x:font>
      <x:fill>
        <x:patternFill patternType="solid">
          <x:bgColor rgb="DCFCE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3F4F6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93fc8fa55b4a61" /><Relationship Type="http://schemas.openxmlformats.org/officeDocument/2006/relationships/theme" Target="/xl/theme/theme1.xml" Id="Rd86c02c7ea084466" /><Relationship Type="http://schemas.openxmlformats.org/officeDocument/2006/relationships/sharedStrings" Target="/xl/sharedStrings.xml" Id="R056d9cc2dffe42b7" /><Relationship Type="http://schemas.openxmlformats.org/officeDocument/2006/relationships/worksheet" Target="/xl/worksheets/sheet1.xml" Id="Rbc3885eb3a88442c" /></Relationships>
</file>

<file path=xl/tables/table1.xml><?xml version="1.0" encoding="utf-8"?>
<x:table xmlns:x="http://schemas.openxmlformats.org/spreadsheetml/2006/main" id="1" name="Batch110Table" displayName="Batch110Table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842cb801774928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2" hidden="0" customWidth="1"/>
    <x:col min="4" max="4" width="38" hidden="0" customWidth="1"/>
    <x:col min="5" max="5" width="38" hidden="0" customWidth="1"/>
    <x:col min="6" max="6" width="13" hidden="0" customWidth="1"/>
    <x:col min="7" max="7" width="16" hidden="0" customWidth="1"/>
    <x:col min="8" max="8" width="13" hidden="0" customWidth="1"/>
    <x:col min="9" max="9" width="18" hidden="0" customWidth="1"/>
    <x:col min="10" max="10" width="42" hidden="0" customWidth="1"/>
    <x:col min="11" max="11" width="18" hidden="0" customWidth="1"/>
    <x:col min="12" max="12" width="46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28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finbert_label</x:v>
      </x:c>
      <x:c r="G1" s="6" t="str">
        <x:v>finbert_confidence</x:v>
      </x:c>
      <x:c r="H1" s="6" t="str">
        <x:v>chatgpt_label</x:v>
      </x:c>
      <x:c r="I1" s="6" t="str">
        <x:v>chatgpt_confidence</x:v>
      </x:c>
      <x:c r="J1" s="6" t="str">
        <x:v>chatgpt_reason_tr</x:v>
      </x:c>
      <x:c r="K1" s="6" t="str">
        <x:v>finbert_correctness</x:v>
      </x:c>
      <x:c r="L1" s="6" t="str">
        <x:v>finbert_correctness_note</x:v>
      </x:c>
      <x:c r="M1" t="str"/>
      <x:c r="N1" s="6" t="str">
        <x:v>Özet</x:v>
      </x:c>
      <x:c r="O1" s="6" t="str">
        <x:v>Değer</x:v>
      </x:c>
    </x:row>
    <x:row r="2" ht="64" customHeight="1">
      <x:c r="A2" s="40" t="str">
        <x:v>SP500_ANN_1091</x:v>
      </x:c>
      <x:c r="B2" s="40" t="str">
        <x:v>SP500_HEAD_005647</x:v>
      </x:c>
      <x:c r="C2" s="41" t="n">
        <x:v>43117</x:v>
      </x:c>
      <x:c r="D2" s="40" t="str">
        <x:v>US stock rally lifts Dow to first close above 26000 points</x:v>
      </x:c>
      <x:c r="E2" s="40" t="str">
        <x:v>ABD hisse rallisi Dow'u ilk kez 26.000 puanın üzerinde kapanışa taşıdı.</x:v>
      </x:c>
      <x:c r="F2" s="40" t="str">
        <x:v>positive</x:v>
      </x:c>
      <x:c r="G2" s="42" t="n">
        <x:v>0.84</x:v>
      </x:c>
      <x:c r="H2" s="40" t="str">
        <x:v>positive</x:v>
      </x:c>
      <x:c r="I2" s="40" t="str">
        <x:v>high</x:v>
      </x:c>
      <x:c r="J2" s="40" t="str">
        <x:v>Hisse rallisi ve Dow'un yeni eşik üzerinde kapanması açık olumlu piyasa sinyali.</x:v>
      </x:c>
      <x:c r="K2" s="40" t="str">
        <x:v>correct</x:v>
      </x:c>
      <x:c r="L2" s="40" t="str">
        <x:v>FinBERT etiketi final etiket ile aynı.</x:v>
      </x:c>
      <x:c r="M2" s="40" t="str"/>
      <x:c r="N2" s="43" t="str">
        <x:v>Toplam örnek</x:v>
      </x:c>
      <x:c r="O2" s="44" t="n">
        <x:f>COUNTA(A2:A11)</x:f>
        <x:v>10</x:v>
      </x:c>
    </x:row>
    <x:row r="3" ht="64" customHeight="1">
      <x:c r="A3" s="40" t="str">
        <x:v>SP500_ANN_1092</x:v>
      </x:c>
      <x:c r="B3" s="40" t="str">
        <x:v>SP500_HEAD_010470</x:v>
      </x:c>
      <x:c r="C3" s="41" t="n">
        <x:v>44623</x:v>
      </x:c>
      <x:c r="D3" s="40" t="str">
        <x:v>UBS: How the S&amp;P 500 will react to three Russia-Ukraine scenarios</x:v>
      </x:c>
      <x:c r="E3" s="40" t="str">
        <x:v>UBS: S&amp;P 500 üç Rusya-Ukrayna senaryosuna nasıl tepki verecek?</x:v>
      </x:c>
      <x:c r="F3" s="40" t="str">
        <x:v>neutral</x:v>
      </x:c>
      <x:c r="G3" s="42" t="n">
        <x:v>0.919</x:v>
      </x:c>
      <x:c r="H3" s="40" t="str">
        <x:v>neutral</x:v>
      </x:c>
      <x:c r="I3" s="40" t="str">
        <x:v>high</x:v>
      </x:c>
      <x:c r="J3" s="40" t="str">
        <x:v>Farklı senaryoları tartışıyor; tek yönlü olumlu veya olumsuz sonuç vermiyor.</x:v>
      </x:c>
      <x:c r="K3" s="40" t="str">
        <x:v>correct</x:v>
      </x:c>
      <x:c r="L3" s="40" t="str">
        <x:v>FinBERT etiketi final etiket ile aynı.</x:v>
      </x:c>
      <x:c r="M3" s="40" t="str"/>
      <x:c r="N3" s="43" t="str">
        <x:v>FinBERT doğru</x:v>
      </x:c>
      <x:c r="O3" s="44" t="n">
        <x:f>COUNTIF(K2:K11,"correct")</x:f>
        <x:v>7</x:v>
      </x:c>
    </x:row>
    <x:row r="4" ht="64" customHeight="1">
      <x:c r="A4" s="40" t="str">
        <x:v>SP500_ANN_1093</x:v>
      </x:c>
      <x:c r="B4" s="40" t="str">
        <x:v>SP500_HEAD_014760</x:v>
      </x:c>
      <x:c r="C4" s="41" t="n">
        <x:v>45126</x:v>
      </x:c>
      <x:c r="D4" s="40" t="str">
        <x:v>Short sellers avoid mega-cap stocks that drive market rally</x:v>
      </x:c>
      <x:c r="E4" s="40" t="str">
        <x:v>Açığa satış yapanlar piyasa rallisini sürükleyen mega-cap hisselerden kaçınıyor.</x:v>
      </x:c>
      <x:c r="F4" s="40" t="str">
        <x:v>neutral</x:v>
      </x:c>
      <x:c r="G4" s="42" t="n">
        <x:v>0.72</x:v>
      </x:c>
      <x:c r="H4" s="40" t="str">
        <x:v>positive</x:v>
      </x:c>
      <x:c r="I4" s="40" t="str">
        <x:v>medium</x:v>
      </x:c>
      <x:c r="J4" s="40" t="str">
        <x:v>Mega-cap hisselerin piyasa rallisini sürüklediği belirtiliyor; baskın sinyal olumlu.</x:v>
      </x:c>
      <x:c r="K4" s="40" t="str">
        <x:v>wrong</x:v>
      </x:c>
      <x:c r="L4" s="40" t="str">
        <x:v>FinBERT neutral demiş; final etiket positive. Başlıktaki 'market rally' ifadesi olumlu yönü baskın kılıyor.</x:v>
      </x:c>
      <x:c r="M4" s="40" t="str"/>
      <x:c r="N4" s="43" t="str">
        <x:v>FinBERT yanlış</x:v>
      </x:c>
      <x:c r="O4" s="44" t="n">
        <x:f>COUNTIF(K2:K11,"wrong")</x:f>
        <x:v>3</x:v>
      </x:c>
    </x:row>
    <x:row r="5" ht="64" customHeight="1">
      <x:c r="A5" s="40" t="str">
        <x:v>SP500_ANN_1094</x:v>
      </x:c>
      <x:c r="B5" s="40" t="str">
        <x:v>SP500_HEAD_015812</x:v>
      </x:c>
      <x:c r="C5" s="41" t="n">
        <x:v>45202</x:v>
      </x:c>
      <x:c r="D5" s="40" t="str">
        <x:v>Dow loses more than 400 points and goes negative for 2023 as interest rates spike: Live updates</x:v>
      </x:c>
      <x:c r="E5" s="40" t="str">
        <x:v>Faizler sıçrarken Dow 400 puandan fazla kaybetti ve 2023 için negatife döndü.</x:v>
      </x:c>
      <x:c r="F5" s="40" t="str">
        <x:v>negative</x:v>
      </x:c>
      <x:c r="G5" s="42" t="n">
        <x:v>0.84</x:v>
      </x:c>
      <x:c r="H5" s="40" t="str">
        <x:v>negative</x:v>
      </x:c>
      <x:c r="I5" s="40" t="str">
        <x:v>high</x:v>
      </x:c>
      <x:c r="J5" s="40" t="str">
        <x:v>Dow'un sert düşmesi ve yılbaşından beri negatife dönmesi açık olumsuz sinyal.</x:v>
      </x:c>
      <x:c r="K5" s="40" t="str">
        <x:v>correct</x:v>
      </x:c>
      <x:c r="L5" s="40" t="str">
        <x:v>FinBERT etiketi final etiket ile aynı.</x:v>
      </x:c>
      <x:c r="M5" s="40" t="str"/>
      <x:c r="N5" s="43" t="str">
        <x:v>Doğruluk oranı</x:v>
      </x:c>
      <x:c r="O5" s="45" t="n">
        <x:f>O3/O2</x:f>
        <x:v>0.7</x:v>
      </x:c>
    </x:row>
    <x:row r="6" ht="64" customHeight="1">
      <x:c r="A6" s="40" t="str">
        <x:v>SP500_ANN_1095</x:v>
      </x:c>
      <x:c r="B6" s="40" t="str">
        <x:v>SP500_HEAD_010145</x:v>
      </x:c>
      <x:c r="C6" s="41" t="n">
        <x:v>44566</x:v>
      </x:c>
      <x:c r="D6" s="40" t="str">
        <x:v>Gold will outperform the S&amp;P 500 and bitcoin in 2022, Gareth Soloway predicts</x:v>
      </x:c>
      <x:c r="E6" s="40" t="str">
        <x:v>Gareth Soloway'e göre altın 2022'de S&amp;P 500 ve bitcoin'den daha iyi performans gösterecek.</x:v>
      </x:c>
      <x:c r="F6" s="40" t="str">
        <x:v>positive</x:v>
      </x:c>
      <x:c r="G6" s="42" t="n">
        <x:v>0.947</x:v>
      </x:c>
      <x:c r="H6" s="40" t="str">
        <x:v>negative</x:v>
      </x:c>
      <x:c r="I6" s="40" t="str">
        <x:v>medium</x:v>
      </x:c>
      <x:c r="J6" s="40" t="str">
        <x:v>S&amp;P 500'ün altına göre geri kalacağı öngörülüyor; S&amp;P 500 açısından olumsuz göreli performans sinyali.</x:v>
      </x:c>
      <x:c r="K6" s="40" t="str">
        <x:v>wrong</x:v>
      </x:c>
      <x:c r="L6" s="40" t="str">
        <x:v>FinBERT positive demiş; final etiket negative. Başlık altın için olumlu olsa da S&amp;P 500 açısından göreli zayıflık içeriyor.</x:v>
      </x:c>
      <x:c r="M6" s="40" t="str"/>
      <x:c r="N6" s="40" t="str"/>
      <x:c r="O6" s="40" t="str"/>
    </x:row>
    <x:row r="7" ht="64" customHeight="1">
      <x:c r="A7" s="40" t="str">
        <x:v>SP500_ANN_1096</x:v>
      </x:c>
      <x:c r="B7" s="40" t="str">
        <x:v>SP500_HEAD_017404</x:v>
      </x:c>
      <x:c r="C7" s="41" t="n">
        <x:v>45315</x:v>
      </x:c>
      <x:c r="D7" s="40" t="str">
        <x:v>Tech gains push S&amp;P 500 to another record high this week</x:v>
      </x:c>
      <x:c r="E7" s="40" t="str">
        <x:v>Teknoloji hisselerindeki kazançlar S&amp;P 500'ü bu hafta yeni bir rekor zirveye taşıdı.</x:v>
      </x:c>
      <x:c r="F7" s="40" t="str">
        <x:v>positive</x:v>
      </x:c>
      <x:c r="G7" s="42" t="n">
        <x:v>0.9</x:v>
      </x:c>
      <x:c r="H7" s="40" t="str">
        <x:v>positive</x:v>
      </x:c>
      <x:c r="I7" s="40" t="str">
        <x:v>high</x:v>
      </x:c>
      <x:c r="J7" s="40" t="str">
        <x:v>S&amp;P 500'ün teknoloji kazançlarıyla rekor seviyeye yükselmesi açık olumlu sinyal.</x:v>
      </x:c>
      <x:c r="K7" s="40" t="str">
        <x:v>correct</x:v>
      </x:c>
      <x:c r="L7" s="40" t="str">
        <x:v>FinBERT etiketi final etiket ile aynı.</x:v>
      </x:c>
      <x:c r="M7" s="40" t="str"/>
      <x:c r="N7" s="40" t="str"/>
      <x:c r="O7" s="40" t="str"/>
    </x:row>
    <x:row r="8" ht="64" customHeight="1">
      <x:c r="A8" s="40" t="str">
        <x:v>SP500_ANN_1097</x:v>
      </x:c>
      <x:c r="B8" s="40" t="str">
        <x:v>SP500_HEAD_011288</x:v>
      </x:c>
      <x:c r="C8" s="41" t="n">
        <x:v>44748</x:v>
      </x:c>
      <x:c r="D8" s="40" t="str">
        <x:v>VOO vs. SPY vs. IVV: What’s The Best S&amp;P 500 ETF In Singapore?</x:v>
      </x:c>
      <x:c r="E8" s="40" t="str">
        <x:v>VOO, SPY ve IVV: Singapur'da en iyi S&amp;P 500 ETF'si hangisi?</x:v>
      </x:c>
      <x:c r="F8" s="40" t="str">
        <x:v>neutral</x:v>
      </x:c>
      <x:c r="G8" s="42" t="n">
        <x:v>0.878</x:v>
      </x:c>
      <x:c r="H8" s="40" t="str">
        <x:v>neutral</x:v>
      </x:c>
      <x:c r="I8" s="40" t="str">
        <x:v>high</x:v>
      </x:c>
      <x:c r="J8" s="40" t="str">
        <x:v>ETF karşılaştırması yapıyor; net piyasa yönü veya duygu yok.</x:v>
      </x:c>
      <x:c r="K8" s="40" t="str">
        <x:v>correct</x:v>
      </x:c>
      <x:c r="L8" s="40" t="str">
        <x:v>FinBERT etiketi final etiket ile aynı.</x:v>
      </x:c>
      <x:c r="M8" s="40" t="str"/>
      <x:c r="N8" s="40" t="str"/>
      <x:c r="O8" s="40" t="str"/>
    </x:row>
    <x:row r="9" ht="64" customHeight="1">
      <x:c r="A9" s="40" t="str">
        <x:v>SP500_ANN_1098</x:v>
      </x:c>
      <x:c r="B9" s="40" t="str">
        <x:v>SP500_HEAD_004152</x:v>
      </x:c>
      <x:c r="C9" s="41" t="n">
        <x:v>42382</x:v>
      </x:c>
      <x:c r="D9" s="40" t="str">
        <x:v>Buying this fashion status symbol is 'historically safer' than investing in the stock market</x:v>
      </x:c>
      <x:c r="E9" s="40" t="str">
        <x:v>Bu moda statü sembolünü satın almak tarihsel olarak borsaya yatırım yapmaktan daha güvenli.</x:v>
      </x:c>
      <x:c r="F9" s="40" t="str">
        <x:v>neutral</x:v>
      </x:c>
      <x:c r="G9" s="42" t="n">
        <x:v>0.846</x:v>
      </x:c>
      <x:c r="H9" s="40" t="str">
        <x:v>neutral</x:v>
      </x:c>
      <x:c r="I9" s="40" t="str">
        <x:v>medium</x:v>
      </x:c>
      <x:c r="J9" s="40" t="str">
        <x:v>Borsa ile alternatif bir varlığı karşılaştırıyor; doğrudan piyasanın yükseleceği/düşeceği söylenmiyor.</x:v>
      </x:c>
      <x:c r="K9" s="40" t="str">
        <x:v>correct</x:v>
      </x:c>
      <x:c r="L9" s="40" t="str">
        <x:v>FinBERT etiketi final etiket ile aynı.</x:v>
      </x:c>
      <x:c r="M9" s="40" t="str"/>
      <x:c r="N9" s="40" t="str"/>
      <x:c r="O9" s="40" t="str"/>
    </x:row>
    <x:row r="10" ht="64" customHeight="1">
      <x:c r="A10" s="40" t="str">
        <x:v>SP500_ANN_1099</x:v>
      </x:c>
      <x:c r="B10" s="40" t="str">
        <x:v>SP500_HEAD_004939</x:v>
      </x:c>
      <x:c r="C10" s="41" t="n">
        <x:v>42753</x:v>
      </x:c>
      <x:c r="D10" s="40" t="str">
        <x:v>Multiple Seasonal Patterns Converge at 6-8% Full Year Gains</x:v>
      </x:c>
      <x:c r="E10" s="40" t="str">
        <x:v>Birden fazla mevsimsel örüntü yıl genelinde %6-8 kazançta birleşiyor.</x:v>
      </x:c>
      <x:c r="F10" s="40" t="str">
        <x:v>neutral</x:v>
      </x:c>
      <x:c r="G10" s="42" t="n">
        <x:v>0.762</x:v>
      </x:c>
      <x:c r="H10" s="40" t="str">
        <x:v>positive</x:v>
      </x:c>
      <x:c r="I10" s="40" t="str">
        <x:v>medium</x:v>
      </x:c>
      <x:c r="J10" s="40" t="str">
        <x:v>Yıl geneli için %6-8 kazanç beklentisi açıkça olumlu getiri sinyali veriyor.</x:v>
      </x:c>
      <x:c r="K10" s="40" t="str">
        <x:v>wrong</x:v>
      </x:c>
      <x:c r="L10" s="40" t="str">
        <x:v>FinBERT neutral demiş; final etiket positive. Kazanç beklentisi yön olarak olumlu.</x:v>
      </x:c>
      <x:c r="M10" s="40" t="str"/>
      <x:c r="N10" s="40" t="str"/>
      <x:c r="O10" s="40" t="str"/>
    </x:row>
    <x:row r="11" ht="64" customHeight="1">
      <x:c r="A11" s="40" t="str">
        <x:v>SP500_ANN_1100</x:v>
      </x:c>
      <x:c r="B11" s="40" t="str">
        <x:v>SP500_HEAD_007129</x:v>
      </x:c>
      <x:c r="C11" s="41" t="n">
        <x:v>43756</x:v>
      </x:c>
      <x:c r="D11" s="40" t="str">
        <x:v>Small cans lead to big sales for Coca-Cola</x:v>
      </x:c>
      <x:c r="E11" s="40" t="str">
        <x:v>Küçük kutular Coca-Cola için büyük satışlara yol açıyor.</x:v>
      </x:c>
      <x:c r="F11" s="40" t="str">
        <x:v>positive</x:v>
      </x:c>
      <x:c r="G11" s="42" t="n">
        <x:v>0.91</x:v>
      </x:c>
      <x:c r="H11" s="40" t="str">
        <x:v>positive</x:v>
      </x:c>
      <x:c r="I11" s="40" t="str">
        <x:v>high</x:v>
      </x:c>
      <x:c r="J11" s="40" t="str">
        <x:v>Coca-Cola için satışların güçlü olduğuna işaret ediyor; şirket açısından olumlu.</x:v>
      </x:c>
      <x:c r="K11" s="40" t="str">
        <x:v>correct</x:v>
      </x:c>
      <x:c r="L11" s="40" t="str">
        <x:v>FinBERT etiketi final etiket ile aynı.</x:v>
      </x:c>
      <x:c r="M11" s="40" t="str"/>
      <x:c r="N11" s="40" t="str"/>
      <x:c r="O11" s="40" t="str"/>
    </x:row>
  </x:sheetData>
  <x:conditionalFormatting sqref="K2:K11">
    <x:cfRule type="expression" dxfId="0" priority="1">
      <x:formula>K2="correct"</x:formula>
    </x:cfRule>
    <x:cfRule type="expression" dxfId="1" priority="2">
      <x:formula>K2="wrong"</x:formula>
    </x:cfRule>
  </x:conditionalFormatting>
  <x:conditionalFormatting sqref="F2:F11">
    <x:cfRule type="expression" dxfId="2" priority="3">
      <x:formula>F2="positive"</x:formula>
    </x:cfRule>
    <x:cfRule type="expression" dxfId="3" priority="4">
      <x:formula>F2="negative"</x:formula>
    </x:cfRule>
    <x:cfRule type="expression" dxfId="4" priority="5">
      <x:formula>F2="neutral"</x:formula>
    </x:cfRule>
  </x:conditionalFormatting>
  <x:conditionalFormatting sqref="H2:H11">
    <x:cfRule type="expression" dxfId="5" priority="6">
      <x:formula>H2="positive"</x:formula>
    </x:cfRule>
    <x:cfRule type="expression" dxfId="6" priority="7">
      <x:formula>H2="negative"</x:formula>
    </x:cfRule>
    <x:cfRule type="expression" dxfId="7" priority="8">
      <x:formula>H2="neutral"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b842cb801774928"/>
  </x:tableParts>
</x:worksheet>
</file>