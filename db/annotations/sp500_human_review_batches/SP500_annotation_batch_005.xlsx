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6a7019531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05" sheetId="1" r:id="R6b7534bee31d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202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2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202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2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3b2376c2f4447" /><Relationship Type="http://schemas.openxmlformats.org/officeDocument/2006/relationships/theme" Target="/xl/theme/theme1.xml" Id="R587e9fc845bf49c1" /><Relationship Type="http://schemas.openxmlformats.org/officeDocument/2006/relationships/sharedStrings" Target="/xl/sharedStrings.xml" Id="R334e8e9464df4604" /><Relationship Type="http://schemas.openxmlformats.org/officeDocument/2006/relationships/worksheet" Target="/xl/worksheets/sheet1.xml" Id="R6b7534bee31d40c2" /></Relationships>
</file>

<file path=xl/tables/table1.xml><?xml version="1.0" encoding="utf-8"?>
<x:table xmlns:x="http://schemas.openxmlformats.org/spreadsheetml/2006/main" id="1" name="AnnotationTable005" displayName="AnnotationTable005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6efc48c96d49e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52" hidden="0" customWidth="1"/>
    <x:col min="5" max="5" width="5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6" hidden="0" customWidth="1"/>
    <x:col min="11" max="11" width="18" hidden="0" customWidth="1"/>
    <x:col min="12" max="12" width="56" hidden="0" customWidth="1"/>
    <x:col min="13" max="13" width="3" hidden="0" customWidth="1"/>
    <x:col min="14" max="14" width="18" hidden="0" customWidth="1"/>
    <x:col min="15" max="15" width="12" hidden="0" customWidth="1"/>
  </x:cols>
  <x:sheetData>
    <x:row r="1" ht="30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t="str"/>
      <x:c r="N1" s="6" t="str">
        <x:v>Özet</x:v>
      </x:c>
      <x:c r="O1" s="6" t="str">
        <x:v>Değer</x:v>
      </x:c>
    </x:row>
    <x:row r="2" ht="24" customHeight="1">
      <x:c r="A2" s="14" t="str">
        <x:v>SP500_ANN_0041</x:v>
      </x:c>
      <x:c r="B2" s="14" t="str">
        <x:v>SP500_HEAD_008476</x:v>
      </x:c>
      <x:c r="C2" s="16" t="n">
        <x:v>44102</x:v>
      </x:c>
      <x:c r="D2" s="14" t="str">
        <x:v>The Volume of Short Positions in the Shanghai Composite Index (SHA:000001) Hits All-Time High at ¥80 Billion Following the S&amp;P 500 (SPX)...</x:v>
      </x:c>
      <x:c r="E2" s="14" t="str">
        <x:v>Shanghai Bileşik Endeksi'nde (SHA:000001) kısa pozisyon hacmi, S&amp;P 500'ü (SPX) takiben 80 milyar ¥ ile tüm zamanların zirvesine çıktı...</x:v>
      </x:c>
      <x:c r="F2" s="22" t="str">
        <x:v>positive</x:v>
      </x:c>
      <x:c r="G2" s="18" t="n">
        <x:v>0.8567466735839844</x:v>
      </x:c>
      <x:c r="H2" s="22" t="str">
        <x:v>negative</x:v>
      </x:c>
      <x:c r="I2" s="22" t="str">
        <x:v>medium</x:v>
      </x:c>
      <x:c r="J2" s="14" t="str">
        <x:v>Kısa pozisyonların tüm zamanların zirvesine çıkması piyasa için bearish/negatif risk algısı verir.</x:v>
      </x:c>
      <x:c r="K2" s="22" t="str">
        <x:v>wrong</x:v>
      </x:c>
      <x:c r="L2" s="14" t="str">
        <x:v>FinBERT positive demiş; final etiket negative. Muhtemelen 'following the S&amp;P 500' ifadesini olumlu bağlam gibi yorumladı.</x:v>
      </x:c>
      <x:c r="M2" t="str"/>
      <x:c r="N2" s="44" t="str">
        <x:v>Toplam örnek</x:v>
      </x:c>
      <x:c r="O2" s="46" t="n">
        <x:f>COUNTA(A2:A11)</x:f>
        <x:v>10</x:v>
      </x:c>
    </x:row>
    <x:row r="3" ht="24" customHeight="1">
      <x:c r="A3" s="14" t="str">
        <x:v>SP500_ANN_0042</x:v>
      </x:c>
      <x:c r="B3" s="14" t="str">
        <x:v>SP500_HEAD_011729</x:v>
      </x:c>
      <x:c r="C3" s="16" t="n">
        <x:v>44831</x:v>
      </x:c>
      <x:c r="D3" s="14" t="str">
        <x:v>Wall Street ends lower, Dow confirms bear market</x:v>
      </x:c>
      <x:c r="E3" s="14" t="str">
        <x:v>Wall Street günü düşüşle kapattı, Dow ayı piyasasını teyit etti.</x:v>
      </x:c>
      <x:c r="F3" s="22" t="str">
        <x:v>negative</x:v>
      </x:c>
      <x:c r="G3" s="18" t="n">
        <x:v>0.9533758163452148</x:v>
      </x:c>
      <x:c r="H3" s="22" t="str">
        <x:v>negative</x:v>
      </x:c>
      <x:c r="I3" s="22" t="str">
        <x:v>high</x:v>
      </x:c>
      <x:c r="J3" s="14" t="str">
        <x:v>Endekslerin düşmesi ve ayı piyasasının teyit edilmesi açık negatif piyasa sinyali.</x:v>
      </x:c>
      <x:c r="K3" s="22" t="str">
        <x:v>correct</x:v>
      </x:c>
      <x:c r="L3" s="14" t="str">
        <x:v>FinBERT etiketi final etiket ile aynı.</x:v>
      </x:c>
      <x:c r="M3" t="str"/>
      <x:c r="N3" s="44" t="str">
        <x:v>FinBERT doğru</x:v>
      </x:c>
      <x:c r="O3" s="46" t="n">
        <x:f>COUNTIF(K2:K11,"correct")</x:f>
        <x:v>6</x:v>
      </x:c>
    </x:row>
    <x:row r="4" ht="24" customHeight="1">
      <x:c r="A4" s="14" t="str">
        <x:v>SP500_ANN_0043</x:v>
      </x:c>
      <x:c r="B4" s="14" t="str">
        <x:v>SP500_HEAD_005106</x:v>
      </x:c>
      <x:c r="C4" s="16" t="n">
        <x:v>42835</x:v>
      </x:c>
      <x:c r="D4" s="14" t="str">
        <x:v>Consumer confidence versus SP500 from BlackRock Larry Fink</x:v>
      </x:c>
      <x:c r="E4" s="14" t="str">
        <x:v>BlackRock'tan Larry Fink'e göre tüketici güveni ve S&amp;P 500 karşılaştırması.</x:v>
      </x:c>
      <x:c r="F4" s="22" t="str">
        <x:v>positive</x:v>
      </x:c>
      <x:c r="G4" s="18" t="n">
        <x:v>0.5126691460609436</x:v>
      </x:c>
      <x:c r="H4" s="22" t="str">
        <x:v>neutral</x:v>
      </x:c>
      <x:c r="I4" s="22" t="str">
        <x:v>high</x:v>
      </x:c>
      <x:c r="J4" s="14" t="str">
        <x:v>Başlık bir karşılaştırma/analiz konusu veriyor; net yükseliş veya düşüş sinyali yok.</x:v>
      </x:c>
      <x:c r="K4" s="22" t="str">
        <x:v>wrong</x:v>
      </x:c>
      <x:c r="L4" s="14" t="str">
        <x:v>FinBERT positive demiş; final etiket neutral. Başlık yön belirtmiyor.</x:v>
      </x:c>
      <x:c r="M4" t="str"/>
      <x:c r="N4" s="44" t="str">
        <x:v>FinBERT yanlış</x:v>
      </x:c>
      <x:c r="O4" s="46" t="n">
        <x:f>COUNTIF(K2:K11,"wrong")</x:f>
        <x:v>4</x:v>
      </x:c>
    </x:row>
    <x:row r="5" ht="24" customHeight="1">
      <x:c r="A5" s="14" t="str">
        <x:v>SP500_ANN_0044</x:v>
      </x:c>
      <x:c r="B5" s="14" t="str">
        <x:v>SP500_HEAD_003307</x:v>
      </x:c>
      <x:c r="C5" s="16" t="n">
        <x:v>42003</x:v>
      </x:c>
      <x:c r="D5" s="14" t="str">
        <x:v>Guess What Statistic Has The Highest Correlation With The S&amp;P 500?</x:v>
      </x:c>
      <x:c r="E5" s="14" t="str">
        <x:v>S&amp;P 500 ile en yüksek korelasyona sahip istatistik hangisi tahmin edin?</x:v>
      </x:c>
      <x:c r="F5" s="22" t="str">
        <x:v>neutral</x:v>
      </x:c>
      <x:c r="G5" s="18" t="n">
        <x:v>0.9058191180229187</x:v>
      </x:c>
      <x:c r="H5" s="22" t="str">
        <x:v>neutral</x:v>
      </x:c>
      <x:c r="I5" s="22" t="str">
        <x:v>high</x:v>
      </x:c>
      <x:c r="J5" s="14" t="str">
        <x:v>Soru/analiz başlığı; piyasa yönü veya duygu net değil.</x:v>
      </x:c>
      <x:c r="K5" s="22" t="str">
        <x:v>correct</x:v>
      </x:c>
      <x:c r="L5" s="14" t="str">
        <x:v>FinBERT etiketi final etiket ile aynı.</x:v>
      </x:c>
      <x:c r="M5" t="str"/>
      <x:c r="N5" s="44" t="str">
        <x:v>Doğruluk oranı</x:v>
      </x:c>
      <x:c r="O5" s="47" t="n">
        <x:f>O3/O2</x:f>
        <x:v>0.6</x:v>
      </x:c>
    </x:row>
    <x:row r="6" ht="90" customHeight="1">
      <x:c r="A6" s="14" t="str">
        <x:v>SP500_ANN_0045</x:v>
      </x:c>
      <x:c r="B6" s="14" t="str">
        <x:v>SP500_HEAD_016543</x:v>
      </x:c>
      <x:c r="C6" s="16" t="n">
        <x:v>45251</x:v>
      </x:c>
      <x:c r="D6" s="14" t="str">
        <x:v>Bank of America: S&amp;P 500 will soar to 5000 in 2024</x:v>
      </x:c>
      <x:c r="E6" s="14" t="str">
        <x:v>Bank of America: S&amp;P 500 2024'te 5000'e yükselecek.</x:v>
      </x:c>
      <x:c r="F6" s="22" t="str">
        <x:v>positive</x:v>
      </x:c>
      <x:c r="G6" s="18" t="n">
        <x:v>0.6753764152526855</x:v>
      </x:c>
      <x:c r="H6" s="22" t="str">
        <x:v>positive</x:v>
      </x:c>
      <x:c r="I6" s="22" t="str">
        <x:v>high</x:v>
      </x:c>
      <x:c r="J6" s="14" t="str">
        <x:v>S&amp;P 500 için güçlü yükseliş beklentisi var; açık bullish sinyal.</x:v>
      </x:c>
      <x:c r="K6" s="22" t="str">
        <x:v>correct</x:v>
      </x:c>
      <x:c r="L6" s="14" t="str">
        <x:v>FinBERT etiketi final etiket ile aynı.</x:v>
      </x:c>
      <x:c r="M6" t="str"/>
      <x:c r="N6" t="str"/>
      <x:c r="O6" t="str"/>
    </x:row>
    <x:row r="7" ht="90" customHeight="1">
      <x:c r="A7" s="14" t="str">
        <x:v>SP500_ANN_0046</x:v>
      </x:c>
      <x:c r="B7" s="14" t="str">
        <x:v>SP500_HEAD_010782</x:v>
      </x:c>
      <x:c r="C7" s="16" t="n">
        <x:v>44683</x:v>
      </x:c>
      <x:c r="D7" s="14" t="str">
        <x:v>Stock Market Outlook: 17% Downside As Stocks' Inflation Hedge Fades</x:v>
      </x:c>
      <x:c r="E7" s="14" t="str">
        <x:v>Borsa görünümü: Hisselerin enflasyon koruması zayıflarken %17 düşüş riski.</x:v>
      </x:c>
      <x:c r="F7" s="22" t="str">
        <x:v>negative</x:v>
      </x:c>
      <x:c r="G7" s="18" t="n">
        <x:v>0.9598417282104492</x:v>
      </x:c>
      <x:c r="H7" s="22" t="str">
        <x:v>negative</x:v>
      </x:c>
      <x:c r="I7" s="22" t="str">
        <x:v>high</x:v>
      </x:c>
      <x:c r="J7" s="14" t="str">
        <x:v>%17 aşağı yönlü risk ve koruma özelliğinin zayıflaması açık negatif sinyal.</x:v>
      </x:c>
      <x:c r="K7" s="22" t="str">
        <x:v>correct</x:v>
      </x:c>
      <x:c r="L7" s="14" t="str">
        <x:v>FinBERT etiketi final etiket ile aynı.</x:v>
      </x:c>
      <x:c r="M7" t="str"/>
      <x:c r="N7" t="str"/>
      <x:c r="O7" t="str"/>
    </x:row>
    <x:row r="8" ht="90" customHeight="1">
      <x:c r="A8" s="14" t="str">
        <x:v>SP500_ANN_0047</x:v>
      </x:c>
      <x:c r="B8" s="14" t="str">
        <x:v>SP500_HEAD_013008</x:v>
      </x:c>
      <x:c r="C8" s="16" t="n">
        <x:v>44985</x:v>
      </x:c>
      <x:c r="D8" s="14" t="str">
        <x:v>Dow closes more than 200 points lower Tuesday, major averages end February with losses: Live updates</x:v>
      </x:c>
      <x:c r="E8" s="14" t="str">
        <x:v>Dow salı günü 200 puandan fazla düşüşle kapandı; başlıca endeksler Şubat'ı kayıpla bitirdi.</x:v>
      </x:c>
      <x:c r="F8" s="22" t="str">
        <x:v>negative</x:v>
      </x:c>
      <x:c r="G8" s="18" t="n">
        <x:v>0.9186128377914429</x:v>
      </x:c>
      <x:c r="H8" s="22" t="str">
        <x:v>negative</x:v>
      </x:c>
      <x:c r="I8" s="22" t="str">
        <x:v>high</x:v>
      </x:c>
      <x:c r="J8" s="14" t="str">
        <x:v>Dow'un düşmesi ve endekslerin ayı kayıpla kapatması net negatif piyasa sinyali.</x:v>
      </x:c>
      <x:c r="K8" s="22" t="str">
        <x:v>correct</x:v>
      </x:c>
      <x:c r="L8" s="14" t="str">
        <x:v>FinBERT etiketi final etiket ile aynı.</x:v>
      </x:c>
      <x:c r="M8" t="str"/>
      <x:c r="N8" t="str"/>
      <x:c r="O8" t="str"/>
    </x:row>
    <x:row r="9" ht="90" customHeight="1">
      <x:c r="A9" s="14" t="str">
        <x:v>SP500_ANN_0048</x:v>
      </x:c>
      <x:c r="B9" s="14" t="str">
        <x:v>SP500_HEAD_014039</x:v>
      </x:c>
      <x:c r="C9" s="16" t="n">
        <x:v>45071</x:v>
      </x:c>
      <x:c r="D9" s="14" t="str">
        <x:v>Strong corporate earnings are helping the US avoid a recession - but there are 2 big risks facing markets and the ...</x:v>
      </x:c>
      <x:c r="E9" s="14" t="str">
        <x:v>Güçlü şirket kârları ABD'nin resesyondan kaçınmasına yardım ediyor; ancak piyasaların karşısında iki büyük risk var...</x:v>
      </x:c>
      <x:c r="F9" s="22" t="str">
        <x:v>negative</x:v>
      </x:c>
      <x:c r="G9" s="18" t="n">
        <x:v>0.42521029710769653</x:v>
      </x:c>
      <x:c r="H9" s="22" t="str">
        <x:v>neutral</x:v>
      </x:c>
      <x:c r="I9" s="22" t="str">
        <x:v>medium</x:v>
      </x:c>
      <x:c r="J9" s="14" t="str">
        <x:v>Başlık hem güçlü kârlar/resesyondan kaçınma gibi olumlu unsur hem de büyük riskler içeriyor; net yön karışık.</x:v>
      </x:c>
      <x:c r="K9" s="22" t="str">
        <x:v>wrong</x:v>
      </x:c>
      <x:c r="L9" s="14" t="str">
        <x:v>FinBERT negative demiş; final etiket neutral. Başlık çift yönlü/mixed olduğu için net negatif değil.</x:v>
      </x:c>
      <x:c r="M9" t="str"/>
      <x:c r="N9" t="str"/>
      <x:c r="O9" t="str"/>
    </x:row>
    <x:row r="10" ht="90" customHeight="1">
      <x:c r="A10" s="14" t="str">
        <x:v>SP500_ANN_0049</x:v>
      </x:c>
      <x:c r="B10" s="14" t="str">
        <x:v>SP500_HEAD_006171</x:v>
      </x:c>
      <x:c r="C10" s="16" t="n">
        <x:v>43363</x:v>
      </x:c>
      <x:c r="D10" s="14" t="str">
        <x:v>Why Trump's Stock Market Cheering Is Dangerous</x:v>
      </x:c>
      <x:c r="E10" s="14" t="str">
        <x:v>Trump'ın borsa övgüsünün neden tehlikeli olduğu.</x:v>
      </x:c>
      <x:c r="F10" s="22" t="str">
        <x:v>neutral</x:v>
      </x:c>
      <x:c r="G10" s="18" t="n">
        <x:v>0.8990310430526733</x:v>
      </x:c>
      <x:c r="H10" s="22" t="str">
        <x:v>negative</x:v>
      </x:c>
      <x:c r="I10" s="22" t="str">
        <x:v>medium</x:v>
      </x:c>
      <x:c r="J10" s="14" t="str">
        <x:v>'Dangerous/tehlikeli' ifadesi borsa söylemi hakkında uyarıcı ve olumsuz bir ton taşıyor.</x:v>
      </x:c>
      <x:c r="K10" s="22" t="str">
        <x:v>wrong</x:v>
      </x:c>
      <x:c r="L10" s="14" t="str">
        <x:v>FinBERT neutral demiş; final etiket negative. Başlık uyarı/negatif risk tonu içeriyor.</x:v>
      </x:c>
      <x:c r="M10" t="str"/>
      <x:c r="N10" t="str"/>
      <x:c r="O10" t="str"/>
    </x:row>
    <x:row r="11" ht="90" customHeight="1">
      <x:c r="A11" s="14" t="str">
        <x:v>SP500_ANN_0050</x:v>
      </x:c>
      <x:c r="B11" s="14" t="str">
        <x:v>SP500_HEAD_007325</x:v>
      </x:c>
      <x:c r="C11" s="16" t="n">
        <x:v>43830</x:v>
      </x:c>
      <x:c r="D11" s="14" t="str">
        <x:v>Cramer explains the magic of compounding</x:v>
      </x:c>
      <x:c r="E11" s="14" t="str">
        <x:v>Cramer bileşik getirinin sihrini açıklıyor.</x:v>
      </x:c>
      <x:c r="F11" s="22" t="str">
        <x:v>neutral</x:v>
      </x:c>
      <x:c r="G11" s="18" t="n">
        <x:v>0.8819208741188049</x:v>
      </x:c>
      <x:c r="H11" s="22" t="str">
        <x:v>neutral</x:v>
      </x:c>
      <x:c r="I11" s="22" t="str">
        <x:v>high</x:v>
      </x:c>
      <x:c r="J11" s="14" t="str">
        <x:v>Eğitici/genel finans başlığı; piyasa yönü veya şirket etkisi net değil.</x:v>
      </x:c>
      <x:c r="K11" s="22" t="str">
        <x:v>correct</x:v>
      </x:c>
      <x:c r="L11" s="14" t="str">
        <x:v>FinBERT etiketi final etiket ile aynı.</x:v>
      </x:c>
      <x:c r="M11" t="str"/>
      <x:c r="N11" t="str"/>
      <x:c r="O1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6efc48c96d49ec"/>
  </x:tableParts>
</x:worksheet>
</file>