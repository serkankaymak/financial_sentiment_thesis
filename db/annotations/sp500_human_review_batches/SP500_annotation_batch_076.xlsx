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fb4baa6f6b4c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a2740baa1c9948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274E13"/>
      </x:font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f6c1c24bc14521" /><Relationship Type="http://schemas.openxmlformats.org/officeDocument/2006/relationships/theme" Target="/xl/theme/theme1.xml" Id="R52c1312d51d9403c" /><Relationship Type="http://schemas.openxmlformats.org/officeDocument/2006/relationships/sharedStrings" Target="/xl/sharedStrings.xml" Id="R5233e7c1b89e4464" /><Relationship Type="http://schemas.openxmlformats.org/officeDocument/2006/relationships/worksheet" Target="/xl/worksheets/sheet1.xml" Id="Ra2740baa1c9948b3" /></Relationships>
</file>

<file path=xl/tables/table1.xml><?xml version="1.0" encoding="utf-8"?>
<x:table xmlns:x="http://schemas.openxmlformats.org/spreadsheetml/2006/main" id="1" name="AnnotationTable" displayName="AnnotationTable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893decf359489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46" hidden="0" customWidth="1"/>
    <x:col min="5" max="5" width="46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6" hidden="0" customWidth="1"/>
    <x:col min="11" max="11" width="18" hidden="0" customWidth="1"/>
    <x:col min="12" max="12" width="42" hidden="0" customWidth="1"/>
    <x:col min="14" max="14" width="18" hidden="0" customWidth="1"/>
    <x:col min="15" max="15" width="14" hidden="0" customWidth="1"/>
  </x:cols>
  <x:sheetData>
    <x:row r="1" ht="24" customHeight="1">
      <x:c r="A1" s="14" t="str">
        <x:v>annotation_id</x:v>
      </x:c>
      <x:c r="B1" s="14" t="str">
        <x:v>sample_id</x:v>
      </x:c>
      <x:c r="C1" s="14" t="str">
        <x:v>date</x:v>
      </x:c>
      <x:c r="D1" s="14" t="str">
        <x:v>text_en</x:v>
      </x:c>
      <x:c r="E1" s="14" t="str">
        <x:v>text_tr</x:v>
      </x:c>
      <x:c r="F1" s="14" t="str">
        <x:v>finbert_label</x:v>
      </x:c>
      <x:c r="G1" s="14" t="str">
        <x:v>finbert_confidence</x:v>
      </x:c>
      <x:c r="H1" s="14" t="str">
        <x:v>chatgpt_label</x:v>
      </x:c>
      <x:c r="I1" s="14" t="str">
        <x:v>chatgpt_confidence</x:v>
      </x:c>
      <x:c r="J1" s="14" t="str">
        <x:v>chatgpt_reason_tr</x:v>
      </x:c>
      <x:c r="K1" s="14" t="str">
        <x:v>finbert_correctness</x:v>
      </x:c>
      <x:c r="L1" s="14" t="str">
        <x:v>finbert_correctness_note</x:v>
      </x:c>
      <x:c r="N1" s="14" t="str">
        <x:v>Özet</x:v>
      </x:c>
      <x:c r="O1" s="14" t="str">
        <x:v>Değer</x:v>
      </x:c>
    </x:row>
    <x:row r="2" ht="24" customHeight="1">
      <x:c r="A2" s="15" t="str">
        <x:v>SP500_ANN_0751</x:v>
      </x:c>
      <x:c r="B2" s="15" t="str">
        <x:v>SP500_HEAD_015846</x:v>
      </x:c>
      <x:c r="C2" s="15" t="str">
        <x:v>2023-10-05</x:v>
      </x:c>
      <x:c r="D2" s="15" t="str">
        <x:v>Finding Balance in US Equities as Macro Threats Mount</x:v>
      </x:c>
      <x:c r="E2" s="15" t="str">
        <x:v>Makro tehditler artarken ABD hisselerinde denge arayışı.</x:v>
      </x:c>
      <x:c r="F2" s="15" t="str">
        <x:v>positive</x:v>
      </x:c>
      <x:c r="G2" s="18" t="n">
        <x:v>0.759</x:v>
      </x:c>
      <x:c r="H2" s="15" t="str">
        <x:v>neutral</x:v>
      </x:c>
      <x:c r="I2" s="15" t="str">
        <x:v>medium</x:v>
      </x:c>
      <x:c r="J2" s="15" t="str">
        <x:v>Strateji/denge başlığı; net yön sinyali yok.</x:v>
      </x:c>
      <x:c r="K2" s="15" t="str">
        <x:v>wrong</x:v>
      </x:c>
      <x:c r="L2" s="15" t="str">
        <x:v>FinBERT positive demiş; final etiket neutral. Başlıktaki baskın finansal sinyali farklı yorumlamış.</x:v>
      </x:c>
      <x:c r="N2" s="15" t="str">
        <x:v>Toplam örnek</x:v>
      </x:c>
      <x:c r="O2" s="15" t="n">
        <x:f>COUNTA(A2:A11)</x:f>
        <x:v>10</x:v>
      </x:c>
    </x:row>
    <x:row r="3" ht="24" customHeight="1">
      <x:c r="A3" s="15" t="str">
        <x:v>SP500_ANN_0752</x:v>
      </x:c>
      <x:c r="B3" s="15" t="str">
        <x:v>SP500_HEAD_007425</x:v>
      </x:c>
      <x:c r="C3" s="15" t="str">
        <x:v>2020-01-28</x:v>
      </x:c>
      <x:c r="D3" s="15" t="str">
        <x:v>Market reactions to past virus scares show stocks may have more to lose</x:v>
      </x:c>
      <x:c r="E3" s="15" t="str">
        <x:v>Geçmiş virüs korkularına piyasa tepkileri hisselerde daha fazla düşüş olabileceğini gösteriyor.</x:v>
      </x:c>
      <x:c r="F3" s="15" t="str">
        <x:v>negative</x:v>
      </x:c>
      <x:c r="G3" s="18" t="n">
        <x:v>0.701</x:v>
      </x:c>
      <x:c r="H3" s="15" t="str">
        <x:v>negative</x:v>
      </x:c>
      <x:c r="I3" s="15" t="str">
        <x:v>high</x:v>
      </x:c>
      <x:c r="J3" s="15" t="str">
        <x:v>Hisseler için daha fazla kayıp riski belirtiliyor.</x:v>
      </x:c>
      <x:c r="K3" s="15" t="str">
        <x:v>correct</x:v>
      </x:c>
      <x:c r="L3" s="15" t="str">
        <x:v>FinBERT etiketi final etiket ile aynı.</x:v>
      </x:c>
      <x:c r="N3" s="15" t="str">
        <x:v>FinBERT doğru</x:v>
      </x:c>
      <x:c r="O3" s="15" t="n">
        <x:f>COUNTIF(K2:K11,"correct")</x:f>
        <x:v>7</x:v>
      </x:c>
    </x:row>
    <x:row r="4" ht="24" customHeight="1">
      <x:c r="A4" s="15" t="str">
        <x:v>SP500_ANN_0753</x:v>
      </x:c>
      <x:c r="B4" s="15" t="str">
        <x:v>SP500_HEAD_009787</x:v>
      </x:c>
      <x:c r="C4" s="15" t="str">
        <x:v>2021-10-27</x:v>
      </x:c>
      <x:c r="D4" s="15" t="str">
        <x:v>Nasdaq and S&amp;P 500 close at record highs, Ford jumps 8% as strong earnings boost stocks</x:v>
      </x:c>
      <x:c r="E4" s="15" t="str">
        <x:v>Nasdaq ve S&amp;P 500 rekor kapanış yaptı; Ford güçlü bilanço ile %8 sıçradı.</x:v>
      </x:c>
      <x:c r="F4" s="15" t="str">
        <x:v>positive</x:v>
      </x:c>
      <x:c r="G4" s="18" t="n">
        <x:v>0.907</x:v>
      </x:c>
      <x:c r="H4" s="15" t="str">
        <x:v>positive</x:v>
      </x:c>
      <x:c r="I4" s="15" t="str">
        <x:v>high</x:v>
      </x:c>
      <x:c r="J4" s="15" t="str">
        <x:v>Rekor kapanış ve güçlü bilanço açık olumlu.</x:v>
      </x:c>
      <x:c r="K4" s="15" t="str">
        <x:v>correct</x:v>
      </x:c>
      <x:c r="L4" s="15" t="str">
        <x:v>FinBERT etiketi final etiket ile aynı.</x:v>
      </x:c>
      <x:c r="N4" s="15" t="str">
        <x:v>FinBERT yanlış</x:v>
      </x:c>
      <x:c r="O4" s="15" t="n">
        <x:f>COUNTIF(K2:K11,"wrong")</x:f>
        <x:v>3</x:v>
      </x:c>
    </x:row>
    <x:row r="5" ht="24" customHeight="1">
      <x:c r="A5" s="15" t="str">
        <x:v>SP500_ANN_0754</x:v>
      </x:c>
      <x:c r="B5" s="15" t="str">
        <x:v>SP500_HEAD_014675</x:v>
      </x:c>
      <x:c r="C5" s="15" t="str">
        <x:v>2023-07-13</x:v>
      </x:c>
      <x:c r="D5" s="15" t="str">
        <x:v>US stocks: Wall Street returns to highest level in more than a year</x:v>
      </x:c>
      <x:c r="E5" s="15" t="str">
        <x:v>ABD hisseleri bir yıldan uzun sürenin en yüksek seviyesine döndü.</x:v>
      </x:c>
      <x:c r="F5" s="15" t="str">
        <x:v>positive</x:v>
      </x:c>
      <x:c r="G5" s="18" t="n">
        <x:v>0.925</x:v>
      </x:c>
      <x:c r="H5" s="15" t="str">
        <x:v>positive</x:v>
      </x:c>
      <x:c r="I5" s="15" t="str">
        <x:v>high</x:v>
      </x:c>
      <x:c r="J5" s="15" t="str">
        <x:v>Piyasa yüksek seviyelere dönüyor; olumlu.</x:v>
      </x:c>
      <x:c r="K5" s="15" t="str">
        <x:v>correct</x:v>
      </x:c>
      <x:c r="L5" s="15" t="str">
        <x:v>FinBERT etiketi final etiket ile aynı.</x:v>
      </x:c>
      <x:c r="N5" s="15" t="str">
        <x:v>Doğruluk oranı</x:v>
      </x:c>
      <x:c r="O5" s="20" t="n">
        <x:f>IFERROR(O3/O2,0)</x:f>
        <x:v>0.7</x:v>
      </x:c>
    </x:row>
    <x:row r="6" ht="42" customHeight="1">
      <x:c r="A6" s="15" t="str">
        <x:v>SP500_ANN_0755</x:v>
      </x:c>
      <x:c r="B6" s="15" t="str">
        <x:v>SP500_HEAD_006989</x:v>
      </x:c>
      <x:c r="C6" s="15" t="str">
        <x:v>2019-08-28</x:v>
      </x:c>
      <x:c r="D6" s="15" t="str">
        <x:v>Profiting From Trash: 3 Waste Management Stocks to Consider</x:v>
      </x:c>
      <x:c r="E6" s="15" t="str">
        <x:v>Atıktan kazanç: değerlendirilebilecek üç atık yönetimi hissesi.</x:v>
      </x:c>
      <x:c r="F6" s="15" t="str">
        <x:v>neutral</x:v>
      </x:c>
      <x:c r="G6" s="18" t="n">
        <x:v>0.938</x:v>
      </x:c>
      <x:c r="H6" s="15" t="str">
        <x:v>neutral</x:v>
      </x:c>
      <x:c r="I6" s="15" t="str">
        <x:v>medium</x:v>
      </x:c>
      <x:c r="J6" s="15" t="str">
        <x:v>Hisse listesi/öneri başlığı; net piyasa yönü yok.</x:v>
      </x:c>
      <x:c r="K6" s="15" t="str">
        <x:v>correct</x:v>
      </x:c>
      <x:c r="L6" s="15" t="str">
        <x:v>FinBERT etiketi final etiket ile aynı.</x:v>
      </x:c>
    </x:row>
    <x:row r="7" ht="42" customHeight="1">
      <x:c r="A7" s="15" t="str">
        <x:v>SP500_ANN_0756</x:v>
      </x:c>
      <x:c r="B7" s="15" t="str">
        <x:v>SP500_HEAD_004905</x:v>
      </x:c>
      <x:c r="C7" s="15" t="str">
        <x:v>2016-12-28</x:v>
      </x:c>
      <x:c r="D7" s="15" t="str">
        <x:v>Here Are the Best and Worst Performing Assets of 2016</x:v>
      </x:c>
      <x:c r="E7" s="15" t="str">
        <x:v>2016'nın en iyi ve en kötü performans gösteren varlıkları.</x:v>
      </x:c>
      <x:c r="F7" s="15" t="str">
        <x:v>negative</x:v>
      </x:c>
      <x:c r="G7" s="18" t="n">
        <x:v>0.507</x:v>
      </x:c>
      <x:c r="H7" s="15" t="str">
        <x:v>neutral</x:v>
      </x:c>
      <x:c r="I7" s="15" t="str">
        <x:v>high</x:v>
      </x:c>
      <x:c r="J7" s="15" t="str">
        <x:v>Karışık performans listesi; tek yönlü duygu yok.</x:v>
      </x:c>
      <x:c r="K7" s="15" t="str">
        <x:v>wrong</x:v>
      </x:c>
      <x:c r="L7" s="15" t="str">
        <x:v>FinBERT negative demiş; final etiket neutral. Başlıktaki baskın finansal sinyali farklı yorumlamış.</x:v>
      </x:c>
    </x:row>
    <x:row r="8" ht="42" customHeight="1">
      <x:c r="A8" s="15" t="str">
        <x:v>SP500_ANN_0757</x:v>
      </x:c>
      <x:c r="B8" s="15" t="str">
        <x:v>SP500_HEAD_008852</x:v>
      </x:c>
      <x:c r="C8" s="15" t="str">
        <x:v>2021-01-07</x:v>
      </x:c>
      <x:c r="D8" s="15" t="str">
        <x:v>Not Even A Riot At The Capitol Can Keep Stocks Down As Dow, S&amp;P 500 And NASDAQ Hit Record Highs—Again</x:v>
      </x:c>
      <x:c r="E8" s="15" t="str">
        <x:v>Kongre baskını bile Dow, S&amp;P 500 ve Nasdaq'ın tekrar rekor kırmasını engelleyemedi.</x:v>
      </x:c>
      <x:c r="F8" s="15" t="str">
        <x:v>negative</x:v>
      </x:c>
      <x:c r="G8" s="18" t="n">
        <x:v>0.444</x:v>
      </x:c>
      <x:c r="H8" s="15" t="str">
        <x:v>positive</x:v>
      </x:c>
      <x:c r="I8" s="15" t="str">
        <x:v>high</x:v>
      </x:c>
      <x:c r="J8" s="15" t="str">
        <x:v>Piyasalar rekor kırıyor; açık olumlu.</x:v>
      </x:c>
      <x:c r="K8" s="15" t="str">
        <x:v>wrong</x:v>
      </x:c>
      <x:c r="L8" s="15" t="str">
        <x:v>FinBERT negative demiş; final etiket positive. Başlıktaki baskın finansal sinyali farklı yorumlamış.</x:v>
      </x:c>
    </x:row>
    <x:row r="9" ht="42" customHeight="1">
      <x:c r="A9" s="15" t="str">
        <x:v>SP500_ANN_0758</x:v>
      </x:c>
      <x:c r="B9" s="15" t="str">
        <x:v>SP500_HEAD_013417</x:v>
      </x:c>
      <x:c r="C9" s="15" t="str">
        <x:v>2023-03-30</x:v>
      </x:c>
      <x:c r="D9" s="15" t="str">
        <x:v>US stock market today: Dow Jones, S&amp;P 500 hold on to the green; Nasdaq boosted by Intel, Microsoft, App...</x:v>
      </x:c>
      <x:c r="E9" s="15" t="str">
        <x:v>Dow Jones ve S&amp;P 500 yeşilde kaldı; Nasdaq Intel ve Microsoft ile destek buldu.</x:v>
      </x:c>
      <x:c r="F9" s="15" t="str">
        <x:v>positive</x:v>
      </x:c>
      <x:c r="G9" s="18" t="n">
        <x:v>0.871</x:v>
      </x:c>
      <x:c r="H9" s="15" t="str">
        <x:v>positive</x:v>
      </x:c>
      <x:c r="I9" s="15" t="str">
        <x:v>high</x:v>
      </x:c>
      <x:c r="J9" s="15" t="str">
        <x:v>Endekslerin yeşilde kalması olumlu.</x:v>
      </x:c>
      <x:c r="K9" s="15" t="str">
        <x:v>correct</x:v>
      </x:c>
      <x:c r="L9" s="15" t="str">
        <x:v>FinBERT etiketi final etiket ile aynı.</x:v>
      </x:c>
    </x:row>
    <x:row r="10" ht="42" customHeight="1">
      <x:c r="A10" s="15" t="str">
        <x:v>SP500_ANN_0759</x:v>
      </x:c>
      <x:c r="B10" s="15" t="str">
        <x:v>SP500_HEAD_005976</x:v>
      </x:c>
      <x:c r="C10" s="15" t="str">
        <x:v>2018-06-20</x:v>
      </x:c>
      <x:c r="D10" s="15" t="str">
        <x:v>This Day In Market History: Robert Brennan Fined For Securities Fraud</x:v>
      </x:c>
      <x:c r="E10" s="15" t="str">
        <x:v>Piyasa tarihinde bugün: Robert Brennan menkul kıymet dolandırıcılığından ceza aldı.</x:v>
      </x:c>
      <x:c r="F10" s="15" t="str">
        <x:v>negative</x:v>
      </x:c>
      <x:c r="G10" s="18" t="n">
        <x:v>0.722</x:v>
      </x:c>
      <x:c r="H10" s="15" t="str">
        <x:v>negative</x:v>
      </x:c>
      <x:c r="I10" s="15" t="str">
        <x:v>high</x:v>
      </x:c>
      <x:c r="J10" s="15" t="str">
        <x:v>Dolandırıcılık ve ceza negatif finansal/etik sinyal.</x:v>
      </x:c>
      <x:c r="K10" s="15" t="str">
        <x:v>correct</x:v>
      </x:c>
      <x:c r="L10" s="15" t="str">
        <x:v>FinBERT etiketi final etiket ile aynı.</x:v>
      </x:c>
    </x:row>
    <x:row r="11" ht="42" customHeight="1">
      <x:c r="A11" s="15" t="str">
        <x:v>SP500_ANN_0760</x:v>
      </x:c>
      <x:c r="B11" s="15" t="str">
        <x:v>SP500_HEAD_014773</x:v>
      </x:c>
      <x:c r="C11" s="15" t="str">
        <x:v>2023-07-20</x:v>
      </x:c>
      <x:c r="D11" s="15" t="str">
        <x:v>US STOCKS-S&amp;P 500, Nasdaq to open lower as Tesla, Netflix slump</x:v>
      </x:c>
      <x:c r="E11" s="15" t="str">
        <x:v>S&amp;P 500 ve Nasdaq, Tesla ve Netflix düşüşüyle düşük açılışa hazırlanıyor.</x:v>
      </x:c>
      <x:c r="F11" s="15" t="str">
        <x:v>negative</x:v>
      </x:c>
      <x:c r="G11" s="18" t="n">
        <x:v>0.96</x:v>
      </x:c>
      <x:c r="H11" s="15" t="str">
        <x:v>negative</x:v>
      </x:c>
      <x:c r="I11" s="15" t="str">
        <x:v>high</x:v>
      </x:c>
      <x:c r="J11" s="15" t="str">
        <x:v>Endekslerde düşük açılış ve büyük hisselerde düşüş var.</x:v>
      </x:c>
      <x:c r="K11" s="15" t="str">
        <x:v>correct</x:v>
      </x:c>
      <x:c r="L11" s="15" t="str">
        <x:v>FinBERT etiketi final etiket ile aynı.</x:v>
      </x:c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5893decf3594894"/>
  </x:tableParts>
</x:worksheet>
</file>