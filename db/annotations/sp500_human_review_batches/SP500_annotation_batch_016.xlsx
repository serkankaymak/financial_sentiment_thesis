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5892bd237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f67e51fec37a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e0c3f2d914aab" /><Relationship Type="http://schemas.openxmlformats.org/officeDocument/2006/relationships/theme" Target="/xl/theme/theme1.xml" Id="Re405f7d7654043cc" /><Relationship Type="http://schemas.openxmlformats.org/officeDocument/2006/relationships/sharedStrings" Target="/xl/sharedStrings.xml" Id="R31488241f88047fb" /><Relationship Type="http://schemas.openxmlformats.org/officeDocument/2006/relationships/worksheet" Target="/xl/worksheets/sheet1.xml" Id="Rf67e51fec37a4c42" /></Relationships>
</file>

<file path=xl/tables/table1.xml><?xml version="1.0" encoding="utf-8"?>
<x:table xmlns:x="http://schemas.openxmlformats.org/spreadsheetml/2006/main" id="1" name="AnnotationTable016" displayName="AnnotationTable016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52b535af3d4ab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SP500_ANN_0151</x:v>
      </x:c>
      <x:c r="B2" s="34" t="str">
        <x:v>SP500_HEAD_014329</x:v>
      </x:c>
      <x:c r="C2" s="50" t="n">
        <x:v>45092</x:v>
      </x:c>
      <x:c r="D2" s="34" t="str">
        <x:v>Enthusiasm for Tech Stocks and Optimism About Fed Rate Hikes Lift Markets</x:v>
      </x:c>
      <x:c r="E2" s="34" t="str">
        <x:v>Teknoloji hisselerine yönelik coşku ve Fed faiz artışlarına dair iyimserlik piyasaları yükseltti.</x:v>
      </x:c>
      <x:c r="F2" s="34" t="str">
        <x:v>positive</x:v>
      </x:c>
      <x:c r="G2" s="54" t="n">
        <x:v>0.833</x:v>
      </x:c>
      <x:c r="H2" s="34" t="str">
        <x:v>positive</x:v>
      </x:c>
      <x:c r="I2" s="34" t="str">
        <x:v>high</x:v>
      </x:c>
      <x:c r="J2" s="34" t="str">
        <x:v>İyimserlik ve piyasaların yükselmesi açık pozitif sinyal.</x:v>
      </x:c>
      <x:c r="K2" s="34" t="str">
        <x:v>correct</x:v>
      </x:c>
      <x:c r="L2" s="34" t="str">
        <x:v>FinBERT etiketi final etiket ile aynı.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SP500_ANN_0152</x:v>
      </x:c>
      <x:c r="B3" s="34" t="str">
        <x:v>SP500_HEAD_009196</x:v>
      </x:c>
      <x:c r="C3" s="50" t="n">
        <x:v>44313</x:v>
      </x:c>
      <x:c r="D3" s="34" t="str">
        <x:v>YSU investment fund club outperforms S&amp;P 500 index, Youngstown -</x:v>
      </x:c>
      <x:c r="E3" s="34" t="str">
        <x:v>YSU yatırım fonu kulübü S&amp;P 500 endeksinden daha iyi performans gösterdi.</x:v>
      </x:c>
      <x:c r="F3" s="34" t="str">
        <x:v>positive</x:v>
      </x:c>
      <x:c r="G3" s="54" t="n">
        <x:v>0.805</x:v>
      </x:c>
      <x:c r="H3" s="34" t="str">
        <x:v>positive</x:v>
      </x:c>
      <x:c r="I3" s="34" t="str">
        <x:v>high</x:v>
      </x:c>
      <x:c r="J3" s="34" t="str">
        <x:v>S&amp;P 500'ü aşan performans olumlu yatırım sinyali.</x:v>
      </x:c>
      <x:c r="K3" s="34" t="str">
        <x:v>correct</x:v>
      </x:c>
      <x:c r="L3" s="34" t="str">
        <x:v>FinBERT etiketi final etiket ile aynı.</x:v>
      </x:c>
      <x:c r="M3" s="34" t="str"/>
      <x:c r="N3" s="34" t="str">
        <x:v>FinBERT doğru</x:v>
      </x:c>
      <x:c r="O3" s="35" t="n">
        <x:f>COUNTIF(K2:K11,"correct")</x:f>
        <x:v>8</x:v>
      </x:c>
    </x:row>
    <x:row r="4" ht="58" customHeight="1">
      <x:c r="A4" s="33" t="str">
        <x:v>SP500_ANN_0153</x:v>
      </x:c>
      <x:c r="B4" s="34" t="str">
        <x:v>SP500_HEAD_002474</x:v>
      </x:c>
      <x:c r="C4" s="50" t="n">
        <x:v>41641</x:v>
      </x:c>
      <x:c r="D4" s="34" t="str">
        <x:v>Regression to Trend: A Perspective on Long-Term Market Performance</x:v>
      </x:c>
      <x:c r="E4" s="34" t="str">
        <x:v>Trende dönüş: uzun vadeli piyasa performansına bir bakış.</x:v>
      </x:c>
      <x:c r="F4" s="34" t="str">
        <x:v>neutral</x:v>
      </x:c>
      <x:c r="G4" s="54" t="n">
        <x:v>0.908</x:v>
      </x:c>
      <x:c r="H4" s="34" t="str">
        <x:v>neutral</x:v>
      </x:c>
      <x:c r="I4" s="34" t="str">
        <x:v>high</x:v>
      </x:c>
      <x:c r="J4" s="34" t="str">
        <x:v>Analitik/perspektif başlığı; net yön yok.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2</x:v>
      </x:c>
    </x:row>
    <x:row r="5" ht="58" customHeight="1">
      <x:c r="A5" s="33" t="str">
        <x:v>SP500_ANN_0154</x:v>
      </x:c>
      <x:c r="B5" s="34" t="str">
        <x:v>SP500_HEAD_013280</x:v>
      </x:c>
      <x:c r="C5" s="50" t="n">
        <x:v>45005</x:v>
      </x:c>
      <x:c r="D5" s="34" t="str">
        <x:v>Sector Views March 2023: GICS Change Adds Growth to Financials</x:v>
      </x:c>
      <x:c r="E5" s="34" t="str">
        <x:v>Mart 2023 sektör görüşleri: GICS değişikliği finansallara büyüme ekliyor.</x:v>
      </x:c>
      <x:c r="F5" s="34" t="str">
        <x:v>positive</x:v>
      </x:c>
      <x:c r="G5" s="54" t="n">
        <x:v>0.867</x:v>
      </x:c>
      <x:c r="H5" s="34" t="str">
        <x:v>positive</x:v>
      </x:c>
      <x:c r="I5" s="34" t="str">
        <x:v>medium</x:v>
      </x:c>
      <x:c r="J5" s="34" t="str">
        <x:v>Finansallar için büyüme vurgusu olumlu sektör sinyali.</x:v>
      </x:c>
      <x:c r="K5" s="34" t="str">
        <x:v>correct</x:v>
      </x:c>
      <x:c r="L5" s="34" t="str">
        <x:v>FinBERT etiketi final etiket ile aynı.</x:v>
      </x:c>
      <x:c r="M5" s="34" t="str"/>
      <x:c r="N5" s="34" t="str">
        <x:v>Doğruluk oranı</x:v>
      </x:c>
      <x:c r="O5" s="58" t="n">
        <x:f>O3/O2</x:f>
        <x:v>0.8</x:v>
      </x:c>
    </x:row>
    <x:row r="6" ht="58" customHeight="1">
      <x:c r="A6" s="33" t="str">
        <x:v>SP500_ANN_0155</x:v>
      </x:c>
      <x:c r="B6" s="34" t="str">
        <x:v>SP500_HEAD_002530</x:v>
      </x:c>
      <x:c r="C6" s="50" t="n">
        <x:v>41667</x:v>
      </x:c>
      <x:c r="D6" s="34" t="str">
        <x:v>Your smartphone could replace hotel keys</x:v>
      </x:c>
      <x:c r="E6" s="34" t="str">
        <x:v>Akıllı telefonunuz otel anahtarlarının yerini alabilir.</x:v>
      </x:c>
      <x:c r="F6" s="34" t="str">
        <x:v>neutral</x:v>
      </x:c>
      <x:c r="G6" s="54" t="n">
        <x:v>0.925</x:v>
      </x:c>
      <x:c r="H6" s="34" t="str">
        <x:v>neutral</x:v>
      </x:c>
      <x:c r="I6" s="34" t="str">
        <x:v>high</x:v>
      </x:c>
      <x:c r="J6" s="34" t="str">
        <x:v>Teknoloji/tüketici başlığı; finansal piyasa yönü yok.</x:v>
      </x:c>
      <x:c r="K6" s="34" t="str">
        <x:v>correct</x:v>
      </x:c>
      <x:c r="L6" s="34" t="str">
        <x:v>FinBERT etiketi final etiket ile aynı.</x:v>
      </x:c>
      <x:c r="M6" s="34" t="str"/>
      <x:c r="N6" s="34"/>
      <x:c r="O6" s="35"/>
    </x:row>
    <x:row r="7" ht="58" customHeight="1">
      <x:c r="A7" s="33" t="str">
        <x:v>SP500_ANN_0156</x:v>
      </x:c>
      <x:c r="B7" s="34" t="str">
        <x:v>SP500_HEAD_011408</x:v>
      </x:c>
      <x:c r="C7" s="50" t="n">
        <x:v>44776</x:v>
      </x:c>
      <x:c r="D7" s="34" t="str">
        <x:v>Can the S&amp;P 500 Maintain Its July Momentum?</x:v>
      </x:c>
      <x:c r="E7" s="34" t="str">
        <x:v>S&amp;P 500 Temmuz momentumunu koruyabilir mi?</x:v>
      </x:c>
      <x:c r="F7" s="34" t="str">
        <x:v>positive</x:v>
      </x:c>
      <x:c r="G7" s="54" t="n">
        <x:v>0.536</x:v>
      </x:c>
      <x:c r="H7" s="34" t="str">
        <x:v>neutral</x:v>
      </x:c>
      <x:c r="I7" s="34" t="str">
        <x:v>medium</x:v>
      </x:c>
      <x:c r="J7" s="34" t="str">
        <x:v>Momentumdan bahsediliyor ancak soru formu net yön vermiyor.</x:v>
      </x:c>
      <x:c r="K7" s="34" t="str">
        <x:v>wrong</x:v>
      </x:c>
      <x:c r="L7" s="34" t="str">
        <x:v>FinBERT positive demiş; final etiket neutral.</x:v>
      </x:c>
      <x:c r="M7" s="34" t="str"/>
      <x:c r="N7" s="34"/>
      <x:c r="O7" s="35"/>
    </x:row>
    <x:row r="8" ht="58" customHeight="1">
      <x:c r="A8" s="33" t="str">
        <x:v>SP500_ANN_0157</x:v>
      </x:c>
      <x:c r="B8" s="34" t="str">
        <x:v>SP500_HEAD_009364</x:v>
      </x:c>
      <x:c r="C8" s="50" t="n">
        <x:v>44368</x:v>
      </x:c>
      <x:c r="D8" s="34" t="str">
        <x:v>Aerospace-Defense Outperforms S&amp;P 500 YTD: 4 Stocks to Buy</x:v>
      </x:c>
      <x:c r="E8" s="34" t="str">
        <x:v>Havacılık-savunma S&amp;P 500'ü yılbaşından bu yana geride bıraktı: alınabilecek 4 hisse.</x:v>
      </x:c>
      <x:c r="F8" s="34" t="str">
        <x:v>positive</x:v>
      </x:c>
      <x:c r="G8" s="54" t="n">
        <x:v>0.515</x:v>
      </x:c>
      <x:c r="H8" s="34" t="str">
        <x:v>positive</x:v>
      </x:c>
      <x:c r="I8" s="34" t="str">
        <x:v>high</x:v>
      </x:c>
      <x:c r="J8" s="34" t="str">
        <x:v>S&amp;P 500'ü aşan sektör performansı ve alım vurgusu pozitif.</x:v>
      </x:c>
      <x:c r="K8" s="34" t="str">
        <x:v>correct</x:v>
      </x:c>
      <x:c r="L8" s="34" t="str">
        <x:v>FinBERT etiketi final etiket ile aynı.</x:v>
      </x:c>
      <x:c r="M8" s="34" t="str"/>
      <x:c r="N8" s="34"/>
      <x:c r="O8" s="35"/>
    </x:row>
    <x:row r="9" ht="58" customHeight="1">
      <x:c r="A9" s="33" t="str">
        <x:v>SP500_ANN_0158</x:v>
      </x:c>
      <x:c r="B9" s="34" t="str">
        <x:v>SP500_HEAD_001867</x:v>
      </x:c>
      <x:c r="C9" s="50" t="n">
        <x:v>41355</x:v>
      </x:c>
      <x:c r="D9" s="34" t="str">
        <x:v>Salesforce breaks ranks with 4-1 stock split</x:v>
      </x:c>
      <x:c r="E9" s="34" t="str">
        <x:v>Salesforce 4'e 1 hisse bölünmesiyle farklı bir yol izliyor.</x:v>
      </x:c>
      <x:c r="F9" s="34" t="str">
        <x:v>negative</x:v>
      </x:c>
      <x:c r="G9" s="54" t="n">
        <x:v>0.727</x:v>
      </x:c>
      <x:c r="H9" s="34" t="str">
        <x:v>neutral</x:v>
      </x:c>
      <x:c r="I9" s="34" t="str">
        <x:v>medium</x:v>
      </x:c>
      <x:c r="J9" s="34" t="str">
        <x:v>Hisse bölünmesi haberi var ancak başlıkta net olumlu/olumsuz performans sinyali yok.</x:v>
      </x:c>
      <x:c r="K9" s="34" t="str">
        <x:v>wrong</x:v>
      </x:c>
      <x:c r="L9" s="34" t="str">
        <x:v>FinBERT negative demiş; final etiket neutral.</x:v>
      </x:c>
      <x:c r="M9" s="34" t="str"/>
      <x:c r="N9" s="34"/>
      <x:c r="O9" s="35"/>
    </x:row>
    <x:row r="10" ht="58" customHeight="1">
      <x:c r="A10" s="33" t="str">
        <x:v>SP500_ANN_0159</x:v>
      </x:c>
      <x:c r="B10" s="34" t="str">
        <x:v>SP500_HEAD_017706</x:v>
      </x:c>
      <x:c r="C10" s="50" t="n">
        <x:v>45342</x:v>
      </x:c>
      <x:c r="D10" s="34" t="str">
        <x:v>SPX: S&amp;P 500 Futures Dip Ahead of Shortened Week, Nvidia Earnings on Deck</x:v>
      </x:c>
      <x:c r="E10" s="34" t="str">
        <x:v>SPX: S&amp;P 500 vadeli işlemleri kısa hafta öncesinde ve Nvidia bilançosu beklenirken geriledi.</x:v>
      </x:c>
      <x:c r="F10" s="34" t="str">
        <x:v>negative</x:v>
      </x:c>
      <x:c r="G10" s="54" t="n">
        <x:v>0.964</x:v>
      </x:c>
      <x:c r="H10" s="34" t="str">
        <x:v>negative</x:v>
      </x:c>
      <x:c r="I10" s="34" t="str">
        <x:v>high</x:v>
      </x:c>
      <x:c r="J10" s="34" t="str">
        <x:v>Vadeli işlemlerin düşmesi kısa vadeli negatif piyasa sinyali.</x:v>
      </x:c>
      <x:c r="K10" s="34" t="str">
        <x:v>correct</x:v>
      </x:c>
      <x:c r="L10" s="34" t="str">
        <x:v>FinBERT etiketi final etiket ile aynı.</x:v>
      </x:c>
      <x:c r="M10" s="34" t="str"/>
      <x:c r="N10" s="34"/>
      <x:c r="O10" s="35"/>
    </x:row>
    <x:row r="11" ht="58" customHeight="1">
      <x:c r="A11" s="36" t="str">
        <x:v>SP500_ANN_0160</x:v>
      </x:c>
      <x:c r="B11" s="37" t="str">
        <x:v>SP500_HEAD_012817</x:v>
      </x:c>
      <x:c r="C11" s="51" t="n">
        <x:v>44966</x:v>
      </x:c>
      <x:c r="D11" s="37" t="str">
        <x:v>Wall St dips as Treasury yields rise after auction</x:v>
      </x:c>
      <x:c r="E11" s="37" t="str">
        <x:v>Wall Street, ihale sonrası Hazine getirileri yükselirken düştü.</x:v>
      </x:c>
      <x:c r="F11" s="37" t="str">
        <x:v>negative</x:v>
      </x:c>
      <x:c r="G11" s="55" t="n">
        <x:v>0.815</x:v>
      </x:c>
      <x:c r="H11" s="37" t="str">
        <x:v>negative</x:v>
      </x:c>
      <x:c r="I11" s="37" t="str">
        <x:v>high</x:v>
      </x:c>
      <x:c r="J11" s="37" t="str">
        <x:v>Wall Street'in düşmesi ve getirilerin yükselmesi negatif piyasa sinyali.</x:v>
      </x:c>
      <x:c r="K11" s="37" t="str">
        <x:v>correct</x:v>
      </x:c>
      <x:c r="L11" s="37" t="str">
        <x:v>FinBERT etiketi final etiket ile aynı.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2b535af3d4ab2"/>
  </x:tableParts>
</x:worksheet>
</file>