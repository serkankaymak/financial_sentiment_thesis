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5e79170e0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06" sheetId="1" r:id="Re3dbb7d01295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2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202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202" fontId="0" fillId="3" borderId="1" xfId="0" applyNumberFormat="1" applyFont="1" applyFill="1" applyBorder="1"/>
    <x:xf numFmtId="0" fontId="2" fillId="3" borderId="1" xfId="0" applyNumberFormat="1" applyFont="1" applyFill="1" applyBorder="1"/>
    <x:xf numFmtId="202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2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202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2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176bf039a4d5b" /><Relationship Type="http://schemas.openxmlformats.org/officeDocument/2006/relationships/theme" Target="/xl/theme/theme1.xml" Id="Ra1974032749c4c6d" /><Relationship Type="http://schemas.openxmlformats.org/officeDocument/2006/relationships/sharedStrings" Target="/xl/sharedStrings.xml" Id="Re0d889ccbc5b42c2" /><Relationship Type="http://schemas.openxmlformats.org/officeDocument/2006/relationships/worksheet" Target="/xl/worksheets/sheet1.xml" Id="Re3dbb7d012954d15" /></Relationships>
</file>

<file path=xl/tables/table1.xml><?xml version="1.0" encoding="utf-8"?>
<x:table xmlns:x="http://schemas.openxmlformats.org/spreadsheetml/2006/main" id="1" name="AnnotationTable006" displayName="AnnotationTable006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9885bf003e40e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52" hidden="0" customWidth="1"/>
    <x:col min="5" max="5" width="5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6" hidden="0" customWidth="1"/>
    <x:col min="11" max="11" width="18" hidden="0" customWidth="1"/>
    <x:col min="12" max="12" width="56" hidden="0" customWidth="1"/>
    <x:col min="13" max="13" width="3" hidden="0" customWidth="1"/>
    <x:col min="14" max="14" width="18" hidden="0" customWidth="1"/>
    <x:col min="15" max="15" width="12" hidden="0" customWidth="1"/>
  </x:cols>
  <x:sheetData>
    <x:row r="1" ht="30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t="str"/>
      <x:c r="N1" s="6" t="str">
        <x:v>Özet</x:v>
      </x:c>
      <x:c r="O1" s="6" t="str">
        <x:v>Değer</x:v>
      </x:c>
    </x:row>
    <x:row r="2" ht="24" customHeight="1">
      <x:c r="A2" s="14" t="str">
        <x:v>SP500_ANN_0051</x:v>
      </x:c>
      <x:c r="B2" s="14" t="str">
        <x:v>SP500_HEAD_004207</x:v>
      </x:c>
      <x:c r="C2" s="16" t="n">
        <x:v>42409</x:v>
      </x:c>
      <x:c r="D2" s="14" t="str">
        <x:v>Gold vs. S&amp;P 500 Comes Full Circle | Gold News</x:v>
      </x:c>
      <x:c r="E2" s="14" t="str">
        <x:v>Altın ve S&amp;P 500 karşılaştırması başladığı noktaya döndü | Altın Haberleri</x:v>
      </x:c>
      <x:c r="F2" s="22" t="str">
        <x:v>neutral</x:v>
      </x:c>
      <x:c r="G2" s="18" t="n">
        <x:v>0.8610389828681946</x:v>
      </x:c>
      <x:c r="H2" s="22" t="str">
        <x:v>neutral</x:v>
      </x:c>
      <x:c r="I2" s="22" t="str">
        <x:v>high</x:v>
      </x:c>
      <x:c r="J2" s="14" t="str">
        <x:v>Karşılaştırmalı analiz başlığı; net olumlu/olumsuz piyasa yönü vermiyor.</x:v>
      </x:c>
      <x:c r="K2" s="22" t="str">
        <x:v>correct</x:v>
      </x:c>
      <x:c r="L2" s="14" t="str">
        <x:v>FinBERT etiketi final etiket ile aynı.</x:v>
      </x:c>
      <x:c r="M2" t="str"/>
      <x:c r="N2" s="44" t="str">
        <x:v>Toplam örnek</x:v>
      </x:c>
      <x:c r="O2" s="46" t="n">
        <x:f>COUNTA(A2:A11)</x:f>
        <x:v>10</x:v>
      </x:c>
    </x:row>
    <x:row r="3" ht="24" customHeight="1">
      <x:c r="A3" s="14" t="str">
        <x:v>SP500_ANN_0052</x:v>
      </x:c>
      <x:c r="B3" s="14" t="str">
        <x:v>SP500_HEAD_017346</x:v>
      </x:c>
      <x:c r="C3" s="16" t="n">
        <x:v>45310</x:v>
      </x:c>
      <x:c r="D3" s="14" t="str">
        <x:v>S&amp;P 500: Don't Let Valuations, New Record Worry You</x:v>
      </x:c>
      <x:c r="E3" s="14" t="str">
        <x:v>S&amp;P 500: Değerlemelerin ve yeni rekorun sizi endişelendirmesine izin vermeyin.</x:v>
      </x:c>
      <x:c r="F3" s="22" t="str">
        <x:v>neutral</x:v>
      </x:c>
      <x:c r="G3" s="18" t="n">
        <x:v>0.8572098016738892</x:v>
      </x:c>
      <x:c r="H3" s="22" t="str">
        <x:v>positive</x:v>
      </x:c>
      <x:c r="I3" s="22" t="str">
        <x:v>medium</x:v>
      </x:c>
      <x:c r="J3" s="14" t="str">
        <x:v>Yüksek değerleme/rekor için endişelenmeyin mesajı yatırımcı açısından rahatlatıcı ve hafif olumlu.</x:v>
      </x:c>
      <x:c r="K3" s="22" t="str">
        <x:v>wrong</x:v>
      </x:c>
      <x:c r="L3" s="14" t="str">
        <x:v>FinBERT neutral demiş; final etiket positive. Başlık endişeyi azaltan bullish bir ton taşıyor.</x:v>
      </x:c>
      <x:c r="M3" t="str"/>
      <x:c r="N3" s="44" t="str">
        <x:v>FinBERT doğru</x:v>
      </x:c>
      <x:c r="O3" s="46" t="n">
        <x:f>COUNTIF(K2:K11,"correct")</x:f>
        <x:v>7</x:v>
      </x:c>
    </x:row>
    <x:row r="4" ht="24" customHeight="1">
      <x:c r="A4" s="14" t="str">
        <x:v>SP500_ANN_0053</x:v>
      </x:c>
      <x:c r="B4" s="14" t="str">
        <x:v>SP500_HEAD_003452</x:v>
      </x:c>
      <x:c r="C4" s="16" t="n">
        <x:v>42066</x:v>
      </x:c>
      <x:c r="D4" s="14" t="str">
        <x:v>Women-led companies perform three times better than the S&amp;P 500</x:v>
      </x:c>
      <x:c r="E4" s="14" t="str">
        <x:v>Kadınların yönettiği şirketler S&amp;P 500'den üç kat daha iyi performans gösteriyor.</x:v>
      </x:c>
      <x:c r="F4" s="22" t="str">
        <x:v>positive</x:v>
      </x:c>
      <x:c r="G4" s="18" t="n">
        <x:v>0.9469296336174011</x:v>
      </x:c>
      <x:c r="H4" s="22" t="str">
        <x:v>positive</x:v>
      </x:c>
      <x:c r="I4" s="22" t="str">
        <x:v>high</x:v>
      </x:c>
      <x:c r="J4" s="14" t="str">
        <x:v>S&amp;P 500'e göre çok daha iyi performans açık olumlu finansal sinyal.</x:v>
      </x:c>
      <x:c r="K4" s="22" t="str">
        <x:v>correct</x:v>
      </x:c>
      <x:c r="L4" s="14" t="str">
        <x:v>FinBERT etiketi final etiket ile aynı.</x:v>
      </x:c>
      <x:c r="M4" t="str"/>
      <x:c r="N4" s="44" t="str">
        <x:v>FinBERT yanlış</x:v>
      </x:c>
      <x:c r="O4" s="46" t="n">
        <x:f>COUNTIF(K2:K11,"wrong")</x:f>
        <x:v>3</x:v>
      </x:c>
    </x:row>
    <x:row r="5" ht="24" customHeight="1">
      <x:c r="A5" s="14" t="str">
        <x:v>SP500_ANN_0054</x:v>
      </x:c>
      <x:c r="B5" s="14" t="str">
        <x:v>SP500_HEAD_012993</x:v>
      </x:c>
      <x:c r="C5" s="16" t="n">
        <x:v>44984</x:v>
      </x:c>
      <x:c r="D5" s="14" t="str">
        <x:v>US Markets Open the Week Higher on Corporate Headlines</x:v>
      </x:c>
      <x:c r="E5" s="14" t="str">
        <x:v>ABD piyasaları şirket haberleriyle haftaya yükselişle başladı.</x:v>
      </x:c>
      <x:c r="F5" s="22" t="str">
        <x:v>positive</x:v>
      </x:c>
      <x:c r="G5" s="18" t="n">
        <x:v>0.8886421918869019</x:v>
      </x:c>
      <x:c r="H5" s="22" t="str">
        <x:v>positive</x:v>
      </x:c>
      <x:c r="I5" s="22" t="str">
        <x:v>high</x:v>
      </x:c>
      <x:c r="J5" s="14" t="str">
        <x:v>Piyasaların haftaya yükselişle başlaması net olumlu sinyal.</x:v>
      </x:c>
      <x:c r="K5" s="22" t="str">
        <x:v>correct</x:v>
      </x:c>
      <x:c r="L5" s="14" t="str">
        <x:v>FinBERT etiketi final etiket ile aynı.</x:v>
      </x:c>
      <x:c r="M5" t="str"/>
      <x:c r="N5" s="44" t="str">
        <x:v>Doğruluk oranı</x:v>
      </x:c>
      <x:c r="O5" s="47" t="n">
        <x:f>O3/O2</x:f>
        <x:v>0.7</x:v>
      </x:c>
    </x:row>
    <x:row r="6" ht="90" customHeight="1">
      <x:c r="A6" s="14" t="str">
        <x:v>SP500_ANN_0055</x:v>
      </x:c>
      <x:c r="B6" s="14" t="str">
        <x:v>SP500_HEAD_017614</x:v>
      </x:c>
      <x:c r="C6" s="16" t="n">
        <x:v>45335</x:v>
      </x:c>
      <x:c r="D6" s="14" t="str">
        <x:v>1 Magnificent S&amp;P 500 Dividend Stock Returning 1,280% Since 2002 to Buy Right Now</x:v>
      </x:c>
      <x:c r="E6" s="14" t="str">
        <x:v>2002'den beri %1.280 getiri sağlayan ve şimdi alınabilecek 1 muhteşem S&amp;P 500 temettü hissesi.</x:v>
      </x:c>
      <x:c r="F6" s="22" t="str">
        <x:v>neutral</x:v>
      </x:c>
      <x:c r="G6" s="18" t="n">
        <x:v>0.5465019345283508</x:v>
      </x:c>
      <x:c r="H6" s="22" t="str">
        <x:v>positive</x:v>
      </x:c>
      <x:c r="I6" s="22" t="str">
        <x:v>high</x:v>
      </x:c>
      <x:c r="J6" s="14" t="str">
        <x:v>Yüksek geçmiş getiri ve 'buy right now' ifadesi güçlü olumlu hisse sinyali veriyor.</x:v>
      </x:c>
      <x:c r="K6" s="22" t="str">
        <x:v>wrong</x:v>
      </x:c>
      <x:c r="L6" s="14" t="str">
        <x:v>FinBERT neutral demiş; final etiket positive. Başlık açıkça olumlu yatırım tonu taşıyor.</x:v>
      </x:c>
      <x:c r="M6" t="str"/>
      <x:c r="N6" t="str"/>
      <x:c r="O6" t="str"/>
    </x:row>
    <x:row r="7" ht="90" customHeight="1">
      <x:c r="A7" s="14" t="str">
        <x:v>SP500_ANN_0056</x:v>
      </x:c>
      <x:c r="B7" s="14" t="str">
        <x:v>SP500_HEAD_016955</x:v>
      </x:c>
      <x:c r="C7" s="16" t="n">
        <x:v>45279</x:v>
      </x:c>
      <x:c r="D7" s="14" t="str">
        <x:v>Stock Market Today: Dow, S&amp;P Live Updates for December 20</x:v>
      </x:c>
      <x:c r="E7" s="14" t="str">
        <x:v>Bugünkü borsa: Dow ve S&amp;P canlı güncellemeleri, 20 Aralık.</x:v>
      </x:c>
      <x:c r="F7" s="22" t="str">
        <x:v>neutral</x:v>
      </x:c>
      <x:c r="G7" s="18" t="n">
        <x:v>0.9163628220558167</x:v>
      </x:c>
      <x:c r="H7" s="22" t="str">
        <x:v>neutral</x:v>
      </x:c>
      <x:c r="I7" s="22" t="str">
        <x:v>high</x:v>
      </x:c>
      <x:c r="J7" s="14" t="str">
        <x:v>Canlı güncelleme/kategori başlığı; yön veya duygu yok.</x:v>
      </x:c>
      <x:c r="K7" s="22" t="str">
        <x:v>correct</x:v>
      </x:c>
      <x:c r="L7" s="14" t="str">
        <x:v>FinBERT etiketi final etiket ile aynı.</x:v>
      </x:c>
      <x:c r="M7" t="str"/>
      <x:c r="N7" t="str"/>
      <x:c r="O7" t="str"/>
    </x:row>
    <x:row r="8" ht="90" customHeight="1">
      <x:c r="A8" s="14" t="str">
        <x:v>SP500_ANN_0057</x:v>
      </x:c>
      <x:c r="B8" s="14" t="str">
        <x:v>SP500_HEAD_004904</x:v>
      </x:c>
      <x:c r="C8" s="16" t="n">
        <x:v>42731</x:v>
      </x:c>
      <x:c r="D8" s="14" t="str">
        <x:v>These Are the 7 Biggest Hedge Fund Disasters of 2016</x:v>
      </x:c>
      <x:c r="E8" s="14" t="str">
        <x:v>2016'nın en büyük 7 hedge fon felaketi.</x:v>
      </x:c>
      <x:c r="F8" s="22" t="str">
        <x:v>negative</x:v>
      </x:c>
      <x:c r="G8" s="18" t="n">
        <x:v>0.6240609288215637</x:v>
      </x:c>
      <x:c r="H8" s="22" t="str">
        <x:v>negative</x:v>
      </x:c>
      <x:c r="I8" s="22" t="str">
        <x:v>high</x:v>
      </x:c>
      <x:c r="J8" s="14" t="str">
        <x:v>'Disasters/felaketler' ifadesi açık negatif finansal bağlam oluşturuyor.</x:v>
      </x:c>
      <x:c r="K8" s="22" t="str">
        <x:v>correct</x:v>
      </x:c>
      <x:c r="L8" s="14" t="str">
        <x:v>FinBERT etiketi final etiket ile aynı.</x:v>
      </x:c>
      <x:c r="M8" t="str"/>
      <x:c r="N8" t="str"/>
      <x:c r="O8" t="str"/>
    </x:row>
    <x:row r="9" ht="90" customHeight="1">
      <x:c r="A9" s="14" t="str">
        <x:v>SP500_ANN_0058</x:v>
      </x:c>
      <x:c r="B9" s="14" t="str">
        <x:v>SP500_HEAD_015323</x:v>
      </x:c>
      <x:c r="C9" s="16" t="n">
        <x:v>45163</x:v>
      </x:c>
      <x:c r="D9" s="14" t="str">
        <x:v>After 374-point tumble in the Dow, U.S. stock futures rise before Powell talk</x:v>
      </x:c>
      <x:c r="E9" s="14" t="str">
        <x:v>Dow'daki 374 puanlık düşüşün ardından ABD hisse vadeli işlemleri Powell konuşması öncesi yükseldi.</x:v>
      </x:c>
      <x:c r="F9" s="22" t="str">
        <x:v>negative</x:v>
      </x:c>
      <x:c r="G9" s="18" t="n">
        <x:v>0.5115499496459961</x:v>
      </x:c>
      <x:c r="H9" s="22" t="str">
        <x:v>positive</x:v>
      </x:c>
      <x:c r="I9" s="22" t="str">
        <x:v>medium</x:v>
      </x:c>
      <x:c r="J9" s="14" t="str">
        <x:v>Önceki düşüşe rağmen mevcut sinyal vadeli işlemlerin yükselmesi; kısa vadede olumlu.</x:v>
      </x:c>
      <x:c r="K9" s="22" t="str">
        <x:v>wrong</x:v>
      </x:c>
      <x:c r="L9" s="14" t="str">
        <x:v>FinBERT negative demiş; final etiket positive. Muhtemelen 'tumble' kelimesine fazla ağırlık verdi.</x:v>
      </x:c>
      <x:c r="M9" t="str"/>
      <x:c r="N9" t="str"/>
      <x:c r="O9" t="str"/>
    </x:row>
    <x:row r="10" ht="90" customHeight="1">
      <x:c r="A10" s="14" t="str">
        <x:v>SP500_ANN_0059</x:v>
      </x:c>
      <x:c r="B10" s="14" t="str">
        <x:v>SP500_HEAD_004144</x:v>
      </x:c>
      <x:c r="C10" s="16" t="n">
        <x:v>42380</x:v>
      </x:c>
      <x:c r="D10" s="14" t="str">
        <x:v>Wall Street faces profit recession as earnings season begins – EMTV Online</x:v>
      </x:c>
      <x:c r="E10" s="14" t="str">
        <x:v>Bilanço sezonu başlarken Wall Street kâr resesyonuyla karşı karşıya.</x:v>
      </x:c>
      <x:c r="F10" s="22" t="str">
        <x:v>negative</x:v>
      </x:c>
      <x:c r="G10" s="18" t="n">
        <x:v>0.947155237197876</x:v>
      </x:c>
      <x:c r="H10" s="22" t="str">
        <x:v>negative</x:v>
      </x:c>
      <x:c r="I10" s="22" t="str">
        <x:v>high</x:v>
      </x:c>
      <x:c r="J10" s="14" t="str">
        <x:v>Kâr resesyonu ifadesi açık negatif finansal sinyal.</x:v>
      </x:c>
      <x:c r="K10" s="22" t="str">
        <x:v>correct</x:v>
      </x:c>
      <x:c r="L10" s="14" t="str">
        <x:v>FinBERT etiketi final etiket ile aynı.</x:v>
      </x:c>
      <x:c r="M10" t="str"/>
      <x:c r="N10" t="str"/>
      <x:c r="O10" t="str"/>
    </x:row>
    <x:row r="11" ht="90" customHeight="1">
      <x:c r="A11" s="14" t="str">
        <x:v>SP500_ANN_0060</x:v>
      </x:c>
      <x:c r="B11" s="14" t="str">
        <x:v>SP500_HEAD_008277</x:v>
      </x:c>
      <x:c r="C11" s="16" t="n">
        <x:v>44063</x:v>
      </x:c>
      <x:c r="D11" s="14" t="str">
        <x:v>S&amp;P 500 and the U.S. Presidential Election</x:v>
      </x:c>
      <x:c r="E11" s="14" t="str">
        <x:v>S&amp;P 500 ve ABD başkanlık seçimi.</x:v>
      </x:c>
      <x:c r="F11" s="22" t="str">
        <x:v>neutral</x:v>
      </x:c>
      <x:c r="G11" s="18" t="n">
        <x:v>0.9212759137153625</x:v>
      </x:c>
      <x:c r="H11" s="22" t="str">
        <x:v>neutral</x:v>
      </x:c>
      <x:c r="I11" s="22" t="str">
        <x:v>high</x:v>
      </x:c>
      <x:c r="J11" s="14" t="str">
        <x:v>Konu başlığı; net piyasa yönü veya duygu yok.</x:v>
      </x:c>
      <x:c r="K11" s="22" t="str">
        <x:v>correct</x:v>
      </x:c>
      <x:c r="L11" s="14" t="str">
        <x:v>FinBERT etiketi final etiket ile aynı.</x:v>
      </x:c>
      <x:c r="M11" t="str"/>
      <x:c r="N11" t="str"/>
      <x:c r="O1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9885bf003e40e2"/>
  </x:tableParts>
</x:worksheet>
</file>