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707d5a08a4e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30" sheetId="1" r:id="Rf905247062d641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8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9e721b21b4d41" /><Relationship Type="http://schemas.openxmlformats.org/officeDocument/2006/relationships/theme" Target="/xl/theme/theme1.xml" Id="Ra71421429f274e0a" /><Relationship Type="http://schemas.openxmlformats.org/officeDocument/2006/relationships/sharedStrings" Target="/xl/sharedStrings.xml" Id="R317e87166d5b4101" /><Relationship Type="http://schemas.openxmlformats.org/officeDocument/2006/relationships/worksheet" Target="/xl/worksheets/sheet1.xml" Id="Rf905247062d641ac" /></Relationships>
</file>

<file path=xl/tables/table1.xml><?xml version="1.0" encoding="utf-8"?>
<x:table xmlns:x="http://schemas.openxmlformats.org/spreadsheetml/2006/main" id="1" name="AnnTable_030" displayName="AnnTable_030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872aa070ae46a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  <x:col min="11" max="11" width="18" hidden="0" customWidth="1"/>
    <x:col min="12" max="12" width="50" hidden="0" customWidth="1"/>
    <x:col min="13" max="13" width="4" hidden="0" customWidth="1"/>
    <x:col min="14" max="14" width="20" hidden="0" customWidth="1"/>
    <x:col min="15" max="15" width="16" hidden="0" customWidth="1"/>
  </x:cols>
  <x:sheetData>
    <x:row r="1" ht="28" customHeight="1">
      <x:c r="A1" s="30" t="str">
        <x:v>annotation_id</x:v>
      </x:c>
      <x:c r="B1" s="30" t="str">
        <x:v>sample_id</x:v>
      </x:c>
      <x:c r="C1" s="30" t="str">
        <x:v>date</x:v>
      </x:c>
      <x:c r="D1" s="30" t="str">
        <x:v>text_en</x:v>
      </x:c>
      <x:c r="E1" s="30" t="str">
        <x:v>text_tr</x:v>
      </x:c>
      <x:c r="F1" s="30" t="str">
        <x:v>finbert_label</x:v>
      </x:c>
      <x:c r="G1" s="30" t="str">
        <x:v>finbert_confidence</x:v>
      </x:c>
      <x:c r="H1" s="30" t="str">
        <x:v>chatgpt_label</x:v>
      </x:c>
      <x:c r="I1" s="30" t="str">
        <x:v>chatgpt_confidence</x:v>
      </x:c>
      <x:c r="J1" s="30" t="str">
        <x:v>chatgpt_reason_tr</x:v>
      </x:c>
      <x:c r="K1" s="30" t="str">
        <x:v>finbert_correctness</x:v>
      </x:c>
      <x:c r="L1" s="30" t="str">
        <x:v>finbert_correctness_note</x:v>
      </x:c>
      <x:c r="M1" s="40" t="str"/>
      <x:c r="N1" s="30" t="str">
        <x:v>Özet</x:v>
      </x:c>
      <x:c r="O1" s="30" t="str">
        <x:v>Değer</x:v>
      </x:c>
    </x:row>
    <x:row r="2" ht="58" customHeight="1">
      <x:c r="A2" s="32" t="str">
        <x:v>SP500_ANN_0291</x:v>
      </x:c>
      <x:c r="B2" s="32" t="str">
        <x:v>SP500_HEAD_006525</x:v>
      </x:c>
      <x:c r="C2" s="42" t="n">
        <x:v>43501</x:v>
      </x:c>
      <x:c r="D2" s="32" t="str">
        <x:v>This Day In Market History: Peak Tulip Mania</x:v>
      </x:c>
      <x:c r="E2" s="32" t="str">
        <x:v>Piyasa tarihinde bugün: Lale çılgınlığının zirvesi.</x:v>
      </x:c>
      <x:c r="F2" s="32" t="str">
        <x:v>neutral</x:v>
      </x:c>
      <x:c r="G2" s="44" t="n">
        <x:v>0.907</x:v>
      </x:c>
      <x:c r="H2" s="32" t="str">
        <x:v>neutral</x:v>
      </x:c>
      <x:c r="I2" s="32" t="str">
        <x:v>high</x:v>
      </x:c>
      <x:c r="J2" s="32" t="str">
        <x:v>Tarihsel piyasa olayı; bugünkü S&amp;P yönü yok.</x:v>
      </x:c>
      <x:c r="K2" s="32" t="str">
        <x:v>correct</x:v>
      </x:c>
      <x:c r="L2" s="32" t="str">
        <x:v>FinBERT etiketi final etiket ile aynı.</x:v>
      </x:c>
      <x:c r="M2" s="31" t="str"/>
      <x:c r="N2" s="33" t="str">
        <x:v>Toplam örnek</x:v>
      </x:c>
      <x:c r="O2" s="34" t="n">
        <x:f>COUNTA(A2:A11)</x:f>
        <x:v>10</x:v>
      </x:c>
    </x:row>
    <x:row r="3" ht="58" customHeight="1">
      <x:c r="A3" s="32" t="str">
        <x:v>SP500_ANN_0292</x:v>
      </x:c>
      <x:c r="B3" s="32" t="str">
        <x:v>SP500_HEAD_017423</x:v>
      </x:c>
      <x:c r="C3" s="42" t="n">
        <x:v>45316</x:v>
      </x:c>
      <x:c r="D3" s="32" t="str">
        <x:v>US close: Dow and S&amp;P 500 hit fresh highs after GDP beat</x:v>
      </x:c>
      <x:c r="E3" s="32" t="str">
        <x:v>ABD kapanışı: Dow ve S&amp;P 500, GSYH beklentileri aşınca yeni zirvelere ulaştı.</x:v>
      </x:c>
      <x:c r="F3" s="32" t="str">
        <x:v>positive</x:v>
      </x:c>
      <x:c r="G3" s="44" t="n">
        <x:v>0.91</x:v>
      </x:c>
      <x:c r="H3" s="32" t="str">
        <x:v>positive</x:v>
      </x:c>
      <x:c r="I3" s="32" t="str">
        <x:v>high</x:v>
      </x:c>
      <x:c r="J3" s="32" t="str">
        <x:v>Yeni zirveler ve güçlü GSYH verisi pozitif.</x:v>
      </x:c>
      <x:c r="K3" s="32" t="str">
        <x:v>correct</x:v>
      </x:c>
      <x:c r="L3" s="32" t="str">
        <x:v>FinBERT etiketi final etiket ile aynı.</x:v>
      </x:c>
      <x:c r="M3" s="31" t="str"/>
      <x:c r="N3" s="33" t="str">
        <x:v>FinBERT doğru</x:v>
      </x:c>
      <x:c r="O3" s="34" t="n">
        <x:f>COUNTIF(K2:K11,"correct")</x:f>
        <x:v>9</x:v>
      </x:c>
    </x:row>
    <x:row r="4" ht="58" customHeight="1">
      <x:c r="A4" s="32" t="str">
        <x:v>SP500_ANN_0293</x:v>
      </x:c>
      <x:c r="B4" s="32" t="str">
        <x:v>SP500_HEAD_013375</x:v>
      </x:c>
      <x:c r="C4" s="42" t="n">
        <x:v>45013</x:v>
      </x:c>
      <x:c r="D4" s="32" t="str">
        <x:v>Markets Drop on Renewed Concerns About Rate Hikes</x:v>
      </x:c>
      <x:c r="E4" s="32" t="str">
        <x:v>Piyasalar faiz artışı endişelerinin yenilenmesiyle düştü.</x:v>
      </x:c>
      <x:c r="F4" s="32" t="str">
        <x:v>negative</x:v>
      </x:c>
      <x:c r="G4" s="44" t="n">
        <x:v>0.939</x:v>
      </x:c>
      <x:c r="H4" s="32" t="str">
        <x:v>negative</x:v>
      </x:c>
      <x:c r="I4" s="32" t="str">
        <x:v>high</x:v>
      </x:c>
      <x:c r="J4" s="32" t="str">
        <x:v>Piyasa düşüşü ve faiz endişesi negatif.</x:v>
      </x:c>
      <x:c r="K4" s="32" t="str">
        <x:v>correct</x:v>
      </x:c>
      <x:c r="L4" s="32" t="str">
        <x:v>FinBERT etiketi final etiket ile aynı.</x:v>
      </x:c>
      <x:c r="M4" s="31" t="str"/>
      <x:c r="N4" s="33" t="str">
        <x:v>FinBERT yanlış</x:v>
      </x:c>
      <x:c r="O4" s="34" t="n">
        <x:f>COUNTIF(K2:K11,"wrong")</x:f>
        <x:v>1</x:v>
      </x:c>
    </x:row>
    <x:row r="5" ht="58" customHeight="1">
      <x:c r="A5" s="32" t="str">
        <x:v>SP500_ANN_0294</x:v>
      </x:c>
      <x:c r="B5" s="32" t="str">
        <x:v>SP500_HEAD_006860</x:v>
      </x:c>
      <x:c r="C5" s="42" t="n">
        <x:v>43647</x:v>
      </x:c>
      <x:c r="D5" s="32" t="str">
        <x:v>China Pushes S&amp;P 500 to New All-Time High</x:v>
      </x:c>
      <x:c r="E5" s="32" t="str">
        <x:v>Çin, S&amp;P 500'ü yeni tüm zamanların zirvesine taşıdı.</x:v>
      </x:c>
      <x:c r="F5" s="32" t="str">
        <x:v>positive</x:v>
      </x:c>
      <x:c r="G5" s="44" t="n">
        <x:v>0.886</x:v>
      </x:c>
      <x:c r="H5" s="32" t="str">
        <x:v>positive</x:v>
      </x:c>
      <x:c r="I5" s="32" t="str">
        <x:v>high</x:v>
      </x:c>
      <x:c r="J5" s="32" t="str">
        <x:v>Tüm zamanların zirvesi açık pozitif.</x:v>
      </x:c>
      <x:c r="K5" s="32" t="str">
        <x:v>correct</x:v>
      </x:c>
      <x:c r="L5" s="32" t="str">
        <x:v>FinBERT etiketi final etiket ile aynı.</x:v>
      </x:c>
      <x:c r="M5" s="31" t="str"/>
      <x:c r="N5" s="33" t="str">
        <x:v>Doğruluk oranı</x:v>
      </x:c>
      <x:c r="O5" s="46" t="n">
        <x:f>O3/O2</x:f>
        <x:v>0.9</x:v>
      </x:c>
    </x:row>
    <x:row r="6" ht="58" customHeight="1">
      <x:c r="A6" s="32" t="str">
        <x:v>SP500_ANN_0295</x:v>
      </x:c>
      <x:c r="B6" s="32" t="str">
        <x:v>SP500_HEAD_012368</x:v>
      </x:c>
      <x:c r="C6" s="42" t="n">
        <x:v>44923</x:v>
      </x:c>
      <x:c r="D6" s="32" t="str">
        <x:v>How a Single ETF Could Help You Retire a Millionaire</x:v>
      </x:c>
      <x:c r="E6" s="32" t="str">
        <x:v>Tek bir ETF emeklilikte milyoner olmanıza nasıl yardımcı olabilir?</x:v>
      </x:c>
      <x:c r="F6" s="32" t="str">
        <x:v>neutral</x:v>
      </x:c>
      <x:c r="G6" s="44" t="n">
        <x:v>0.866</x:v>
      </x:c>
      <x:c r="H6" s="32" t="str">
        <x:v>positive</x:v>
      </x:c>
      <x:c r="I6" s="32" t="str">
        <x:v>medium</x:v>
      </x:c>
      <x:c r="J6" s="32" t="str">
        <x:v>Milyoner olma/fırsat dili olumlu yatırım tonu taşıyor.</x:v>
      </x:c>
      <x:c r="K6" s="32" t="str">
        <x:v>wrong</x:v>
      </x:c>
      <x:c r="L6" s="32" t="str">
        <x:v>FinBERT neutral demiş; final etiket positive.</x:v>
      </x:c>
      <x:c r="M6" s="31" t="str"/>
      <x:c r="N6" s="31" t="str"/>
      <x:c r="O6" s="31" t="str"/>
    </x:row>
    <x:row r="7" ht="58" customHeight="1">
      <x:c r="A7" s="32" t="str">
        <x:v>SP500_ANN_0296</x:v>
      </x:c>
      <x:c r="B7" s="32" t="str">
        <x:v>SP500_HEAD_012086</x:v>
      </x:c>
      <x:c r="C7" s="42" t="n">
        <x:v>44882</x:v>
      </x:c>
      <x:c r="D7" s="32" t="str">
        <x:v>Equal-Weight S&amp;P 500 ETFs to Consider as Big Tech Struggles</x:v>
      </x:c>
      <x:c r="E7" s="32" t="str">
        <x:v>Büyük teknoloji zorlanırken değerlendirilebilecek eşit ağırlıklı S&amp;P 500 ETF'leri.</x:v>
      </x:c>
      <x:c r="F7" s="32" t="str">
        <x:v>neutral</x:v>
      </x:c>
      <x:c r="G7" s="44" t="n">
        <x:v>0.79</x:v>
      </x:c>
      <x:c r="H7" s="32" t="str">
        <x:v>neutral</x:v>
      </x:c>
      <x:c r="I7" s="32" t="str">
        <x:v>medium</x:v>
      </x:c>
      <x:c r="J7" s="32" t="str">
        <x:v>Büyük teknoloji zayıf ama başlık alternatif değerlendirme niteliğinde; net yön yok.</x:v>
      </x:c>
      <x:c r="K7" s="32" t="str">
        <x:v>correct</x:v>
      </x:c>
      <x:c r="L7" s="32" t="str">
        <x:v>FinBERT etiketi final etiket ile aynı.</x:v>
      </x:c>
      <x:c r="M7" s="31" t="str"/>
      <x:c r="N7" s="31" t="str"/>
      <x:c r="O7" s="31" t="str"/>
    </x:row>
    <x:row r="8" ht="58" customHeight="1">
      <x:c r="A8" s="32" t="str">
        <x:v>SP500_ANN_0297</x:v>
      </x:c>
      <x:c r="B8" s="32" t="str">
        <x:v>SP500_HEAD_004246</x:v>
      </x:c>
      <x:c r="C8" s="42" t="n">
        <x:v>42426</x:v>
      </x:c>
      <x:c r="D8" s="32" t="str">
        <x:v>Warren Buffett, Berkshire Hathaway vs. S&amp;P 500</x:v>
      </x:c>
      <x:c r="E8" s="32" t="str">
        <x:v>Warren Buffett, Berkshire Hathaway ve S&amp;P 500 karşılaştırması.</x:v>
      </x:c>
      <x:c r="F8" s="32" t="str">
        <x:v>neutral</x:v>
      </x:c>
      <x:c r="G8" s="44" t="n">
        <x:v>0.905</x:v>
      </x:c>
      <x:c r="H8" s="32" t="str">
        <x:v>neutral</x:v>
      </x:c>
      <x:c r="I8" s="32" t="str">
        <x:v>high</x:v>
      </x:c>
      <x:c r="J8" s="32" t="str">
        <x:v>Karşılaştırma başlığı; net sentiment yok.</x:v>
      </x:c>
      <x:c r="K8" s="32" t="str">
        <x:v>correct</x:v>
      </x:c>
      <x:c r="L8" s="32" t="str">
        <x:v>FinBERT etiketi final etiket ile aynı.</x:v>
      </x:c>
      <x:c r="M8" s="31" t="str"/>
      <x:c r="N8" s="31" t="str"/>
      <x:c r="O8" s="31" t="str"/>
    </x:row>
    <x:row r="9" ht="58" customHeight="1">
      <x:c r="A9" s="32" t="str">
        <x:v>SP500_ANN_0298</x:v>
      </x:c>
      <x:c r="B9" s="32" t="str">
        <x:v>SP500_HEAD_010460</x:v>
      </x:c>
      <x:c r="C9" s="42" t="n">
        <x:v>44621</x:v>
      </x:c>
      <x:c r="D9" s="32" t="str">
        <x:v>Why Markets Bounced Back So Quickly After the Russian Invasion of Ukraine</x:v>
      </x:c>
      <x:c r="E9" s="32" t="str">
        <x:v>Piyasalar Rusya'nın Ukrayna'yı işgalinden sonra neden bu kadar hızlı toparlandı?</x:v>
      </x:c>
      <x:c r="F9" s="32" t="str">
        <x:v>positive</x:v>
      </x:c>
      <x:c r="G9" s="44" t="n">
        <x:v>0.471</x:v>
      </x:c>
      <x:c r="H9" s="32" t="str">
        <x:v>positive</x:v>
      </x:c>
      <x:c r="I9" s="32" t="str">
        <x:v>medium</x:v>
      </x:c>
      <x:c r="J9" s="32" t="str">
        <x:v>Piyasaların hızlı toparlanmasına odaklanıyor; olumlu.</x:v>
      </x:c>
      <x:c r="K9" s="32" t="str">
        <x:v>correct</x:v>
      </x:c>
      <x:c r="L9" s="32" t="str">
        <x:v>FinBERT etiketi final etiket ile aynı.</x:v>
      </x:c>
      <x:c r="M9" s="31" t="str"/>
      <x:c r="N9" s="31" t="str"/>
      <x:c r="O9" s="31" t="str"/>
    </x:row>
    <x:row r="10" ht="58" customHeight="1">
      <x:c r="A10" s="32" t="str">
        <x:v>SP500_ANN_0299</x:v>
      </x:c>
      <x:c r="B10" s="32" t="str">
        <x:v>SP500_HEAD_007338</x:v>
      </x:c>
      <x:c r="C10" s="42" t="n">
        <x:v>43832</x:v>
      </x:c>
      <x:c r="D10" s="32" t="str">
        <x:v>'First five days' indicator, which has a solid track record at predicting year, off to good start</x:v>
      </x:c>
      <x:c r="E10" s="32" t="str">
        <x:v>Yılı tahmin etmede iyi geçmişi olan 'ilk beş gün' göstergesi iyi başladı.</x:v>
      </x:c>
      <x:c r="F10" s="32" t="str">
        <x:v>positive</x:v>
      </x:c>
      <x:c r="G10" s="44" t="n">
        <x:v>0.947</x:v>
      </x:c>
      <x:c r="H10" s="32" t="str">
        <x:v>positive</x:v>
      </x:c>
      <x:c r="I10" s="32" t="str">
        <x:v>high</x:v>
      </x:c>
      <x:c r="J10" s="32" t="str">
        <x:v>Göstergenin iyi başlaması olumlu piyasa sinyali.</x:v>
      </x:c>
      <x:c r="K10" s="32" t="str">
        <x:v>correct</x:v>
      </x:c>
      <x:c r="L10" s="32" t="str">
        <x:v>FinBERT etiketi final etiket ile aynı.</x:v>
      </x:c>
      <x:c r="M10" s="31" t="str"/>
      <x:c r="N10" s="31" t="str"/>
      <x:c r="O10" s="31" t="str"/>
    </x:row>
    <x:row r="11" ht="58" customHeight="1">
      <x:c r="A11" s="32" t="str">
        <x:v>SP500_ANN_0300</x:v>
      </x:c>
      <x:c r="B11" s="32" t="str">
        <x:v>SP500_HEAD_009103</x:v>
      </x:c>
      <x:c r="C11" s="42" t="n">
        <x:v>44281</x:v>
      </x:c>
      <x:c r="D11" s="32" t="str">
        <x:v>Market Wrap, March 26: Here's all that happened in the markets today</x:v>
      </x:c>
      <x:c r="E11" s="32" t="str">
        <x:v>Piyasa özeti, 26 Mart: Bugün piyasalarda olan her şey.</x:v>
      </x:c>
      <x:c r="F11" s="32" t="str">
        <x:v>neutral</x:v>
      </x:c>
      <x:c r="G11" s="44" t="n">
        <x:v>0.909</x:v>
      </x:c>
      <x:c r="H11" s="32" t="str">
        <x:v>neutral</x:v>
      </x:c>
      <x:c r="I11" s="32" t="str">
        <x:v>high</x:v>
      </x:c>
      <x:c r="J11" s="32" t="str">
        <x:v>Genel piyasa özeti; net yön verilmemiş.</x:v>
      </x:c>
      <x:c r="K11" s="32" t="str">
        <x:v>correct</x:v>
      </x:c>
      <x:c r="L11" s="32" t="str">
        <x:v>FinBERT etiketi final etiket ile aynı.</x:v>
      </x:c>
      <x:c r="M11" s="31" t="str"/>
      <x:c r="N11" s="31" t="str"/>
      <x:c r="O11" s="3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d872aa070ae46a9"/>
  </x:tableParts>
</x:worksheet>
</file>