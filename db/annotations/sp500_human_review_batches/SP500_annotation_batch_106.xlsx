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fe03616c0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6" sheetId="1" r:id="Rf3d604382f8f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6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FFFFFF"/>
      <x:name val="Calibri"/>
    </x:font>
    <x:font>
      <x:sz val="11"/>
      <x:name val="Calibri"/>
    </x:font>
    <x:font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33e970e7f479e" /><Relationship Type="http://schemas.openxmlformats.org/officeDocument/2006/relationships/theme" Target="/xl/theme/theme1.xml" Id="R4a0a9bcbd4424825" /><Relationship Type="http://schemas.openxmlformats.org/officeDocument/2006/relationships/sharedStrings" Target="/xl/sharedStrings.xml" Id="Rd93a7eaef8ba4139" /><Relationship Type="http://schemas.openxmlformats.org/officeDocument/2006/relationships/worksheet" Target="/xl/worksheets/sheet1.xml" Id="Rf3d604382f8f4c7e" /></Relationships>
</file>

<file path=xl/tables/table1.xml><?xml version="1.0" encoding="utf-8"?>
<x:table xmlns:x="http://schemas.openxmlformats.org/spreadsheetml/2006/main" id="1" name="Batch106Table" displayName="Batch106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28a5f9bf934bd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0" hidden="0" customWidth="1"/>
    <x:col min="11" max="11" width="18" hidden="0" customWidth="1"/>
    <x:col min="12" max="12" width="45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4" customHeight="1">
      <x:c r="A1" s="28" t="str">
        <x:v>annotation_id</x:v>
      </x:c>
      <x:c r="B1" s="28" t="str">
        <x:v>sample_id</x:v>
      </x:c>
      <x:c r="C1" s="28" t="str">
        <x:v>date</x:v>
      </x:c>
      <x:c r="D1" s="28" t="str">
        <x:v>text_en</x:v>
      </x:c>
      <x:c r="E1" s="28" t="str">
        <x:v>text_tr</x:v>
      </x:c>
      <x:c r="F1" s="28" t="str">
        <x:v>finbert_label</x:v>
      </x:c>
      <x:c r="G1" s="28" t="str">
        <x:v>finbert_confidence</x:v>
      </x:c>
      <x:c r="H1" s="28" t="str">
        <x:v>chatgpt_label</x:v>
      </x:c>
      <x:c r="I1" s="28" t="str">
        <x:v>chatgpt_confidence</x:v>
      </x:c>
      <x:c r="J1" s="28" t="str">
        <x:v>chatgpt_reason_tr</x:v>
      </x:c>
      <x:c r="K1" s="28" t="str">
        <x:v>finbert_correctness</x:v>
      </x:c>
      <x:c r="L1" s="28" t="str">
        <x:v>finbert_correctness_note</x:v>
      </x:c>
      <x:c r="M1" s="34" t="str"/>
      <x:c r="N1" s="28" t="str">
        <x:v>Özet</x:v>
      </x:c>
      <x:c r="O1" s="28" t="str">
        <x:v>Değer</x:v>
      </x:c>
    </x:row>
    <x:row r="2" ht="66" customHeight="1">
      <x:c r="A2" s="29" t="str">
        <x:v>SP500_ANN_1051</x:v>
      </x:c>
      <x:c r="B2" s="29" t="str">
        <x:v>SP500_HEAD_017595</x:v>
      </x:c>
      <x:c r="C2" s="36" t="n">
        <x:v>45334</x:v>
      </x:c>
      <x:c r="D2" s="29" t="str">
        <x:v>Analyst who forecast the S&amp;P 500's rally unveils new Nasdaq 100 outlook</x:v>
      </x:c>
      <x:c r="E2" s="29" t="str">
        <x:v>S&amp;P 500 rallisini öngören analist yeni Nasdaq 100 görünümünü açıkladı.</x:v>
      </x:c>
      <x:c r="F2" s="29" t="str">
        <x:v>neutral</x:v>
      </x:c>
      <x:c r="G2" s="38" t="n">
        <x:v>0.9143499135971069</x:v>
      </x:c>
      <x:c r="H2" s="29" t="str">
        <x:v>neutral</x:v>
      </x:c>
      <x:c r="I2" s="29" t="str">
        <x:v>high</x:v>
      </x:c>
      <x:c r="J2" s="29" t="str">
        <x:v>Başlık bir analistin yeni görünümünü duyuruyor; Nasdaq için yön/olumluluk açıkça verilmemiş.</x:v>
      </x:c>
      <x:c r="K2" s="29" t="str">
        <x:v>correct</x:v>
      </x:c>
      <x:c r="L2" s="29" t="str">
        <x:v>FinBERT etiketi final etiket ile aynı.</x:v>
      </x:c>
      <x:c r="M2" s="29" t="str"/>
      <x:c r="N2" s="30" t="str">
        <x:v>Toplam örnek</x:v>
      </x:c>
      <x:c r="O2" s="30" t="n">
        <x:f>COUNTA(A2:A11)</x:f>
        <x:v>10</x:v>
      </x:c>
    </x:row>
    <x:row r="3" ht="66" customHeight="1">
      <x:c r="A3" s="29" t="str">
        <x:v>SP500_ANN_1052</x:v>
      </x:c>
      <x:c r="B3" s="29" t="str">
        <x:v>SP500_HEAD_002637</x:v>
      </x:c>
      <x:c r="C3" s="36" t="n">
        <x:v>41715</x:v>
      </x:c>
      <x:c r="D3" s="29" t="str">
        <x:v>Wall Street climbs as Ukraine worries ease, data improves</x:v>
      </x:c>
      <x:c r="E3" s="29" t="str">
        <x:v>Ukrayna endişeleri azalırken ve veriler iyileşirken Wall Street yükseldi.</x:v>
      </x:c>
      <x:c r="F3" s="29" t="str">
        <x:v>positive</x:v>
      </x:c>
      <x:c r="G3" s="38" t="n">
        <x:v>0.6760817170143127</x:v>
      </x:c>
      <x:c r="H3" s="29" t="str">
        <x:v>positive</x:v>
      </x:c>
      <x:c r="I3" s="29" t="str">
        <x:v>high</x:v>
      </x:c>
      <x:c r="J3" s="29" t="str">
        <x:v>Wall Street yükseliyor; jeopolitik endişelerin azalması ve verilerin iyileşmesi açık olumlu sinyal.</x:v>
      </x:c>
      <x:c r="K3" s="29" t="str">
        <x:v>correct</x:v>
      </x:c>
      <x:c r="L3" s="29" t="str">
        <x:v>FinBERT etiketi final etiket ile aynı.</x:v>
      </x:c>
      <x:c r="M3" s="29" t="str"/>
      <x:c r="N3" s="30" t="str">
        <x:v>FinBERT doğru</x:v>
      </x:c>
      <x:c r="O3" s="30" t="n">
        <x:f>COUNTIF(K2:K11,"correct")</x:f>
        <x:v>7</x:v>
      </x:c>
    </x:row>
    <x:row r="4" ht="66" customHeight="1">
      <x:c r="A4" s="29" t="str">
        <x:v>SP500_ANN_1053</x:v>
      </x:c>
      <x:c r="B4" s="29" t="str">
        <x:v>SP500_HEAD_008624</x:v>
      </x:c>
      <x:c r="C4" s="36" t="n">
        <x:v>44146</x:v>
      </x:c>
      <x:c r="D4" s="29" t="str">
        <x:v>Goldman Sachs raises its S&amp;P 500 target on vaccine hopes</x:v>
      </x:c>
      <x:c r="E4" s="29" t="str">
        <x:v>Goldman Sachs, aşı umutlarıyla S&amp;P 500 hedefini yükseltti.</x:v>
      </x:c>
      <x:c r="F4" s="29" t="str">
        <x:v>positive</x:v>
      </x:c>
      <x:c r="G4" s="38" t="n">
        <x:v>0.46462008357048035</x:v>
      </x:c>
      <x:c r="H4" s="29" t="str">
        <x:v>positive</x:v>
      </x:c>
      <x:c r="I4" s="29" t="str">
        <x:v>high</x:v>
      </x:c>
      <x:c r="J4" s="29" t="str">
        <x:v>S&amp;P 500 hedefinin yükseltilmesi ve aşı umutları piyasa açısından olumlu.</x:v>
      </x:c>
      <x:c r="K4" s="29" t="str">
        <x:v>correct</x:v>
      </x:c>
      <x:c r="L4" s="29" t="str">
        <x:v>FinBERT etiketi final etiket ile aynı.</x:v>
      </x:c>
      <x:c r="M4" s="29" t="str"/>
      <x:c r="N4" s="30" t="str">
        <x:v>FinBERT yanlış</x:v>
      </x:c>
      <x:c r="O4" s="30" t="n">
        <x:f>COUNTIF(K2:K11,"wrong")</x:f>
        <x:v>3</x:v>
      </x:c>
    </x:row>
    <x:row r="5" ht="66" customHeight="1">
      <x:c r="A5" s="29" t="str">
        <x:v>SP500_ANN_1054</x:v>
      </x:c>
      <x:c r="B5" s="29" t="str">
        <x:v>SP500_HEAD_008864</x:v>
      </x:c>
      <x:c r="C5" s="36" t="n">
        <x:v>44209</x:v>
      </x:c>
      <x:c r="D5" s="29" t="str">
        <x:v>Charting a bull flag: S&amp;P 500 digests two standard deviation breakout</x:v>
      </x:c>
      <x:c r="E5" s="29" t="str">
        <x:v>Boğa bayrağı görünümü: S&amp;P 500 iki standart sapmalık kırılımı sindiriyor.</x:v>
      </x:c>
      <x:c r="F5" s="29" t="str">
        <x:v>neutral</x:v>
      </x:c>
      <x:c r="G5" s="38" t="n">
        <x:v>0.8837097883224487</x:v>
      </x:c>
      <x:c r="H5" s="29" t="str">
        <x:v>positive</x:v>
      </x:c>
      <x:c r="I5" s="29" t="str">
        <x:v>medium</x:v>
      </x:c>
      <x:c r="J5" s="29" t="str">
        <x:v>'Bull flag' ve 'breakout' teknik olarak yukarı yönlü/olumlu bir sinyal ima ediyor; tamamen yönsüz değil.</x:v>
      </x:c>
      <x:c r="K5" s="29" t="str">
        <x:v>wrong</x:v>
      </x:c>
      <x:c r="L5" s="29" t="str">
        <x:v>FinBERT neutral demiş; final etiket positive. Teknik başlıktaki boğa bayrağı ve kırılım sinyalini kaçırmış olabilir.</x:v>
      </x:c>
      <x:c r="M5" s="29" t="str"/>
      <x:c r="N5" s="30" t="str">
        <x:v>Doğruluk oranı</x:v>
      </x:c>
      <x:c r="O5" s="40" t="n">
        <x:f>O3/O2</x:f>
        <x:v>0.7</x:v>
      </x:c>
    </x:row>
    <x:row r="6" ht="66" customHeight="1">
      <x:c r="A6" s="29" t="str">
        <x:v>SP500_ANN_1055</x:v>
      </x:c>
      <x:c r="B6" s="29" t="str">
        <x:v>SP500_HEAD_017917</x:v>
      </x:c>
      <x:c r="C6" s="36" t="n">
        <x:v>45355</x:v>
      </x:c>
      <x:c r="D6" s="29" t="str">
        <x:v>S&amp;P 500 Gains and Losses Today: Tesla Shares Tumble Amid Slowing China Sales</x:v>
      </x:c>
      <x:c r="E6" s="29" t="str">
        <x:v>Bugünkü S&amp;P 500 kazanç ve kayıpları: Tesla hisseleri Çin satışlarındaki yavaşlama nedeniyle sert düştü.</x:v>
      </x:c>
      <x:c r="F6" s="29" t="str">
        <x:v>negative</x:v>
      </x:c>
      <x:c r="G6" s="38" t="n">
        <x:v>0.9710977077484131</x:v>
      </x:c>
      <x:c r="H6" s="29" t="str">
        <x:v>negative</x:v>
      </x:c>
      <x:c r="I6" s="29" t="str">
        <x:v>high</x:v>
      </x:c>
      <x:c r="J6" s="29" t="str">
        <x:v>Tesla hisselerinin sert düşmesi ve Çin satışlarının yavaşlaması açık negatif sinyal.</x:v>
      </x:c>
      <x:c r="K6" s="29" t="str">
        <x:v>correct</x:v>
      </x:c>
      <x:c r="L6" s="29" t="str">
        <x:v>FinBERT etiketi final etiket ile aynı.</x:v>
      </x:c>
      <x:c r="M6" s="29" t="str"/>
      <x:c r="N6" s="29" t="str"/>
      <x:c r="O6" s="29" t="str"/>
    </x:row>
    <x:row r="7" ht="66" customHeight="1">
      <x:c r="A7" s="29" t="str">
        <x:v>SP500_ANN_1056</x:v>
      </x:c>
      <x:c r="B7" s="29" t="str">
        <x:v>SP500_HEAD_014650</x:v>
      </x:c>
      <x:c r="C7" s="36" t="n">
        <x:v>45118</x:v>
      </x:c>
      <x:c r="D7" s="29" t="str">
        <x:v>S&amp;P 500 is most likely going to correct back to 4,100, Mizuho warns market bulls</x:v>
      </x:c>
      <x:c r="E7" s="29" t="str">
        <x:v>Mizuho piyasa boğalarını uyarıyor: S&amp;P 500 büyük olasılıkla 4.100 seviyesine geri düzeltme yapacak.</x:v>
      </x:c>
      <x:c r="F7" s="29" t="str">
        <x:v>negative</x:v>
      </x:c>
      <x:c r="G7" s="38" t="n">
        <x:v>0.8280246257781982</x:v>
      </x:c>
      <x:c r="H7" s="29" t="str">
        <x:v>negative</x:v>
      </x:c>
      <x:c r="I7" s="29" t="str">
        <x:v>high</x:v>
      </x:c>
      <x:c r="J7" s="29" t="str">
        <x:v>S&amp;P 500 için geri düzeltme beklentisi ve boğalara uyarı negatif piyasa sinyali.</x:v>
      </x:c>
      <x:c r="K7" s="29" t="str">
        <x:v>correct</x:v>
      </x:c>
      <x:c r="L7" s="29" t="str">
        <x:v>FinBERT etiketi final etiket ile aynı.</x:v>
      </x:c>
      <x:c r="M7" s="29" t="str"/>
      <x:c r="N7" s="29" t="str"/>
      <x:c r="O7" s="29" t="str"/>
    </x:row>
    <x:row r="8" ht="66" customHeight="1">
      <x:c r="A8" s="29" t="str">
        <x:v>SP500_ANN_1057</x:v>
      </x:c>
      <x:c r="B8" s="29" t="str">
        <x:v>SP500_HEAD_015925</x:v>
      </x:c>
      <x:c r="C8" s="36" t="n">
        <x:v>45210</x:v>
      </x:c>
      <x:c r="D8" s="29" t="str">
        <x:v>Wall Street advances as bond yields fall, investors digest Fed minutes</x:v>
      </x:c>
      <x:c r="E8" s="29" t="str">
        <x:v>Tahvil getirileri düşerken ve yatırımcılar Fed tutanaklarını değerlendirirken Wall Street yükseldi.</x:v>
      </x:c>
      <x:c r="F8" s="29" t="str">
        <x:v>negative</x:v>
      </x:c>
      <x:c r="G8" s="38" t="n">
        <x:v>0.7620136141777039</x:v>
      </x:c>
      <x:c r="H8" s="29" t="str">
        <x:v>positive</x:v>
      </x:c>
      <x:c r="I8" s="29" t="str">
        <x:v>high</x:v>
      </x:c>
      <x:c r="J8" s="29" t="str">
        <x:v>Wall Street'in yükselmesi ve tahvil getirilerinin düşmesi piyasa açısından olumlu sinyal.</x:v>
      </x:c>
      <x:c r="K8" s="29" t="str">
        <x:v>wrong</x:v>
      </x:c>
      <x:c r="L8" s="29" t="str">
        <x:v>FinBERT negative demiş; final etiket positive. Başlıktaki 'advances' ve düşen getirilerin olumlu etkisini kaçırmış.</x:v>
      </x:c>
      <x:c r="M8" s="29" t="str"/>
      <x:c r="N8" s="29" t="str"/>
      <x:c r="O8" s="29" t="str"/>
    </x:row>
    <x:row r="9" ht="66" customHeight="1">
      <x:c r="A9" s="29" t="str">
        <x:v>SP500_ANN_1058</x:v>
      </x:c>
      <x:c r="B9" s="29" t="str">
        <x:v>SP500_HEAD_001266</x:v>
      </x:c>
      <x:c r="C9" s="36" t="n">
        <x:v>41054</x:v>
      </x:c>
      <x:c r="D9" s="29" t="str">
        <x:v>Australian stocks fall on Greece and China</x:v>
      </x:c>
      <x:c r="E9" s="29" t="str">
        <x:v>Avustralya hisseleri Yunanistan ve Çin etkisiyle düştü.</x:v>
      </x:c>
      <x:c r="F9" s="29" t="str">
        <x:v>negative</x:v>
      </x:c>
      <x:c r="G9" s="38" t="n">
        <x:v>0.9575518369674683</x:v>
      </x:c>
      <x:c r="H9" s="29" t="str">
        <x:v>negative</x:v>
      </x:c>
      <x:c r="I9" s="29" t="str">
        <x:v>high</x:v>
      </x:c>
      <x:c r="J9" s="29" t="str">
        <x:v>Hisselerin düşmesi açık negatif piyasa sinyali.</x:v>
      </x:c>
      <x:c r="K9" s="29" t="str">
        <x:v>correct</x:v>
      </x:c>
      <x:c r="L9" s="29" t="str">
        <x:v>FinBERT etiketi final etiket ile aynı.</x:v>
      </x:c>
      <x:c r="M9" s="29" t="str"/>
      <x:c r="N9" s="29" t="str"/>
      <x:c r="O9" s="29" t="str"/>
    </x:row>
    <x:row r="10" ht="66" customHeight="1">
      <x:c r="A10" s="29" t="str">
        <x:v>SP500_ANN_1059</x:v>
      </x:c>
      <x:c r="B10" s="29" t="str">
        <x:v>SP500_HEAD_002924</x:v>
      </x:c>
      <x:c r="C10" s="36" t="n">
        <x:v>41835</x:v>
      </x:c>
      <x:c r="D10" s="29" t="str">
        <x:v>Space weather: Fine, with a chance of solar flares</x:v>
      </x:c>
      <x:c r="E10" s="29" t="str">
        <x:v>Uzay havası: iyi, ancak güneş patlaması ihtimali var.</x:v>
      </x:c>
      <x:c r="F10" s="29" t="str">
        <x:v>neutral</x:v>
      </x:c>
      <x:c r="G10" s="38" t="n">
        <x:v>0.7152481079101562</x:v>
      </x:c>
      <x:c r="H10" s="29" t="str">
        <x:v>neutral</x:v>
      </x:c>
      <x:c r="I10" s="29" t="str">
        <x:v>high</x:v>
      </x:c>
      <x:c r="J10" s="29" t="str">
        <x:v>Finansal piyasa yönü veya şirket/varlık değeri açısından net duygu yok.</x:v>
      </x:c>
      <x:c r="K10" s="29" t="str">
        <x:v>correct</x:v>
      </x:c>
      <x:c r="L10" s="29" t="str">
        <x:v>FinBERT etiketi final etiket ile aynı.</x:v>
      </x:c>
      <x:c r="M10" s="29" t="str"/>
      <x:c r="N10" s="29" t="str"/>
      <x:c r="O10" s="29" t="str"/>
    </x:row>
    <x:row r="11" ht="66" customHeight="1">
      <x:c r="A11" s="29" t="str">
        <x:v>SP500_ANN_1060</x:v>
      </x:c>
      <x:c r="B11" s="29" t="str">
        <x:v>SP500_HEAD_010501</x:v>
      </x:c>
      <x:c r="C11" s="36" t="n">
        <x:v>44630</x:v>
      </x:c>
      <x:c r="D11" s="29" t="str">
        <x:v>Ethereum Shows Even Closer Correlation with the S&amp;P 500 Index than Bitcoin</x:v>
      </x:c>
      <x:c r="E11" s="29" t="str">
        <x:v>Ethereum'un S&amp;P 500 endeksiyle korelasyonu Bitcoin'den bile daha yakın görünüyor.</x:v>
      </x:c>
      <x:c r="F11" s="29" t="str">
        <x:v>positive</x:v>
      </x:c>
      <x:c r="G11" s="38" t="n">
        <x:v>0.83351731300354</x:v>
      </x:c>
      <x:c r="H11" s="29" t="str">
        <x:v>neutral</x:v>
      </x:c>
      <x:c r="I11" s="29" t="str">
        <x:v>high</x:v>
      </x:c>
      <x:c r="J11" s="29" t="str">
        <x:v>Korelasyon bilgisidir; Ethereum veya S&amp;P 500 için net olumlu/olumsuz yön belirtmiyor.</x:v>
      </x:c>
      <x:c r="K11" s="29" t="str">
        <x:v>wrong</x:v>
      </x:c>
      <x:c r="L11" s="29" t="str">
        <x:v>FinBERT positive demiş; final etiket neutral. Korelasyon ifadesini olumlu performans gibi yorumlamış olabilir.</x:v>
      </x:c>
      <x:c r="M11" s="29" t="str"/>
      <x:c r="N11" s="29" t="str"/>
      <x:c r="O11" s="29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28a5f9bf934bd0"/>
  </x:tableParts>
</x:worksheet>
</file>