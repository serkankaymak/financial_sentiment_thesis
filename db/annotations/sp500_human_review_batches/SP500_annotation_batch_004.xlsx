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e8cbcba14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04" sheetId="1" r:id="R77c91eb93dcd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libri"/>
    </x:font>
    <x:font>
      <x:sz val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horizontal="center" vertical="top"/>
    </x:xf>
    <x:xf numFmtId="0" fontId="3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/>
    </x:xf>
    <x:xf numFmtId="200" fontId="3" fillId="0" borderId="1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/>
    </x:xf>
    <x:xf numFmtId="201" fontId="3" fillId="0" borderId="1" xfId="0" applyNumberFormat="1" applyFont="1" applyFill="1" applyBorder="1" applyAlignment="1">
      <x:alignment vertical="top"/>
    </x:xf>
    <x:xf numFmtId="202" fontId="3" fillId="0" borderId="0" xfId="0" applyNumberFormat="1" applyFont="1" applyFill="1" applyBorder="1" applyAlignment="1">
      <x:alignment vertical="top"/>
    </x:xf>
    <x:xf numFmtId="202" fontId="3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color rgb="274E13"/>
      </x:font>
      <x:fill>
        <x:patternFill patternType="solid">
          <x:bgColor rgb="D9EAD3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0af9e79706483a" /><Relationship Type="http://schemas.openxmlformats.org/officeDocument/2006/relationships/theme" Target="/xl/theme/theme1.xml" Id="R3dfe78fd93ea4af9" /><Relationship Type="http://schemas.openxmlformats.org/officeDocument/2006/relationships/sharedStrings" Target="/xl/sharedStrings.xml" Id="R41312071f1094f57" /><Relationship Type="http://schemas.openxmlformats.org/officeDocument/2006/relationships/worksheet" Target="/xl/worksheets/sheet1.xml" Id="R77c91eb93dcd4467" /></Relationships>
</file>

<file path=xl/tables/table1.xml><?xml version="1.0" encoding="utf-8"?>
<x:table xmlns:x="http://schemas.openxmlformats.org/spreadsheetml/2006/main" id="1" name="SP500Batch004Table" displayName="SP500Batch004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a9739f901244b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4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50" hidden="0" customWidth="1"/>
    <x:col min="13" max="13" width="3" hidden="0" customWidth="1"/>
    <x:col min="14" max="14" width="20" hidden="0" customWidth="1"/>
    <x:col min="15" max="15" width="14" hidden="0" customWidth="1"/>
  </x:cols>
  <x:sheetData>
    <x:row r="1" ht="24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M1" s="15"/>
      <x:c r="N1" s="14" t="str">
        <x:v>Özet</x:v>
      </x:c>
      <x:c r="O1" s="14" t="str">
        <x:v>Değer</x:v>
      </x:c>
    </x:row>
    <x:row r="2" ht="22" customHeight="1">
      <x:c r="A2" s="15" t="str">
        <x:v>SP500_ANN_0031</x:v>
      </x:c>
      <x:c r="B2" s="15" t="str">
        <x:v>SP500_HEAD_007911</x:v>
      </x:c>
      <x:c r="C2" s="20" t="n">
        <x:v>43962</x:v>
      </x:c>
      <x:c r="D2" s="18" t="str">
        <x:v>S&amp;P 500 Forward P/E Ratio Rises Above 20.0 as EPS Estimates Continue to Fall</x:v>
      </x:c>
      <x:c r="E2" s="18" t="str">
        <x:v>EPS tahminleri düşmeye devam ederken S&amp;P 500 ileriye dönük F/K oranı 20,0'nin üzerine çıktı.</x:v>
      </x:c>
      <x:c r="F2" s="15" t="str">
        <x:v>positive</x:v>
      </x:c>
      <x:c r="G2" s="22" t="n">
        <x:v>0.932</x:v>
      </x:c>
      <x:c r="H2" s="15" t="str">
        <x:v>negative</x:v>
      </x:c>
      <x:c r="I2" s="15" t="str">
        <x:v>high</x:v>
      </x:c>
      <x:c r="J2" s="18" t="str">
        <x:v>İleriye dönük F/K oranının EPS tahminleri düştüğü için yükselmesi, pahalı değerleme ve kâr beklentilerinde zayıflama sinyali verir.</x:v>
      </x:c>
      <x:c r="K2" s="18" t="str">
        <x:v>wrong</x:v>
      </x:c>
      <x:c r="L2" s="18" t="str">
        <x:v>FinBERT positive demiş; final etiket negative. Muhtemelen P/E oranının yükselmesini olumlu algıladı, ancak EPS tahminlerindeki düşüş baskın negatif sinyal.</x:v>
      </x:c>
      <x:c r="M2" s="15"/>
      <x:c r="N2" s="15" t="str">
        <x:v>Toplam örnek</x:v>
      </x:c>
      <x:c r="O2" s="15" t="n">
        <x:f>COUNTA(A2:A11)</x:f>
        <x:v>10</x:v>
      </x:c>
    </x:row>
    <x:row r="3" ht="22" customHeight="1">
      <x:c r="A3" s="15" t="str">
        <x:v>SP500_ANN_0032</x:v>
      </x:c>
      <x:c r="B3" s="15" t="str">
        <x:v>SP500_HEAD_011378</x:v>
      </x:c>
      <x:c r="C3" s="20" t="n">
        <x:v>44769</x:v>
      </x:c>
      <x:c r="D3" s="18" t="str">
        <x:v>Investors shown to be actively pursuing passive funds</x:v>
      </x:c>
      <x:c r="E3" s="18" t="str">
        <x:v>Yatırımcıların pasif fonları aktif şekilde tercih ettiği gösteriliyor.</x:v>
      </x:c>
      <x:c r="F3" s="15" t="str">
        <x:v>neutral</x:v>
      </x:c>
      <x:c r="G3" s="22" t="n">
        <x:v>0.842</x:v>
      </x:c>
      <x:c r="H3" s="15" t="str">
        <x:v>neutral</x:v>
      </x:c>
      <x:c r="I3" s="15" t="str">
        <x:v>high</x:v>
      </x:c>
      <x:c r="J3" s="18" t="str">
        <x:v>Pasif fonlara yönelim piyasa yönü veya net finansal duygu belirtmiyor; daha çok fon akışı/tercih haberi.</x:v>
      </x:c>
      <x:c r="K3" s="18" t="str">
        <x:v>correct</x:v>
      </x:c>
      <x:c r="L3" s="18" t="str">
        <x:v>FinBERT etiketi final etiket ile aynı.</x:v>
      </x:c>
      <x:c r="M3" s="15"/>
      <x:c r="N3" s="15" t="str">
        <x:v>FinBERT doğru</x:v>
      </x:c>
      <x:c r="O3" s="15" t="n">
        <x:f>COUNTIF(K2:K11,"correct")</x:f>
        <x:v>7</x:v>
      </x:c>
    </x:row>
    <x:row r="4" ht="22" customHeight="1">
      <x:c r="A4" s="15" t="str">
        <x:v>SP500_ANN_0033</x:v>
      </x:c>
      <x:c r="B4" s="15" t="str">
        <x:v>SP500_HEAD_009476</x:v>
      </x:c>
      <x:c r="C4" s="20" t="n">
        <x:v>44400</x:v>
      </x:c>
      <x:c r="D4" s="18" t="str">
        <x:v>Wall Street rallies to record-breaking end of turbulent week</x:v>
      </x:c>
      <x:c r="E4" s="18" t="str">
        <x:v>Wall Street çalkantılı haftayı rekor kırarak yükselişle kapattı.</x:v>
      </x:c>
      <x:c r="F4" s="15" t="str">
        <x:v>positive</x:v>
      </x:c>
      <x:c r="G4" s="22" t="n">
        <x:v>0.76</x:v>
      </x:c>
      <x:c r="H4" s="15" t="str">
        <x:v>positive</x:v>
      </x:c>
      <x:c r="I4" s="15" t="str">
        <x:v>high</x:v>
      </x:c>
      <x:c r="J4" s="18" t="str">
        <x:v>Wall Street'in yükselmesi ve rekor seviyede kapanması açık olumlu piyasa sinyali.</x:v>
      </x:c>
      <x:c r="K4" s="18" t="str">
        <x:v>correct</x:v>
      </x:c>
      <x:c r="L4" s="18" t="str">
        <x:v>FinBERT etiketi final etiket ile aynı.</x:v>
      </x:c>
      <x:c r="M4" s="15"/>
      <x:c r="N4" s="15" t="str">
        <x:v>FinBERT yanlış</x:v>
      </x:c>
      <x:c r="O4" s="15" t="n">
        <x:f>COUNTIF(K2:K11,"wrong")</x:f>
        <x:v>3</x:v>
      </x:c>
    </x:row>
    <x:row r="5" ht="22" customHeight="1">
      <x:c r="A5" s="15" t="str">
        <x:v>SP500_ANN_0034</x:v>
      </x:c>
      <x:c r="B5" s="15" t="str">
        <x:v>SP500_HEAD_009773</x:v>
      </x:c>
      <x:c r="C5" s="20" t="n">
        <x:v>44490</x:v>
      </x:c>
      <x:c r="D5" s="18" t="str">
        <x:v>Stocks Hit a Record as Investors See Progress Toward a Spending Deal (Published 2021)</x:v>
      </x:c>
      <x:c r="E5" s="18" t="str">
        <x:v>Yatırımcılar harcama anlaşmasına doğru ilerleme gördükçe hisseler rekor seviyeye çıktı.</x:v>
      </x:c>
      <x:c r="F5" s="15" t="str">
        <x:v>positive</x:v>
      </x:c>
      <x:c r="G5" s="22" t="n">
        <x:v>0.892</x:v>
      </x:c>
      <x:c r="H5" s="15" t="str">
        <x:v>positive</x:v>
      </x:c>
      <x:c r="I5" s="15" t="str">
        <x:v>high</x:v>
      </x:c>
      <x:c r="J5" s="18" t="str">
        <x:v>Hisselerin rekor seviyeye ulaşması ve anlaşma sürecinde ilerleme görülmesi piyasa açısından olumlu.</x:v>
      </x:c>
      <x:c r="K5" s="18" t="str">
        <x:v>correct</x:v>
      </x:c>
      <x:c r="L5" s="18" t="str">
        <x:v>FinBERT etiketi final etiket ile aynı.</x:v>
      </x:c>
      <x:c r="M5" s="15"/>
      <x:c r="N5" s="15" t="str">
        <x:v>Doğruluk oranı</x:v>
      </x:c>
      <x:c r="O5" s="24" t="n">
        <x:f>O3/O2</x:f>
        <x:v>0.7</x:v>
      </x:c>
    </x:row>
    <x:row r="6" ht="72" customHeight="1">
      <x:c r="A6" s="15" t="str">
        <x:v>SP500_ANN_0035</x:v>
      </x:c>
      <x:c r="B6" s="15" t="str">
        <x:v>SP500_HEAD_017400</x:v>
      </x:c>
      <x:c r="C6" s="20" t="n">
        <x:v>45314</x:v>
      </x:c>
      <x:c r="D6" s="18" t="str">
        <x:v>S&amp;P 500 Gains and Losses Today: 3M Shares Tumble Following Weak 2024 Outlook</x:v>
      </x:c>
      <x:c r="E6" s="18" t="str">
        <x:v>Bugünkü S&amp;P 500 kazanç ve kayıpları: 3M hisseleri zayıf 2024 görünümü sonrası sert düştü.</x:v>
      </x:c>
      <x:c r="F6" s="15" t="str">
        <x:v>negative</x:v>
      </x:c>
      <x:c r="G6" s="22" t="n">
        <x:v>0.97</x:v>
      </x:c>
      <x:c r="H6" s="15" t="str">
        <x:v>negative</x:v>
      </x:c>
      <x:c r="I6" s="15" t="str">
        <x:v>high</x:v>
      </x:c>
      <x:c r="J6" s="18" t="str">
        <x:v>3M hisselerinin zayıf görünüm sonrası sert düşmesi açık negatif şirket/piyasa sinyali.</x:v>
      </x:c>
      <x:c r="K6" s="18" t="str">
        <x:v>correct</x:v>
      </x:c>
      <x:c r="L6" s="18" t="str">
        <x:v>FinBERT etiketi final etiket ile aynı.</x:v>
      </x:c>
      <x:c r="M6" s="15"/>
      <x:c r="N6" s="15"/>
      <x:c r="O6" s="15"/>
    </x:row>
    <x:row r="7" ht="72" customHeight="1">
      <x:c r="A7" s="15" t="str">
        <x:v>SP500_ANN_0036</x:v>
      </x:c>
      <x:c r="B7" s="15" t="str">
        <x:v>SP500_HEAD_005411</x:v>
      </x:c>
      <x:c r="C7" s="20" t="n">
        <x:v>42993</x:v>
      </x:c>
      <x:c r="D7" s="18" t="str">
        <x:v>Down $20 Billion, Boeing Stuffs Pension Fund With Its Own Shares</x:v>
      </x:c>
      <x:c r="E7" s="18" t="str">
        <x:v>20 milyar dolar ekside olan Boeing, emeklilik fonunu kendi hisseleriyle dolduruyor.</x:v>
      </x:c>
      <x:c r="F7" s="15" t="str">
        <x:v>negative</x:v>
      </x:c>
      <x:c r="G7" s="22" t="n">
        <x:v>0.866</x:v>
      </x:c>
      <x:c r="H7" s="15" t="str">
        <x:v>negative</x:v>
      </x:c>
      <x:c r="I7" s="15" t="str">
        <x:v>high</x:v>
      </x:c>
      <x:c r="J7" s="18" t="str">
        <x:v>Fon açığı ve kendi hisseleriyle kapatma vurgusu finansal zayıflık/risk algısı yaratıyor.</x:v>
      </x:c>
      <x:c r="K7" s="18" t="str">
        <x:v>correct</x:v>
      </x:c>
      <x:c r="L7" s="18" t="str">
        <x:v>FinBERT etiketi final etiket ile aynı.</x:v>
      </x:c>
      <x:c r="M7" s="15"/>
      <x:c r="N7" s="15"/>
      <x:c r="O7" s="15"/>
    </x:row>
    <x:row r="8" ht="72" customHeight="1">
      <x:c r="A8" s="15" t="str">
        <x:v>SP500_ANN_0037</x:v>
      </x:c>
      <x:c r="B8" s="15" t="str">
        <x:v>SP500_HEAD_011710</x:v>
      </x:c>
      <x:c r="C8" s="20" t="n">
        <x:v>44827</x:v>
      </x:c>
      <x:c r="D8" s="18" t="str">
        <x:v>Rampaging Stock Bears Slowed at Key S&amp;P 500 Technical Level</x:v>
      </x:c>
      <x:c r="E8" s="18" t="str">
        <x:v>Sert ilerleyen hisse ayıları önemli bir S&amp;P 500 teknik seviyesinde yavaşladı.</x:v>
      </x:c>
      <x:c r="F8" s="15" t="str">
        <x:v>negative</x:v>
      </x:c>
      <x:c r="G8" s="22" t="n">
        <x:v>0.863</x:v>
      </x:c>
      <x:c r="H8" s="15" t="str">
        <x:v>neutral</x:v>
      </x:c>
      <x:c r="I8" s="15" t="str">
        <x:v>medium</x:v>
      </x:c>
      <x:c r="J8" s="18" t="str">
        <x:v>Başlıkta bearish baskı var ancak bu baskının teknik seviyede yavaşladığı söyleniyor; net yön yerine karışık/nötr sinyal daha uygun.</x:v>
      </x:c>
      <x:c r="K8" s="18" t="str">
        <x:v>wrong</x:v>
      </x:c>
      <x:c r="L8" s="18" t="str">
        <x:v>FinBERT negative demiş; final etiket neutral. 'Stock bears' ifadesine fazla ağırlık verip 'slowed' kısmını yeterince dikkate almamış olabilir.</x:v>
      </x:c>
      <x:c r="M8" s="15"/>
      <x:c r="N8" s="15"/>
      <x:c r="O8" s="15"/>
    </x:row>
    <x:row r="9" ht="72" customHeight="1">
      <x:c r="A9" s="15" t="str">
        <x:v>SP500_ANN_0038</x:v>
      </x:c>
      <x:c r="B9" s="15" t="str">
        <x:v>SP500_HEAD_011412</x:v>
      </x:c>
      <x:c r="C9" s="20" t="n">
        <x:v>44776</x:v>
      </x:c>
      <x:c r="D9" s="18" t="str">
        <x:v>Where's the Fear? VIX Keeps Sliding as Big Events Fail to Lift Volatility | Market Insights</x:v>
      </x:c>
      <x:c r="E9" s="18" t="str">
        <x:v>Korku nerede? Büyük olaylar volatiliteyi artıramazken VIX düşmeye devam ediyor.</x:v>
      </x:c>
      <x:c r="F9" s="15" t="str">
        <x:v>negative</x:v>
      </x:c>
      <x:c r="G9" s="22" t="n">
        <x:v>0.943</x:v>
      </x:c>
      <x:c r="H9" s="15" t="str">
        <x:v>positive</x:v>
      </x:c>
      <x:c r="I9" s="15" t="str">
        <x:v>medium</x:v>
      </x:c>
      <x:c r="J9" s="18" t="str">
        <x:v>VIX'in düşmesi ve korkunun artmaması genelde risk iştahı/düşük volatilite anlamına gelir; S&amp;P 500 açısından olumluya yakın sinyal.</x:v>
      </x:c>
      <x:c r="K9" s="18" t="str">
        <x:v>wrong</x:v>
      </x:c>
      <x:c r="L9" s="18" t="str">
        <x:v>FinBERT negative demiş; final etiket positive. Muhtemelen 'fear' ve büyük olaylar ifadelerini negatif algıladı, ancak VIX'in düşmesi baskın olumlu sinyal.</x:v>
      </x:c>
      <x:c r="M9" s="15"/>
      <x:c r="N9" s="15"/>
      <x:c r="O9" s="15"/>
    </x:row>
    <x:row r="10" ht="72" customHeight="1">
      <x:c r="A10" s="15" t="str">
        <x:v>SP500_ANN_0039</x:v>
      </x:c>
      <x:c r="B10" s="15" t="str">
        <x:v>SP500_HEAD_017363</x:v>
      </x:c>
      <x:c r="C10" s="20" t="n">
        <x:v>45313</x:v>
      </x:c>
      <x:c r="D10" s="18" t="str">
        <x:v>World markets today: US stocks gain, S&amp;P 500 hits record high | Mint</x:v>
      </x:c>
      <x:c r="E10" s="18" t="str">
        <x:v>Bugün dünya piyasaları: ABD hisseleri yükseldi, S&amp;P 500 rekor seviyeye ulaştı.</x:v>
      </x:c>
      <x:c r="F10" s="15" t="str">
        <x:v>positive</x:v>
      </x:c>
      <x:c r="G10" s="22" t="n">
        <x:v>0.873</x:v>
      </x:c>
      <x:c r="H10" s="15" t="str">
        <x:v>positive</x:v>
      </x:c>
      <x:c r="I10" s="15" t="str">
        <x:v>high</x:v>
      </x:c>
      <x:c r="J10" s="18" t="str">
        <x:v>ABD hisseleri yükseliyor ve S&amp;P 500 rekor seviyeye çıkıyor; açık olumlu piyasa sinyali.</x:v>
      </x:c>
      <x:c r="K10" s="18" t="str">
        <x:v>correct</x:v>
      </x:c>
      <x:c r="L10" s="18" t="str">
        <x:v>FinBERT etiketi final etiket ile aynı.</x:v>
      </x:c>
      <x:c r="M10" s="15"/>
      <x:c r="N10" s="15"/>
      <x:c r="O10" s="15"/>
    </x:row>
    <x:row r="11" ht="72" customHeight="1">
      <x:c r="A11" s="15" t="str">
        <x:v>SP500_ANN_0040</x:v>
      </x:c>
      <x:c r="B11" s="15" t="str">
        <x:v>SP500_HEAD_009856</x:v>
      </x:c>
      <x:c r="C11" s="20" t="n">
        <x:v>44510</x:v>
      </x:c>
      <x:c r="D11" s="18" t="str">
        <x:v>S&amp;P 500 Loser: GE Tries To Put Investors Out Of Their Misery</x:v>
      </x:c>
      <x:c r="E11" s="18" t="str">
        <x:v>S&amp;P 500 kaybedeni: GE yatırımcıları sıkıntılarından kurtarmaya çalışıyor.</x:v>
      </x:c>
      <x:c r="F11" s="15" t="str">
        <x:v>negative</x:v>
      </x:c>
      <x:c r="G11" s="22" t="n">
        <x:v>0.781</x:v>
      </x:c>
      <x:c r="H11" s="15" t="str">
        <x:v>negative</x:v>
      </x:c>
      <x:c r="I11" s="15" t="str">
        <x:v>high</x:v>
      </x:c>
      <x:c r="J11" s="18" t="str">
        <x:v>S&amp;P 500 kaybedeni ifadesi ve yatırımcı sıkıntısı vurgusu açık negatif sinyal.</x:v>
      </x:c>
      <x:c r="K11" s="18" t="str">
        <x:v>correct</x:v>
      </x:c>
      <x:c r="L11" s="18" t="str">
        <x:v>FinBERT etiketi final etiket ile aynı.</x:v>
      </x:c>
      <x:c r="M11" s="15"/>
      <x:c r="N11" s="15"/>
      <x:c r="O11" s="15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a9739f901244b9"/>
  </x:tableParts>
</x:worksheet>
</file>