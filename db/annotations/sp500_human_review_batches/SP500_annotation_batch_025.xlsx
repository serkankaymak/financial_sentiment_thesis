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c02ba664f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25" sheetId="1" r:id="R78d59cfb953d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54a18eb4c499e" /><Relationship Type="http://schemas.openxmlformats.org/officeDocument/2006/relationships/theme" Target="/xl/theme/theme1.xml" Id="R9f277f82a1b64819" /><Relationship Type="http://schemas.openxmlformats.org/officeDocument/2006/relationships/sharedStrings" Target="/xl/sharedStrings.xml" Id="Rda84a3ef62e742a7" /><Relationship Type="http://schemas.openxmlformats.org/officeDocument/2006/relationships/worksheet" Target="/xl/worksheets/sheet1.xml" Id="R78d59cfb953d4b6e" /></Relationships>
</file>

<file path=xl/tables/table1.xml><?xml version="1.0" encoding="utf-8"?>
<x:table xmlns:x="http://schemas.openxmlformats.org/spreadsheetml/2006/main" id="1" name="AnnTable_025" displayName="AnnTable_025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802656bfda411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SP500_ANN_0241</x:v>
      </x:c>
      <x:c r="B2" s="32" t="str">
        <x:v>SP500_HEAD_002114</x:v>
      </x:c>
      <x:c r="C2" s="42" t="n">
        <x:v>41479</x:v>
      </x:c>
      <x:c r="D2" s="32" t="str">
        <x:v>What's Powering the Strongest Bull Market Since WWII?</x:v>
      </x:c>
      <x:c r="E2" s="32" t="str">
        <x:v>II. Dünya Savaşı'ndan bu yana en güçlü boğa piyasasını ne destekliyor?</x:v>
      </x:c>
      <x:c r="F2" s="32" t="str">
        <x:v>neutral</x:v>
      </x:c>
      <x:c r="G2" s="44" t="n">
        <x:v>0.865</x:v>
      </x:c>
      <x:c r="H2" s="32" t="str">
        <x:v>positive</x:v>
      </x:c>
      <x:c r="I2" s="32" t="str">
        <x:v>high</x:v>
      </x:c>
      <x:c r="J2" s="32" t="str">
        <x:v>En güçlü boğa piyasası ifadesi açık olumlu piyasa tonu.</x:v>
      </x:c>
      <x:c r="K2" s="32" t="str">
        <x:v>wrong</x:v>
      </x:c>
      <x:c r="L2" s="32" t="str">
        <x:v>FinBERT neutral demiş; final etiket positive.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SP500_ANN_0242</x:v>
      </x:c>
      <x:c r="B3" s="32" t="str">
        <x:v>SP500_HEAD_000504</x:v>
      </x:c>
      <x:c r="C3" s="42" t="n">
        <x:v>40611</x:v>
      </x:c>
      <x:c r="D3" s="32" t="str">
        <x:v>Biggest Gainers: The S&amp;P 1500's Biggest Gainers Since The March 2009 Low</x:v>
      </x:c>
      <x:c r="E3" s="32" t="str">
        <x:v>En büyük yükselenler: Mart 2009 dip seviyesinden bu yana S&amp;P 1500'ün en çok kazananları.</x:v>
      </x:c>
      <x:c r="F3" s="32" t="str">
        <x:v>positive</x:v>
      </x:c>
      <x:c r="G3" s="44" t="n">
        <x:v>0.489</x:v>
      </x:c>
      <x:c r="H3" s="32" t="str">
        <x:v>positive</x:v>
      </x:c>
      <x:c r="I3" s="32" t="str">
        <x:v>high</x:v>
      </x:c>
      <x:c r="J3" s="32" t="str">
        <x:v>Büyük kazananlar ve güçlü performans olumlu.</x:v>
      </x:c>
      <x:c r="K3" s="32" t="str">
        <x:v>correct</x:v>
      </x:c>
      <x:c r="L3" s="32" t="str">
        <x:v>FinBERT etiketi final etiket ile aynı.</x:v>
      </x:c>
      <x:c r="M3" s="31" t="str"/>
      <x:c r="N3" s="33" t="str">
        <x:v>FinBERT doğru</x:v>
      </x:c>
      <x:c r="O3" s="34" t="n">
        <x:f>COUNTIF(K2:K11,"correct")</x:f>
        <x:v>8</x:v>
      </x:c>
    </x:row>
    <x:row r="4" ht="58" customHeight="1">
      <x:c r="A4" s="32" t="str">
        <x:v>SP500_ANN_0243</x:v>
      </x:c>
      <x:c r="B4" s="32" t="str">
        <x:v>SP500_HEAD_009113</x:v>
      </x:c>
      <x:c r="C4" s="42" t="n">
        <x:v>44285</x:v>
      </x:c>
      <x:c r="D4" s="32" t="str">
        <x:v>50-year gold price vs stocks chart shows bullion fair value above $2,500 - MINING.COM</x:v>
      </x:c>
      <x:c r="E4" s="32" t="str">
        <x:v>50 yıllık altın fiyatı-hisse grafiği, külçenin adil değerinin 2.500 doların üzerinde olduğunu gösteriyor.</x:v>
      </x:c>
      <x:c r="F4" s="32" t="str">
        <x:v>neutral</x:v>
      </x:c>
      <x:c r="G4" s="44" t="n">
        <x:v>0.903</x:v>
      </x:c>
      <x:c r="H4" s="32" t="str">
        <x:v>neutral</x:v>
      </x:c>
      <x:c r="I4" s="32" t="str">
        <x:v>medium</x:v>
      </x:c>
      <x:c r="J4" s="32" t="str">
        <x:v>Altın-hisse karşılaştırması; S&amp;P 500 için net yön yok.</x:v>
      </x:c>
      <x:c r="K4" s="32" t="str">
        <x:v>correct</x:v>
      </x:c>
      <x:c r="L4" s="32" t="str">
        <x:v>FinBERT etiketi final etiket ile aynı.</x:v>
      </x:c>
      <x:c r="M4" s="31" t="str"/>
      <x:c r="N4" s="33" t="str">
        <x:v>FinBERT yanlış</x:v>
      </x:c>
      <x:c r="O4" s="34" t="n">
        <x:f>COUNTIF(K2:K11,"wrong")</x:f>
        <x:v>2</x:v>
      </x:c>
    </x:row>
    <x:row r="5" ht="58" customHeight="1">
      <x:c r="A5" s="32" t="str">
        <x:v>SP500_ANN_0244</x:v>
      </x:c>
      <x:c r="B5" s="32" t="str">
        <x:v>SP500_HEAD_007690</x:v>
      </x:c>
      <x:c r="C5" s="42" t="n">
        <x:v>43907</x:v>
      </x:c>
      <x:c r="D5" s="32" t="str">
        <x:v>S&amp;P 500 Records Worst One Day Decline Since 1987 | Market Insights</x:v>
      </x:c>
      <x:c r="E5" s="32" t="str">
        <x:v>S&amp;P 500, 1987'den bu yana en kötü tek günlük düşüşünü kaydetti.</x:v>
      </x:c>
      <x:c r="F5" s="32" t="str">
        <x:v>negative</x:v>
      </x:c>
      <x:c r="G5" s="44" t="n">
        <x:v>0.943</x:v>
      </x:c>
      <x:c r="H5" s="32" t="str">
        <x:v>negative</x:v>
      </x:c>
      <x:c r="I5" s="32" t="str">
        <x:v>high</x:v>
      </x:c>
      <x:c r="J5" s="32" t="str">
        <x:v>Tarihsel kötü düşüş açık negatif.</x:v>
      </x:c>
      <x:c r="K5" s="32" t="str">
        <x:v>correct</x:v>
      </x:c>
      <x:c r="L5" s="32" t="str">
        <x:v>FinBERT etiketi final etiket ile aynı.</x:v>
      </x:c>
      <x:c r="M5" s="31" t="str"/>
      <x:c r="N5" s="33" t="str">
        <x:v>Doğruluk oranı</x:v>
      </x:c>
      <x:c r="O5" s="46" t="n">
        <x:f>O3/O2</x:f>
        <x:v>0.8</x:v>
      </x:c>
    </x:row>
    <x:row r="6" ht="58" customHeight="1">
      <x:c r="A6" s="32" t="str">
        <x:v>SP500_ANN_0245</x:v>
      </x:c>
      <x:c r="B6" s="32" t="str">
        <x:v>SP500_HEAD_013664</x:v>
      </x:c>
      <x:c r="C6" s="42" t="n">
        <x:v>45034</x:v>
      </x:c>
      <x:c r="D6" s="32" t="str">
        <x:v>S&amp;P 500 ends Tuesday little changed as earnings season picks up steam: Live updates</x:v>
      </x:c>
      <x:c r="E6" s="32" t="str">
        <x:v>S&amp;P 500 bilanço sezonu hız kazanırken Salı gününü yatay kapattı.</x:v>
      </x:c>
      <x:c r="F6" s="32" t="str">
        <x:v>neutral</x:v>
      </x:c>
      <x:c r="G6" s="44" t="n">
        <x:v>0.875</x:v>
      </x:c>
      <x:c r="H6" s="32" t="str">
        <x:v>neutral</x:v>
      </x:c>
      <x:c r="I6" s="32" t="str">
        <x:v>high</x:v>
      </x:c>
      <x:c r="J6" s="32" t="str">
        <x:v>Little changed/yatay kapanış nötr.</x:v>
      </x:c>
      <x:c r="K6" s="32" t="str">
        <x:v>correct</x:v>
      </x:c>
      <x:c r="L6" s="32" t="str">
        <x:v>FinBERT etiketi final etiket ile aynı.</x:v>
      </x:c>
      <x:c r="M6" s="31" t="str"/>
      <x:c r="N6" s="31" t="str"/>
      <x:c r="O6" s="31" t="str"/>
    </x:row>
    <x:row r="7" ht="58" customHeight="1">
      <x:c r="A7" s="32" t="str">
        <x:v>SP500_ANN_0246</x:v>
      </x:c>
      <x:c r="B7" s="32" t="str">
        <x:v>SP500_HEAD_010018</x:v>
      </x:c>
      <x:c r="C7" s="42" t="n">
        <x:v>44544</x:v>
      </x:c>
      <x:c r="D7" s="32" t="str">
        <x:v>Grab a Slice of the Discounted Small-Cap Pie</x:v>
      </x:c>
      <x:c r="E7" s="32" t="str">
        <x:v>İskontolu küçük ölçekli hisse pastasından pay kapın.</x:v>
      </x:c>
      <x:c r="F7" s="32" t="str">
        <x:v>neutral</x:v>
      </x:c>
      <x:c r="G7" s="44" t="n">
        <x:v>0.911</x:v>
      </x:c>
      <x:c r="H7" s="32" t="str">
        <x:v>positive</x:v>
      </x:c>
      <x:c r="I7" s="32" t="str">
        <x:v>medium</x:v>
      </x:c>
      <x:c r="J7" s="32" t="str">
        <x:v>İskontolu fırsat dili olumlu yatırım çağrışımı taşıyor.</x:v>
      </x:c>
      <x:c r="K7" s="32" t="str">
        <x:v>wrong</x:v>
      </x:c>
      <x:c r="L7" s="32" t="str">
        <x:v>FinBERT neutral demiş; final etiket positive.</x:v>
      </x:c>
      <x:c r="M7" s="31" t="str"/>
      <x:c r="N7" s="31" t="str"/>
      <x:c r="O7" s="31" t="str"/>
    </x:row>
    <x:row r="8" ht="58" customHeight="1">
      <x:c r="A8" s="32" t="str">
        <x:v>SP500_ANN_0247</x:v>
      </x:c>
      <x:c r="B8" s="32" t="str">
        <x:v>SP500_HEAD_015595</x:v>
      </x:c>
      <x:c r="C8" s="42" t="n">
        <x:v>45183</x:v>
      </x:c>
      <x:c r="D8" s="32" t="str">
        <x:v>NASDAQ 100, Dow Jones, S&amp;P 500 News: Inflation Fears Ease, Retail Sales Surge</x:v>
      </x:c>
      <x:c r="E8" s="32" t="str">
        <x:v>Nasdaq 100, Dow Jones, S&amp;P 500: Enflasyon korkuları hafifledi, perakende satışlar sıçradı.</x:v>
      </x:c>
      <x:c r="F8" s="32" t="str">
        <x:v>positive</x:v>
      </x:c>
      <x:c r="G8" s="44" t="n">
        <x:v>0.915</x:v>
      </x:c>
      <x:c r="H8" s="32" t="str">
        <x:v>positive</x:v>
      </x:c>
      <x:c r="I8" s="32" t="str">
        <x:v>high</x:v>
      </x:c>
      <x:c r="J8" s="32" t="str">
        <x:v>Enflasyon korkularının azalması ve satışların artması pozitif.</x:v>
      </x:c>
      <x:c r="K8" s="32" t="str">
        <x:v>correct</x:v>
      </x:c>
      <x:c r="L8" s="32" t="str">
        <x:v>FinBERT etiketi final etiket ile aynı.</x:v>
      </x:c>
      <x:c r="M8" s="31" t="str"/>
      <x:c r="N8" s="31" t="str"/>
      <x:c r="O8" s="31" t="str"/>
    </x:row>
    <x:row r="9" ht="58" customHeight="1">
      <x:c r="A9" s="32" t="str">
        <x:v>SP500_ANN_0248</x:v>
      </x:c>
      <x:c r="B9" s="32" t="str">
        <x:v>SP500_HEAD_017486</x:v>
      </x:c>
      <x:c r="C9" s="42" t="n">
        <x:v>45323</x:v>
      </x:c>
      <x:c r="D9" s="32" t="str">
        <x:v>S&amp;P 500 closes at a record, rises for a fourth-straight week on strong tech earnings: Live updates</x:v>
      </x:c>
      <x:c r="E9" s="32" t="str">
        <x:v>S&amp;P 500 güçlü teknoloji bilançolarıyla rekor kapanış yaptı ve dördüncü haftayı da yükselişle tamamladı.</x:v>
      </x:c>
      <x:c r="F9" s="32" t="str">
        <x:v>positive</x:v>
      </x:c>
      <x:c r="G9" s="44" t="n">
        <x:v>0.778</x:v>
      </x:c>
      <x:c r="H9" s="32" t="str">
        <x:v>positive</x:v>
      </x:c>
      <x:c r="I9" s="32" t="str">
        <x:v>high</x:v>
      </x:c>
      <x:c r="J9" s="32" t="str">
        <x:v>Rekor kapanış ve üst üste yükseliş açık olumlu.</x:v>
      </x:c>
      <x:c r="K9" s="32" t="str">
        <x:v>correct</x:v>
      </x:c>
      <x:c r="L9" s="32" t="str">
        <x:v>FinBERT etiketi final etiket ile aynı.</x:v>
      </x:c>
      <x:c r="M9" s="31" t="str"/>
      <x:c r="N9" s="31" t="str"/>
      <x:c r="O9" s="31" t="str"/>
    </x:row>
    <x:row r="10" ht="58" customHeight="1">
      <x:c r="A10" s="32" t="str">
        <x:v>SP500_ANN_0249</x:v>
      </x:c>
      <x:c r="B10" s="32" t="str">
        <x:v>SP500_HEAD_014015</x:v>
      </x:c>
      <x:c r="C10" s="42" t="n">
        <x:v>45069</x:v>
      </x:c>
      <x:c r="D10" s="32" t="str">
        <x:v>B Of A Upped Its Forecast For Stocks — Just Not The Ones You Think</x:v>
      </x:c>
      <x:c r="E10" s="32" t="str">
        <x:v>BofA hisse tahminini yükseltti — ama sandığınız hisseler için değil.</x:v>
      </x:c>
      <x:c r="F10" s="32" t="str">
        <x:v>positive</x:v>
      </x:c>
      <x:c r="G10" s="44" t="n">
        <x:v>0.639</x:v>
      </x:c>
      <x:c r="H10" s="32" t="str">
        <x:v>positive</x:v>
      </x:c>
      <x:c r="I10" s="32" t="str">
        <x:v>medium</x:v>
      </x:c>
      <x:c r="J10" s="32" t="str">
        <x:v>Hisse tahmininin yükseltilmesi genel olarak olumlu.</x:v>
      </x:c>
      <x:c r="K10" s="32" t="str">
        <x:v>correct</x:v>
      </x:c>
      <x:c r="L10" s="32" t="str">
        <x:v>FinBERT etiketi final etiket ile aynı.</x:v>
      </x:c>
      <x:c r="M10" s="31" t="str"/>
      <x:c r="N10" s="31" t="str"/>
      <x:c r="O10" s="31" t="str"/>
    </x:row>
    <x:row r="11" ht="58" customHeight="1">
      <x:c r="A11" s="32" t="str">
        <x:v>SP500_ANN_0250</x:v>
      </x:c>
      <x:c r="B11" s="32" t="str">
        <x:v>SP500_HEAD_017130</x:v>
      </x:c>
      <x:c r="C11" s="42" t="n">
        <x:v>45293</x:v>
      </x:c>
      <x:c r="D11" s="32" t="str">
        <x:v>2024 Outlook: 9 Views on What to Watch Across S&amp;P 500 Earnings, AI, Banks, and More</x:v>
      </x:c>
      <x:c r="E11" s="32" t="str">
        <x:v>2024 görünümü: S&amp;P 500 bilançoları, yapay zeka, bankalar ve daha fazlasında izlenecek 9 görüş.</x:v>
      </x:c>
      <x:c r="F11" s="32" t="str">
        <x:v>neutral</x:v>
      </x:c>
      <x:c r="G11" s="44" t="n">
        <x:v>0.937</x:v>
      </x:c>
      <x:c r="H11" s="32" t="str">
        <x:v>neutral</x:v>
      </x:c>
      <x:c r="I11" s="32" t="str">
        <x:v>high</x:v>
      </x:c>
      <x:c r="J11" s="32" t="str">
        <x:v>Görünüm/analiz başlığı; net yön belirtilmemiş.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802656bfda411e"/>
  </x:tableParts>
</x:worksheet>
</file>