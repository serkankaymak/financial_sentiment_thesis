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1a619cdc2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8" sheetId="1" r:id="Rf54541c2968c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7bc6964c64619" /><Relationship Type="http://schemas.openxmlformats.org/officeDocument/2006/relationships/theme" Target="/xl/theme/theme1.xml" Id="R1c304dd0140946f8" /><Relationship Type="http://schemas.openxmlformats.org/officeDocument/2006/relationships/sharedStrings" Target="/xl/sharedStrings.xml" Id="Rf3486f0fb8d3489b" /><Relationship Type="http://schemas.openxmlformats.org/officeDocument/2006/relationships/worksheet" Target="/xl/worksheets/sheet1.xml" Id="Rf54541c2968c4c90" /></Relationships>
</file>

<file path=xl/tables/table1.xml><?xml version="1.0" encoding="utf-8"?>
<x:table xmlns:x="http://schemas.openxmlformats.org/spreadsheetml/2006/main" id="1" name="AnnotationTable008" displayName="AnnotationTable008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ebf62c01aa477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SP500_ANN_0071</x:v>
      </x:c>
      <x:c r="B2" s="14" t="str">
        <x:v>SP500_HEAD_012150</x:v>
      </x:c>
      <x:c r="C2" s="16" t="n">
        <x:v>44894</x:v>
      </x:c>
      <x:c r="D2" s="14" t="str">
        <x:v>Stock market could plunge another 24% next year, Bank of America warns</x:v>
      </x:c>
      <x:c r="E2" s="14" t="str">
        <x:v>Bank of America uyardı: Borsa gelecek yıl %24 daha düşebilir.</x:v>
      </x:c>
      <x:c r="F2" s="22" t="str">
        <x:v>negative</x:v>
      </x:c>
      <x:c r="G2" s="18" t="n">
        <x:v>0.9573081731796265</x:v>
      </x:c>
      <x:c r="H2" s="22" t="str">
        <x:v>negative</x:v>
      </x:c>
      <x:c r="I2" s="22" t="str">
        <x:v>high</x:v>
      </x:c>
      <x:c r="J2" s="14" t="str">
        <x:v>%24 ek düşüş uyarısı çok açık negatif piyasa sinyali.</x:v>
      </x:c>
      <x:c r="K2" s="22" t="str">
        <x:v>correct</x:v>
      </x:c>
      <x:c r="L2" s="14" t="str">
        <x:v>FinBERT etiketi final etiket ile aynı.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SP500_ANN_0072</x:v>
      </x:c>
      <x:c r="B3" s="14" t="str">
        <x:v>SP500_HEAD_014864</x:v>
      </x:c>
      <x:c r="C3" s="16" t="n">
        <x:v>45133</x:v>
      </x:c>
      <x:c r="D3" s="14" t="str">
        <x:v>S&amp;P 500 E-Mini Bears Want Double Top Test of 4,500</x:v>
      </x:c>
      <x:c r="E3" s="14" t="str">
        <x:v>S&amp;P 500 E-mini ayıları 4.500'de çift tepe testini istiyor.</x:v>
      </x:c>
      <x:c r="F3" s="22" t="str">
        <x:v>neutral</x:v>
      </x:c>
      <x:c r="G3" s="18" t="n">
        <x:v>0.8734500408172607</x:v>
      </x:c>
      <x:c r="H3" s="22" t="str">
        <x:v>negative</x:v>
      </x:c>
      <x:c r="I3" s="22" t="str">
        <x:v>medium</x:v>
      </x:c>
      <x:c r="J3" s="14" t="str">
        <x:v>'Bears/ayılar' ve çift tepe testi aşağı yönlü teknik risk ima ediyor.</x:v>
      </x:c>
      <x:c r="K3" s="22" t="str">
        <x:v>wrong</x:v>
      </x:c>
      <x:c r="L3" s="14" t="str">
        <x:v>FinBERT neutral demiş; final etiket negative. Teknik başlık bearish ton taşıyor.</x:v>
      </x:c>
      <x:c r="M3" t="str"/>
      <x:c r="N3" s="44" t="str">
        <x:v>FinBERT doğru</x:v>
      </x:c>
      <x:c r="O3" s="46" t="n">
        <x:f>COUNTIF(K2:K11,"correct")</x:f>
        <x:v>5</x:v>
      </x:c>
    </x:row>
    <x:row r="4" ht="24" customHeight="1">
      <x:c r="A4" s="14" t="str">
        <x:v>SP500_ANN_0073</x:v>
      </x:c>
      <x:c r="B4" s="14" t="str">
        <x:v>SP500_HEAD_000892</x:v>
      </x:c>
      <x:c r="C4" s="16" t="n">
        <x:v>40858</x:v>
      </x:c>
      <x:c r="D4" s="14" t="str">
        <x:v>10 S&amp;P Stocks with the Highest PEG Ratios</x:v>
      </x:c>
      <x:c r="E4" s="14" t="str">
        <x:v>En yüksek PEG oranlarına sahip 10 S&amp;P hissesi.</x:v>
      </x:c>
      <x:c r="F4" s="22" t="str">
        <x:v>neutral</x:v>
      </x:c>
      <x:c r="G4" s="18" t="n">
        <x:v>0.502299427986145</x:v>
      </x:c>
      <x:c r="H4" s="22" t="str">
        <x:v>neutral</x:v>
      </x:c>
      <x:c r="I4" s="22" t="str">
        <x:v>high</x:v>
      </x:c>
      <x:c r="J4" s="14" t="str">
        <x:v>Liste/değerleme başlığı; net duygu veya yön yok.</x:v>
      </x:c>
      <x:c r="K4" s="22" t="str">
        <x:v>correct</x:v>
      </x:c>
      <x:c r="L4" s="14" t="str">
        <x:v>FinBERT etiketi final etiket ile aynı.</x:v>
      </x:c>
      <x:c r="M4" t="str"/>
      <x:c r="N4" s="44" t="str">
        <x:v>FinBERT yanlış</x:v>
      </x:c>
      <x:c r="O4" s="46" t="n">
        <x:f>COUNTIF(K2:K11,"wrong")</x:f>
        <x:v>5</x:v>
      </x:c>
    </x:row>
    <x:row r="5" ht="24" customHeight="1">
      <x:c r="A5" s="14" t="str">
        <x:v>SP500_ANN_0074</x:v>
      </x:c>
      <x:c r="B5" s="14" t="str">
        <x:v>SP500_HEAD_011276</x:v>
      </x:c>
      <x:c r="C5" s="16" t="n">
        <x:v>44743</x:v>
      </x:c>
      <x:c r="D5" s="14" t="str">
        <x:v>S&amp;P 500 Weekly Price Forecast – The Stock Market Continues to Plummet</x:v>
      </x:c>
      <x:c r="E5" s="14" t="str">
        <x:v>S&amp;P 500 haftalık fiyat tahmini: Borsa düşmeye devam ediyor.</x:v>
      </x:c>
      <x:c r="F5" s="22" t="str">
        <x:v>negative</x:v>
      </x:c>
      <x:c r="G5" s="18" t="n">
        <x:v>0.9425598978996277</x:v>
      </x:c>
      <x:c r="H5" s="22" t="str">
        <x:v>negative</x:v>
      </x:c>
      <x:c r="I5" s="22" t="str">
        <x:v>high</x:v>
      </x:c>
      <x:c r="J5" s="14" t="str">
        <x:v>Piyasanın düşmeye devam etmesi açık negatif sinyal.</x:v>
      </x:c>
      <x:c r="K5" s="22" t="str">
        <x:v>correct</x:v>
      </x:c>
      <x:c r="L5" s="14" t="str">
        <x:v>FinBERT etiketi final etiket ile aynı.</x:v>
      </x:c>
      <x:c r="M5" t="str"/>
      <x:c r="N5" s="44" t="str">
        <x:v>Doğruluk oranı</x:v>
      </x:c>
      <x:c r="O5" s="47" t="n">
        <x:f>O3/O2</x:f>
        <x:v>0.5</x:v>
      </x:c>
    </x:row>
    <x:row r="6" ht="90" customHeight="1">
      <x:c r="A6" s="14" t="str">
        <x:v>SP500_ANN_0075</x:v>
      </x:c>
      <x:c r="B6" s="14" t="str">
        <x:v>SP500_HEAD_012837</x:v>
      </x:c>
      <x:c r="C6" s="16" t="n">
        <x:v>44970</x:v>
      </x:c>
      <x:c r="D6" s="14" t="str">
        <x:v>The new CFO: How being chief financial officer can be the launchpad to the head office</x:v>
      </x:c>
      <x:c r="E6" s="14" t="str">
        <x:v>Yeni CFO: Finans direktörlüğü üst yönetime geçiş için nasıl bir fırlatma rampası olabilir?</x:v>
      </x:c>
      <x:c r="F6" s="22" t="str">
        <x:v>neutral</x:v>
      </x:c>
      <x:c r="G6" s="18" t="n">
        <x:v>0.9211642742156982</x:v>
      </x:c>
      <x:c r="H6" s="22" t="str">
        <x:v>neutral</x:v>
      </x:c>
      <x:c r="I6" s="22" t="str">
        <x:v>high</x:v>
      </x:c>
      <x:c r="J6" s="14" t="str">
        <x:v>Kariyer/yönetim başlığı; piyasa yönü yok.</x:v>
      </x:c>
      <x:c r="K6" s="22" t="str">
        <x:v>correct</x:v>
      </x:c>
      <x:c r="L6" s="14" t="str">
        <x:v>FinBERT etiketi final etiket ile aynı.</x:v>
      </x:c>
      <x:c r="M6" t="str"/>
      <x:c r="N6" t="str"/>
      <x:c r="O6" t="str"/>
    </x:row>
    <x:row r="7" ht="90" customHeight="1">
      <x:c r="A7" s="14" t="str">
        <x:v>SP500_ANN_0076</x:v>
      </x:c>
      <x:c r="B7" s="14" t="str">
        <x:v>SP500_HEAD_002478</x:v>
      </x:c>
      <x:c r="C7" s="16" t="n">
        <x:v>41642</x:v>
      </x:c>
      <x:c r="D7" s="14" t="str">
        <x:v>Berkshire seen failing Warren Buffett's 5-year test for the first time</x:v>
      </x:c>
      <x:c r="E7" s="14" t="str">
        <x:v>Berkshire'ın Warren Buffett'ın 5 yıllık testinde ilk kez başarısız olacağı görülüyor.</x:v>
      </x:c>
      <x:c r="F7" s="22" t="str">
        <x:v>positive</x:v>
      </x:c>
      <x:c r="G7" s="18" t="n">
        <x:v>0.5264177918434143</x:v>
      </x:c>
      <x:c r="H7" s="22" t="str">
        <x:v>negative</x:v>
      </x:c>
      <x:c r="I7" s="22" t="str">
        <x:v>high</x:v>
      </x:c>
      <x:c r="J7" s="14" t="str">
        <x:v>Berkshire'ın önemli bir performans testinde başarısız olması şirket için negatif sinyal.</x:v>
      </x:c>
      <x:c r="K7" s="22" t="str">
        <x:v>wrong</x:v>
      </x:c>
      <x:c r="L7" s="14" t="str">
        <x:v>FinBERT positive demiş; final etiket negative. 'failing' ifadesini kaçırmış olabilir.</x:v>
      </x:c>
      <x:c r="M7" t="str"/>
      <x:c r="N7" t="str"/>
      <x:c r="O7" t="str"/>
    </x:row>
    <x:row r="8" ht="90" customHeight="1">
      <x:c r="A8" s="14" t="str">
        <x:v>SP500_ANN_0077</x:v>
      </x:c>
      <x:c r="B8" s="14" t="str">
        <x:v>SP500_HEAD_005050</x:v>
      </x:c>
      <x:c r="C8" s="16" t="n">
        <x:v>42810</x:v>
      </x:c>
      <x:c r="D8" s="14" t="str">
        <x:v>Why Stocks Are Better Than Leprechaun Gold on St. Patrick's Day</x:v>
      </x:c>
      <x:c r="E8" s="14" t="str">
        <x:v>St. Patrick's Day'de hisseler neden cin altınından daha iyi?</x:v>
      </x:c>
      <x:c r="F8" s="22" t="str">
        <x:v>neutral</x:v>
      </x:c>
      <x:c r="G8" s="18" t="n">
        <x:v>0.7793171405792236</x:v>
      </x:c>
      <x:c r="H8" s="22" t="str">
        <x:v>positive</x:v>
      </x:c>
      <x:c r="I8" s="22" t="str">
        <x:v>medium</x:v>
      </x:c>
      <x:c r="J8" s="14" t="str">
        <x:v>Hisselerin alternatiften daha iyi olduğu vurgulanıyor; hafif olumlu yatırım tonu var.</x:v>
      </x:c>
      <x:c r="K8" s="22" t="str">
        <x:v>wrong</x:v>
      </x:c>
      <x:c r="L8" s="14" t="str">
        <x:v>FinBERT neutral demiş; final etiket positive. Başlık hisse lehine olumlu karşılaştırma yapıyor.</x:v>
      </x:c>
      <x:c r="M8" t="str"/>
      <x:c r="N8" t="str"/>
      <x:c r="O8" t="str"/>
    </x:row>
    <x:row r="9" ht="90" customHeight="1">
      <x:c r="A9" s="14" t="str">
        <x:v>SP500_ANN_0078</x:v>
      </x:c>
      <x:c r="B9" s="14" t="str">
        <x:v>SP500_HEAD_016797</x:v>
      </x:c>
      <x:c r="C9" s="16" t="n">
        <x:v>45268</x:v>
      </x:c>
      <x:c r="D9" s="14" t="str">
        <x:v>Uber Is Riding Into the S&amp;P 500: Here's Why Its Stock Could Soar Higher</x:v>
      </x:c>
      <x:c r="E9" s="14" t="str">
        <x:v>Uber S&amp;P 500'e giriyor: Hissesinin neden daha da yükselebileceği.</x:v>
      </x:c>
      <x:c r="F9" s="22" t="str">
        <x:v>neutral</x:v>
      </x:c>
      <x:c r="G9" s="18" t="n">
        <x:v>0.8749796748161316</x:v>
      </x:c>
      <x:c r="H9" s="22" t="str">
        <x:v>positive</x:v>
      </x:c>
      <x:c r="I9" s="22" t="str">
        <x:v>high</x:v>
      </x:c>
      <x:c r="J9" s="14" t="str">
        <x:v>S&amp;P 500'e dahil olma ve hissenin yükselebileceği beklentisi açık olumlu sinyal.</x:v>
      </x:c>
      <x:c r="K9" s="22" t="str">
        <x:v>wrong</x:v>
      </x:c>
      <x:c r="L9" s="14" t="str">
        <x:v>FinBERT neutral demiş; final etiket positive. Başlık güçlü bullish ifade içeriyor.</x:v>
      </x:c>
      <x:c r="M9" t="str"/>
      <x:c r="N9" t="str"/>
      <x:c r="O9" t="str"/>
    </x:row>
    <x:row r="10" ht="90" customHeight="1">
      <x:c r="A10" s="14" t="str">
        <x:v>SP500_ANN_0079</x:v>
      </x:c>
      <x:c r="B10" s="14" t="str">
        <x:v>SP500_HEAD_011701</x:v>
      </x:c>
      <x:c r="C10" s="16" t="n">
        <x:v>44827</x:v>
      </x:c>
      <x:c r="D10" s="14" t="str">
        <x:v>S&amp;P 500 Circles New 2022 Lows Following Latest Fed Rate Hike: Is A Recession Inevitable? - SPDR S&amp;P 500 (</x:v>
      </x:c>
      <x:c r="E10" s="14" t="str">
        <x:v>Son Fed faiz artışı sonrası S&amp;P 500 yeni 2022 diplerine yaklaşıyor: Resesyon kaçınılmaz mı?</x:v>
      </x:c>
      <x:c r="F10" s="22" t="str">
        <x:v>negative</x:v>
      </x:c>
      <x:c r="G10" s="18" t="n">
        <x:v>0.9088355898857117</x:v>
      </x:c>
      <x:c r="H10" s="22" t="str">
        <x:v>negative</x:v>
      </x:c>
      <x:c r="I10" s="22" t="str">
        <x:v>high</x:v>
      </x:c>
      <x:c r="J10" s="14" t="str">
        <x:v>Yeni dipler ve resesyon endişesi açık negatif piyasa sinyali.</x:v>
      </x:c>
      <x:c r="K10" s="22" t="str">
        <x:v>correct</x:v>
      </x:c>
      <x:c r="L10" s="14" t="str">
        <x:v>FinBERT etiketi final etiket ile aynı.</x:v>
      </x:c>
      <x:c r="M10" t="str"/>
      <x:c r="N10" t="str"/>
      <x:c r="O10" t="str"/>
    </x:row>
    <x:row r="11" ht="90" customHeight="1">
      <x:c r="A11" s="14" t="str">
        <x:v>SP500_ANN_0080</x:v>
      </x:c>
      <x:c r="B11" s="14" t="str">
        <x:v>SP500_HEAD_013371</x:v>
      </x:c>
      <x:c r="C11" s="16" t="n">
        <x:v>45012</x:v>
      </x:c>
      <x:c r="D11" s="14" t="str">
        <x:v>11 stocks in the S&amp;P 500 expected to form an exclusive growth club for investors</x:v>
      </x:c>
      <x:c r="E11" s="14" t="str">
        <x:v>S&amp;P 500'de yatırımcılar için seçkin bir büyüme kulübü oluşturması beklenen 11 hisse.</x:v>
      </x:c>
      <x:c r="F11" s="22" t="str">
        <x:v>neutral</x:v>
      </x:c>
      <x:c r="G11" s="18" t="n">
        <x:v>0.8368372321128845</x:v>
      </x:c>
      <x:c r="H11" s="22" t="str">
        <x:v>positive</x:v>
      </x:c>
      <x:c r="I11" s="22" t="str">
        <x:v>medium</x:v>
      </x:c>
      <x:c r="J11" s="14" t="str">
        <x:v>Büyüme kulübü ve yatırımcı fırsatı vurgusu olumlu hisse seçimi sinyali verir.</x:v>
      </x:c>
      <x:c r="K11" s="22" t="str">
        <x:v>wrong</x:v>
      </x:c>
      <x:c r="L11" s="14" t="str">
        <x:v>FinBERT neutral demiş; final etiket positive. Başlık olumlu büyüme beklentisi içeriyor.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ebf62c01aa477c"/>
  </x:tableParts>
</x:worksheet>
</file>