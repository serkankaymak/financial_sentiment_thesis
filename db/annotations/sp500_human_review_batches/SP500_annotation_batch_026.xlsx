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e815fd3e8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26" sheetId="1" r:id="Ra6c9ee8eac09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8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5a7d6ce2a4f21" /><Relationship Type="http://schemas.openxmlformats.org/officeDocument/2006/relationships/theme" Target="/xl/theme/theme1.xml" Id="Rbb5eb552d96a4945" /><Relationship Type="http://schemas.openxmlformats.org/officeDocument/2006/relationships/sharedStrings" Target="/xl/sharedStrings.xml" Id="R49b8bd1bb4c94e72" /><Relationship Type="http://schemas.openxmlformats.org/officeDocument/2006/relationships/worksheet" Target="/xl/worksheets/sheet1.xml" Id="Ra6c9ee8eac094429" /></Relationships>
</file>

<file path=xl/tables/table1.xml><?xml version="1.0" encoding="utf-8"?>
<x:table xmlns:x="http://schemas.openxmlformats.org/spreadsheetml/2006/main" id="1" name="AnnTable_026" displayName="AnnTable_026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66c5e5a97d49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  <x:col min="11" max="11" width="18" hidden="0" customWidth="1"/>
    <x:col min="12" max="12" width="50" hidden="0" customWidth="1"/>
    <x:col min="13" max="13" width="4" hidden="0" customWidth="1"/>
    <x:col min="14" max="14" width="20" hidden="0" customWidth="1"/>
    <x:col min="15" max="15" width="16" hidden="0" customWidth="1"/>
  </x:cols>
  <x:sheetData>
    <x:row r="1" ht="28" customHeight="1">
      <x:c r="A1" s="30" t="str">
        <x:v>annotation_id</x:v>
      </x:c>
      <x:c r="B1" s="30" t="str">
        <x:v>sample_id</x:v>
      </x:c>
      <x:c r="C1" s="30" t="str">
        <x:v>date</x:v>
      </x:c>
      <x:c r="D1" s="30" t="str">
        <x:v>text_en</x:v>
      </x:c>
      <x:c r="E1" s="30" t="str">
        <x:v>text_tr</x:v>
      </x:c>
      <x:c r="F1" s="30" t="str">
        <x:v>finbert_label</x:v>
      </x:c>
      <x:c r="G1" s="30" t="str">
        <x:v>finbert_confidence</x:v>
      </x:c>
      <x:c r="H1" s="30" t="str">
        <x:v>chatgpt_label</x:v>
      </x:c>
      <x:c r="I1" s="30" t="str">
        <x:v>chatgpt_confidence</x:v>
      </x:c>
      <x:c r="J1" s="30" t="str">
        <x:v>chatgpt_reason_tr</x:v>
      </x:c>
      <x:c r="K1" s="30" t="str">
        <x:v>finbert_correctness</x:v>
      </x:c>
      <x:c r="L1" s="30" t="str">
        <x:v>finbert_correctness_note</x:v>
      </x:c>
      <x:c r="M1" s="40" t="str"/>
      <x:c r="N1" s="30" t="str">
        <x:v>Özet</x:v>
      </x:c>
      <x:c r="O1" s="30" t="str">
        <x:v>Değer</x:v>
      </x:c>
    </x:row>
    <x:row r="2" ht="58" customHeight="1">
      <x:c r="A2" s="32" t="str">
        <x:v>SP500_ANN_0251</x:v>
      </x:c>
      <x:c r="B2" s="32" t="str">
        <x:v>SP500_HEAD_009160</x:v>
      </x:c>
      <x:c r="C2" s="42" t="n">
        <x:v>44299</x:v>
      </x:c>
      <x:c r="D2" s="32" t="str">
        <x:v>US STOCKS-S&amp;P 500, Nasdaq up as tech stocks rise after J&amp;J vaccine pause</x:v>
      </x:c>
      <x:c r="E2" s="32" t="str">
        <x:v>J&amp;J aşı duraklaması sonrası teknoloji hisseleri yükselirken S&amp;P 500 ve Nasdaq artıda.</x:v>
      </x:c>
      <x:c r="F2" s="32" t="str">
        <x:v>positive</x:v>
      </x:c>
      <x:c r="G2" s="44" t="n">
        <x:v>0.805</x:v>
      </x:c>
      <x:c r="H2" s="32" t="str">
        <x:v>positive</x:v>
      </x:c>
      <x:c r="I2" s="32" t="str">
        <x:v>high</x:v>
      </x:c>
      <x:c r="J2" s="32" t="str">
        <x:v>Endekslerin yükselmesi olumlu.</x:v>
      </x:c>
      <x:c r="K2" s="32" t="str">
        <x:v>correct</x:v>
      </x:c>
      <x:c r="L2" s="32" t="str">
        <x:v>FinBERT etiketi final etiket ile aynı.</x:v>
      </x:c>
      <x:c r="M2" s="31" t="str"/>
      <x:c r="N2" s="33" t="str">
        <x:v>Toplam örnek</x:v>
      </x:c>
      <x:c r="O2" s="34" t="n">
        <x:f>COUNTA(A2:A11)</x:f>
        <x:v>10</x:v>
      </x:c>
    </x:row>
    <x:row r="3" ht="58" customHeight="1">
      <x:c r="A3" s="32" t="str">
        <x:v>SP500_ANN_0252</x:v>
      </x:c>
      <x:c r="B3" s="32" t="str">
        <x:v>SP500_HEAD_009206</x:v>
      </x:c>
      <x:c r="C3" s="42" t="n">
        <x:v>44316</x:v>
      </x:c>
      <x:c r="D3" s="32" t="str">
        <x:v>A Conservative ETF That Boycotts Liberal Companies Is Beating the S&amp;P 500</x:v>
      </x:c>
      <x:c r="E3" s="32" t="str">
        <x:v>Liberal şirketleri boykot eden muhafazakâr ETF, S&amp;P 500'ü geride bırakıyor.</x:v>
      </x:c>
      <x:c r="F3" s="32" t="str">
        <x:v>negative</x:v>
      </x:c>
      <x:c r="G3" s="44" t="n">
        <x:v>0.81</x:v>
      </x:c>
      <x:c r="H3" s="32" t="str">
        <x:v>positive</x:v>
      </x:c>
      <x:c r="I3" s="32" t="str">
        <x:v>medium</x:v>
      </x:c>
      <x:c r="J3" s="32" t="str">
        <x:v>ETF'nin S&amp;P 500'ü yenmesi performans açısından olumlu.</x:v>
      </x:c>
      <x:c r="K3" s="32" t="str">
        <x:v>wrong</x:v>
      </x:c>
      <x:c r="L3" s="32" t="str">
        <x:v>FinBERT negative demiş; final etiket positive.</x:v>
      </x:c>
      <x:c r="M3" s="31" t="str"/>
      <x:c r="N3" s="33" t="str">
        <x:v>FinBERT doğru</x:v>
      </x:c>
      <x:c r="O3" s="34" t="n">
        <x:f>COUNTIF(K2:K11,"correct")</x:f>
        <x:v>6</x:v>
      </x:c>
    </x:row>
    <x:row r="4" ht="58" customHeight="1">
      <x:c r="A4" s="32" t="str">
        <x:v>SP500_ANN_0253</x:v>
      </x:c>
      <x:c r="B4" s="32" t="str">
        <x:v>SP500_HEAD_015467</x:v>
      </x:c>
      <x:c r="C4" s="42" t="n">
        <x:v>45175</x:v>
      </x:c>
      <x:c r="D4" s="32" t="str">
        <x:v>BMO says bull case scenario of S&amp;P 500 at 5050 'becoming more likely'</x:v>
      </x:c>
      <x:c r="E4" s="32" t="str">
        <x:v>BMO, S&amp;P 500'ün 5050'ye ulaşacağı boğa senaryosunun daha olası hale geldiğini söylüyor.</x:v>
      </x:c>
      <x:c r="F4" s="32" t="str">
        <x:v>positive</x:v>
      </x:c>
      <x:c r="G4" s="44" t="n">
        <x:v>0.593</x:v>
      </x:c>
      <x:c r="H4" s="32" t="str">
        <x:v>positive</x:v>
      </x:c>
      <x:c r="I4" s="32" t="str">
        <x:v>high</x:v>
      </x:c>
      <x:c r="J4" s="32" t="str">
        <x:v>Boğa senaryosunun güçlenmesi olumlu.</x:v>
      </x:c>
      <x:c r="K4" s="32" t="str">
        <x:v>correct</x:v>
      </x:c>
      <x:c r="L4" s="32" t="str">
        <x:v>FinBERT etiketi final etiket ile aynı.</x:v>
      </x:c>
      <x:c r="M4" s="31" t="str"/>
      <x:c r="N4" s="33" t="str">
        <x:v>FinBERT yanlış</x:v>
      </x:c>
      <x:c r="O4" s="34" t="n">
        <x:f>COUNTIF(K2:K11,"wrong")</x:f>
        <x:v>4</x:v>
      </x:c>
    </x:row>
    <x:row r="5" ht="58" customHeight="1">
      <x:c r="A5" s="32" t="str">
        <x:v>SP500_ANN_0254</x:v>
      </x:c>
      <x:c r="B5" s="32" t="str">
        <x:v>SP500_HEAD_016773</x:v>
      </x:c>
      <x:c r="C5" s="42" t="n">
        <x:v>45267</x:v>
      </x:c>
      <x:c r="D5" s="32" t="str">
        <x:v>Better Buy: Berkshire Hathaway or Vanguard 500 Index Fund?</x:v>
      </x:c>
      <x:c r="E5" s="32" t="str">
        <x:v>Hangisi daha iyi alım: Berkshire Hathaway mi Vanguard 500 Endeks Fonu mu?</x:v>
      </x:c>
      <x:c r="F5" s="32" t="str">
        <x:v>neutral</x:v>
      </x:c>
      <x:c r="G5" s="44" t="n">
        <x:v>0.935</x:v>
      </x:c>
      <x:c r="H5" s="32" t="str">
        <x:v>neutral</x:v>
      </x:c>
      <x:c r="I5" s="32" t="str">
        <x:v>high</x:v>
      </x:c>
      <x:c r="J5" s="32" t="str">
        <x:v>Karşılaştırma sorusu; net piyasa yönü yok.</x:v>
      </x:c>
      <x:c r="K5" s="32" t="str">
        <x:v>correct</x:v>
      </x:c>
      <x:c r="L5" s="32" t="str">
        <x:v>FinBERT etiketi final etiket ile aynı.</x:v>
      </x:c>
      <x:c r="M5" s="31" t="str"/>
      <x:c r="N5" s="33" t="str">
        <x:v>Doğruluk oranı</x:v>
      </x:c>
      <x:c r="O5" s="46" t="n">
        <x:f>O3/O2</x:f>
        <x:v>0.6</x:v>
      </x:c>
    </x:row>
    <x:row r="6" ht="58" customHeight="1">
      <x:c r="A6" s="32" t="str">
        <x:v>SP500_ANN_0255</x:v>
      </x:c>
      <x:c r="B6" s="32" t="str">
        <x:v>SP500_HEAD_003329</x:v>
      </x:c>
      <x:c r="C6" s="42" t="n">
        <x:v>42012</x:v>
      </x:c>
      <x:c r="D6" s="32" t="str">
        <x:v>Stock Market Returns In Years Ending In 5</x:v>
      </x:c>
      <x:c r="E6" s="32" t="str">
        <x:v>5 ile biten yıllarda borsa getirileri.</x:v>
      </x:c>
      <x:c r="F6" s="32" t="str">
        <x:v>positive</x:v>
      </x:c>
      <x:c r="G6" s="44" t="n">
        <x:v>0.915</x:v>
      </x:c>
      <x:c r="H6" s="32" t="str">
        <x:v>neutral</x:v>
      </x:c>
      <x:c r="I6" s="32" t="str">
        <x:v>medium</x:v>
      </x:c>
      <x:c r="J6" s="32" t="str">
        <x:v>Tarihsel analiz başlığı; tek başına olumlu/olumsuz sinyal yok.</x:v>
      </x:c>
      <x:c r="K6" s="32" t="str">
        <x:v>wrong</x:v>
      </x:c>
      <x:c r="L6" s="32" t="str">
        <x:v>FinBERT positive demiş; final etiket neutral.</x:v>
      </x:c>
      <x:c r="M6" s="31" t="str"/>
      <x:c r="N6" s="31" t="str"/>
      <x:c r="O6" s="31" t="str"/>
    </x:row>
    <x:row r="7" ht="58" customHeight="1">
      <x:c r="A7" s="32" t="str">
        <x:v>SP500_ANN_0256</x:v>
      </x:c>
      <x:c r="B7" s="32" t="str">
        <x:v>SP500_HEAD_017313</x:v>
      </x:c>
      <x:c r="C7" s="42" t="n">
        <x:v>45309</x:v>
      </x:c>
      <x:c r="D7" s="32" t="str">
        <x:v>S&amp;P 500, Nasdaq climb as chips, megacaps jump</x:v>
      </x:c>
      <x:c r="E7" s="32" t="str">
        <x:v>Çip ve mega ölçekli hisseler sıçrarken S&amp;P 500 ve Nasdaq yükseldi.</x:v>
      </x:c>
      <x:c r="F7" s="32" t="str">
        <x:v>neutral</x:v>
      </x:c>
      <x:c r="G7" s="44" t="n">
        <x:v>0.481</x:v>
      </x:c>
      <x:c r="H7" s="32" t="str">
        <x:v>positive</x:v>
      </x:c>
      <x:c r="I7" s="32" t="str">
        <x:v>high</x:v>
      </x:c>
      <x:c r="J7" s="32" t="str">
        <x:v>Endekslerin yükselmesi net pozitif.</x:v>
      </x:c>
      <x:c r="K7" s="32" t="str">
        <x:v>wrong</x:v>
      </x:c>
      <x:c r="L7" s="32" t="str">
        <x:v>FinBERT neutral demiş; final etiket positive.</x:v>
      </x:c>
      <x:c r="M7" s="31" t="str"/>
      <x:c r="N7" s="31" t="str"/>
      <x:c r="O7" s="31" t="str"/>
    </x:row>
    <x:row r="8" ht="58" customHeight="1">
      <x:c r="A8" s="32" t="str">
        <x:v>SP500_ANN_0257</x:v>
      </x:c>
      <x:c r="B8" s="32" t="str">
        <x:v>SP500_HEAD_013025</x:v>
      </x:c>
      <x:c r="C8" s="42" t="n">
        <x:v>44986</x:v>
      </x:c>
      <x:c r="D8" s="32" t="str">
        <x:v>ISM Manufacturing PMI Misses Expectations, S&amp;P 500 Tests New Lows</x:v>
      </x:c>
      <x:c r="E8" s="32" t="str">
        <x:v>ISM imalat PMI beklentileri kaçırdı, S&amp;P 500 yeni dipleri test etti.</x:v>
      </x:c>
      <x:c r="F8" s="32" t="str">
        <x:v>negative</x:v>
      </x:c>
      <x:c r="G8" s="44" t="n">
        <x:v>0.898</x:v>
      </x:c>
      <x:c r="H8" s="32" t="str">
        <x:v>negative</x:v>
      </x:c>
      <x:c r="I8" s="32" t="str">
        <x:v>high</x:v>
      </x:c>
      <x:c r="J8" s="32" t="str">
        <x:v>Zayıf veri ve yeni dip testi negatif.</x:v>
      </x:c>
      <x:c r="K8" s="32" t="str">
        <x:v>correct</x:v>
      </x:c>
      <x:c r="L8" s="32" t="str">
        <x:v>FinBERT etiketi final etiket ile aynı.</x:v>
      </x:c>
      <x:c r="M8" s="31" t="str"/>
      <x:c r="N8" s="31" t="str"/>
      <x:c r="O8" s="31" t="str"/>
    </x:row>
    <x:row r="9" ht="58" customHeight="1">
      <x:c r="A9" s="32" t="str">
        <x:v>SP500_ANN_0258</x:v>
      </x:c>
      <x:c r="B9" s="32" t="str">
        <x:v>SP500_HEAD_004734</x:v>
      </x:c>
      <x:c r="C9" s="42" t="n">
        <x:v>42654</x:v>
      </x:c>
      <x:c r="D9" s="32" t="str">
        <x:v>Ventas to be major ShelbyHurst office tenant</x:v>
      </x:c>
      <x:c r="E9" s="32" t="str">
        <x:v>Ventas, ShelbyHurst ofislerinin ana kiracısı olacak.</x:v>
      </x:c>
      <x:c r="F9" s="32" t="str">
        <x:v>neutral</x:v>
      </x:c>
      <x:c r="G9" s="44" t="n">
        <x:v>0.92</x:v>
      </x:c>
      <x:c r="H9" s="32" t="str">
        <x:v>neutral</x:v>
      </x:c>
      <x:c r="I9" s="32" t="str">
        <x:v>high</x:v>
      </x:c>
      <x:c r="J9" s="32" t="str">
        <x:v>Şirket/emlak haberi; S&amp;P 500 yönüyle ilgili değil.</x:v>
      </x:c>
      <x:c r="K9" s="32" t="str">
        <x:v>correct</x:v>
      </x:c>
      <x:c r="L9" s="32" t="str">
        <x:v>FinBERT etiketi final etiket ile aynı.</x:v>
      </x:c>
      <x:c r="M9" s="31" t="str"/>
      <x:c r="N9" s="31" t="str"/>
      <x:c r="O9" s="31" t="str"/>
    </x:row>
    <x:row r="10" ht="58" customHeight="1">
      <x:c r="A10" s="32" t="str">
        <x:v>SP500_ANN_0259</x:v>
      </x:c>
      <x:c r="B10" s="32" t="str">
        <x:v>SP500_HEAD_001327</x:v>
      </x:c>
      <x:c r="C10" s="42" t="n">
        <x:v>41086</x:v>
      </x:c>
      <x:c r="D10" s="32" t="str">
        <x:v>Seagate Added To S&amp;P 500 Stock Index; Shrs Rally</x:v>
      </x:c>
      <x:c r="E10" s="32" t="str">
        <x:v>Seagate S&amp;P 500 endeksine eklendi; hisseler ralli yaptı.</x:v>
      </x:c>
      <x:c r="F10" s="32" t="str">
        <x:v>neutral</x:v>
      </x:c>
      <x:c r="G10" s="44" t="n">
        <x:v>0.722</x:v>
      </x:c>
      <x:c r="H10" s="32" t="str">
        <x:v>positive</x:v>
      </x:c>
      <x:c r="I10" s="32" t="str">
        <x:v>high</x:v>
      </x:c>
      <x:c r="J10" s="32" t="str">
        <x:v>Endekse eklenme ve hisse rallisi olumlu.</x:v>
      </x:c>
      <x:c r="K10" s="32" t="str">
        <x:v>wrong</x:v>
      </x:c>
      <x:c r="L10" s="32" t="str">
        <x:v>FinBERT neutral demiş; final etiket positive.</x:v>
      </x:c>
      <x:c r="M10" s="31" t="str"/>
      <x:c r="N10" s="31" t="str"/>
      <x:c r="O10" s="31" t="str"/>
    </x:row>
    <x:row r="11" ht="58" customHeight="1">
      <x:c r="A11" s="32" t="str">
        <x:v>SP500_ANN_0260</x:v>
      </x:c>
      <x:c r="B11" s="32" t="str">
        <x:v>SP500_HEAD_009734</x:v>
      </x:c>
      <x:c r="C11" s="42" t="n">
        <x:v>44481</x:v>
      </x:c>
      <x:c r="D11" s="32" t="str">
        <x:v>Li Auto Stock Was Up 8% Last Week, Is There More Upside?</x:v>
      </x:c>
      <x:c r="E11" s="32" t="str">
        <x:v>Li Auto hissesi geçen hafta %8 yükseldi; daha fazla yükseliş var mı?</x:v>
      </x:c>
      <x:c r="F11" s="32" t="str">
        <x:v>positive</x:v>
      </x:c>
      <x:c r="G11" s="44" t="n">
        <x:v>0.822</x:v>
      </x:c>
      <x:c r="H11" s="32" t="str">
        <x:v>positive</x:v>
      </x:c>
      <x:c r="I11" s="32" t="str">
        <x:v>medium</x:v>
      </x:c>
      <x:c r="J11" s="32" t="str">
        <x:v>Geçmiş yükseliş ve olası upside olumlu ton taşıyor.</x:v>
      </x:c>
      <x:c r="K11" s="32" t="str">
        <x:v>correct</x:v>
      </x:c>
      <x:c r="L11" s="32" t="str">
        <x:v>FinBERT etiketi final etiket ile aynı.</x:v>
      </x:c>
      <x:c r="M11" s="31" t="str"/>
      <x:c r="N11" s="31" t="str"/>
      <x:c r="O11" s="3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66c5e5a97d4970"/>
  </x:tableParts>
</x:worksheet>
</file>