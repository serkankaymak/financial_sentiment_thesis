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6d4aef8eac4c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81" sheetId="1" r:id="Rddd7c98298b94f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sz val="11"/>
      <x:color rgb="375623"/>
      <x:name val="Carlito"/>
    </x:font>
    <x:font>
      <x:sz val="11"/>
      <x:color rgb="9C000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70AD47"/>
      </x:patternFill>
    </x:fill>
    <x:fill>
      <x:patternFill patternType="solid">
        <x:fgColor rgb="E2F0D9"/>
      </x:patternFill>
    </x:fill>
    <x:fill>
      <x:patternFill patternType="solid">
        <x:fgColor rgb="FCE4D6"/>
      </x:patternFill>
    </x:fill>
    <x:fill>
      <x:patternFill patternType="solid">
        <x:fgColor rgb="F2F2F2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9ad87b58514c4e" /><Relationship Type="http://schemas.openxmlformats.org/officeDocument/2006/relationships/theme" Target="/xl/theme/theme1.xml" Id="R71fb78698d1349af" /><Relationship Type="http://schemas.openxmlformats.org/officeDocument/2006/relationships/sharedStrings" Target="/xl/sharedStrings.xml" Id="Reafea4d57bbc431a" /><Relationship Type="http://schemas.openxmlformats.org/officeDocument/2006/relationships/worksheet" Target="/xl/worksheets/sheet1.xml" Id="Rddd7c98298b94ff1" /></Relationships>
</file>

<file path=xl/tables/table1.xml><?xml version="1.0" encoding="utf-8"?>
<x:table xmlns:x="http://schemas.openxmlformats.org/spreadsheetml/2006/main" id="1" name="AnnotationTable_081" displayName="AnnotationTable_081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914aa0362d4815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2" hidden="0" customWidth="1"/>
    <x:col min="4" max="4" width="48" hidden="0" customWidth="1"/>
    <x:col min="5" max="5" width="48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8" hidden="0" customWidth="1"/>
    <x:col min="11" max="11" width="18" hidden="0" customWidth="1"/>
    <x:col min="12" max="12" width="42" hidden="0" customWidth="1"/>
    <x:col min="14" max="14" width="18" hidden="0" customWidth="1"/>
    <x:col min="15" max="15" width="14" hidden="0" customWidth="1"/>
  </x:cols>
  <x:sheetData>
    <x:row r="1" ht="28" customHeight="1">
      <x:c r="A1" s="16" t="str">
        <x:v>annotation_id</x:v>
      </x:c>
      <x:c r="B1" s="16" t="str">
        <x:v>sample_id</x:v>
      </x:c>
      <x:c r="C1" s="16" t="str">
        <x:v>date</x:v>
      </x:c>
      <x:c r="D1" s="16" t="str">
        <x:v>text_en</x:v>
      </x:c>
      <x:c r="E1" s="16" t="str">
        <x:v>text_tr</x:v>
      </x:c>
      <x:c r="F1" s="16" t="str">
        <x:v>finbert_label</x:v>
      </x:c>
      <x:c r="G1" s="16" t="str">
        <x:v>finbert_confidence</x:v>
      </x:c>
      <x:c r="H1" s="16" t="str">
        <x:v>chatgpt_label</x:v>
      </x:c>
      <x:c r="I1" s="16" t="str">
        <x:v>chatgpt_confidence</x:v>
      </x:c>
      <x:c r="J1" s="16" t="str">
        <x:v>chatgpt_reason_tr</x:v>
      </x:c>
      <x:c r="K1" s="16" t="str">
        <x:v>finbert_correctness</x:v>
      </x:c>
      <x:c r="L1" s="16" t="str">
        <x:v>finbert_correctness_note</x:v>
      </x:c>
      <x:c r="M1" s="17"/>
      <x:c r="N1" s="18" t="str">
        <x:v>Özet</x:v>
      </x:c>
      <x:c r="O1" s="18" t="str">
        <x:v>Değer</x:v>
      </x:c>
    </x:row>
    <x:row r="2" ht="72" customHeight="1">
      <x:c r="A2" s="17" t="str">
        <x:v>SP500_ANN_0801</x:v>
      </x:c>
      <x:c r="B2" s="17" t="str">
        <x:v>SP500_HEAD_016430</x:v>
      </x:c>
      <x:c r="C2" s="17" t="str">
        <x:v>2023-11-14</x:v>
      </x:c>
      <x:c r="D2" s="17" t="str">
        <x:v>Tame CPI Inflation In October Puts Rally Back In Gear</x:v>
      </x:c>
      <x:c r="E2" s="17" t="str">
        <x:v>Ekim ayında ılımlı TÜFE enflasyonu ralliyi yeniden hızlandırıyor.</x:v>
      </x:c>
      <x:c r="F2" s="17" t="str">
        <x:v>positive</x:v>
      </x:c>
      <x:c r="G2" s="17" t="n">
        <x:v>0.502</x:v>
      </x:c>
      <x:c r="H2" s="17" t="str">
        <x:v>positive</x:v>
      </x:c>
      <x:c r="I2" s="17" t="str">
        <x:v>high</x:v>
      </x:c>
      <x:c r="J2" s="17" t="str">
        <x:v>Ilımlı enflasyon ve rallinin yeniden hızlanması piyasa için olumlu sinyal.</x:v>
      </x:c>
      <x:c r="K2" s="27" t="str">
        <x:v>correct</x:v>
      </x:c>
      <x:c r="L2" s="17" t="str">
        <x:v>FinBERT etiketi final etiket ile aynı.</x:v>
      </x:c>
      <x:c r="M2" s="17"/>
      <x:c r="N2" s="34" t="str">
        <x:v>Toplam örnek</x:v>
      </x:c>
      <x:c r="O2" s="35" t="n">
        <x:f>COUNTA(A2:A11)</x:f>
        <x:v>10</x:v>
      </x:c>
    </x:row>
    <x:row r="3" ht="72" customHeight="1">
      <x:c r="A3" s="17" t="str">
        <x:v>SP500_ANN_0802</x:v>
      </x:c>
      <x:c r="B3" s="17" t="str">
        <x:v>SP500_HEAD_009880</x:v>
      </x:c>
      <x:c r="C3" s="17" t="str">
        <x:v>2021-11-17</x:v>
      </x:c>
      <x:c r="D3" s="17" t="str">
        <x:v>S&amp;P 500 Is Almost At New Record High, Will The Uptrend Continue?</x:v>
      </x:c>
      <x:c r="E3" s="17" t="str">
        <x:v>S&amp;P 500 neredeyse yeni rekor seviyede; yükseliş trendi sürecek mi?</x:v>
      </x:c>
      <x:c r="F3" s="17" t="str">
        <x:v>neutral</x:v>
      </x:c>
      <x:c r="G3" s="17" t="n">
        <x:v>0.467</x:v>
      </x:c>
      <x:c r="H3" s="17" t="str">
        <x:v>positive</x:v>
      </x:c>
      <x:c r="I3" s="17" t="str">
        <x:v>medium</x:v>
      </x:c>
      <x:c r="J3" s="17" t="str">
        <x:v>Yeni rekora yakınlık olumlu; soru işareti nedeniyle güven orta.</x:v>
      </x:c>
      <x:c r="K3" s="31" t="str">
        <x:v>wrong</x:v>
      </x:c>
      <x:c r="L3" s="17" t="str">
        <x:v>FinBERT neutral demiş; final etiket positive. Başlıktaki baskın sinyal farklı yorumlanmalı.</x:v>
      </x:c>
      <x:c r="M3" s="17"/>
      <x:c r="N3" s="34" t="str">
        <x:v>FinBERT doğru</x:v>
      </x:c>
      <x:c r="O3" s="35" t="n">
        <x:f>COUNTIF(K2:K11,"correct")</x:f>
        <x:v>6</x:v>
      </x:c>
    </x:row>
    <x:row r="4" ht="72" customHeight="1">
      <x:c r="A4" s="17" t="str">
        <x:v>SP500_ANN_0803</x:v>
      </x:c>
      <x:c r="B4" s="17" t="str">
        <x:v>SP500_HEAD_014390</x:v>
      </x:c>
      <x:c r="C4" s="17" t="str">
        <x:v>2023-06-21</x:v>
      </x:c>
      <x:c r="D4" s="17" t="str">
        <x:v>What Is The Great Recession? – Forbes Advisor</x:v>
      </x:c>
      <x:c r="E4" s="17" t="str">
        <x:v>Büyük Resesyon nedir? – Forbes Advisor</x:v>
      </x:c>
      <x:c r="F4" s="17" t="str">
        <x:v>neutral</x:v>
      </x:c>
      <x:c r="G4" s="17" t="n">
        <x:v>0.698</x:v>
      </x:c>
      <x:c r="H4" s="17" t="str">
        <x:v>neutral</x:v>
      </x:c>
      <x:c r="I4" s="17" t="str">
        <x:v>high</x:v>
      </x:c>
      <x:c r="J4" s="17" t="str">
        <x:v>Eğitici/tanımlayıcı içerik; güncel piyasa yönü yok.</x:v>
      </x:c>
      <x:c r="K4" s="27" t="str">
        <x:v>correct</x:v>
      </x:c>
      <x:c r="L4" s="17" t="str">
        <x:v>FinBERT etiketi final etiket ile aynı.</x:v>
      </x:c>
      <x:c r="M4" s="17"/>
      <x:c r="N4" s="34" t="str">
        <x:v>FinBERT yanlış</x:v>
      </x:c>
      <x:c r="O4" s="35" t="n">
        <x:f>COUNTIF(K2:K11,"wrong")</x:f>
        <x:v>4</x:v>
      </x:c>
    </x:row>
    <x:row r="5" ht="72" customHeight="1">
      <x:c r="A5" s="17" t="str">
        <x:v>SP500_ANN_0804</x:v>
      </x:c>
      <x:c r="B5" s="17" t="str">
        <x:v>SP500_HEAD_004386</x:v>
      </x:c>
      <x:c r="C5" s="17" t="str">
        <x:v>2016-04-29</x:v>
      </x:c>
      <x:c r="D5" s="17" t="str">
        <x:v>Financial firm with 500 workers in metro Denver rebrands as S&amp;P Global</x:v>
      </x:c>
      <x:c r="E5" s="17" t="str">
        <x:v>Denver bölgesinde 500 çalışanlı finans şirketi S&amp;P Global olarak yeniden markalaşıyor.</x:v>
      </x:c>
      <x:c r="F5" s="17" t="str">
        <x:v>neutral</x:v>
      </x:c>
      <x:c r="G5" s="17" t="n">
        <x:v>0.922</x:v>
      </x:c>
      <x:c r="H5" s="17" t="str">
        <x:v>neutral</x:v>
      </x:c>
      <x:c r="I5" s="17" t="str">
        <x:v>high</x:v>
      </x:c>
      <x:c r="J5" s="17" t="str">
        <x:v>Şirket haberi niteliğinde; piyasa yönü veya duygu net değil.</x:v>
      </x:c>
      <x:c r="K5" s="27" t="str">
        <x:v>correct</x:v>
      </x:c>
      <x:c r="L5" s="17" t="str">
        <x:v>FinBERT etiketi final etiket ile aynı.</x:v>
      </x:c>
      <x:c r="M5" s="17"/>
      <x:c r="N5" s="34" t="str">
        <x:v>Doğruluk oranı</x:v>
      </x:c>
      <x:c r="O5" s="36" t="n">
        <x:f>O3/O2</x:f>
        <x:v>0.6</x:v>
      </x:c>
    </x:row>
    <x:row r="6" ht="72" customHeight="1">
      <x:c r="A6" s="17" t="str">
        <x:v>SP500_ANN_0805</x:v>
      </x:c>
      <x:c r="B6" s="17" t="str">
        <x:v>SP500_HEAD_006596</x:v>
      </x:c>
      <x:c r="C6" s="17" t="str">
        <x:v>2019-03-06</x:v>
      </x:c>
      <x:c r="D6" s="17" t="str">
        <x:v>These seven stocks have done the worst in the 10-year bull market</x:v>
      </x:c>
      <x:c r="E6" s="17" t="str">
        <x:v>Bu yedi hisse 10 yıllık boğa piyasasında en kötü performansı gösterdi.</x:v>
      </x:c>
      <x:c r="F6" s="17" t="str">
        <x:v>negative</x:v>
      </x:c>
      <x:c r="G6" s="17" t="n">
        <x:v>0.972</x:v>
      </x:c>
      <x:c r="H6" s="17" t="str">
        <x:v>negative</x:v>
      </x:c>
      <x:c r="I6" s="17" t="str">
        <x:v>high</x:v>
      </x:c>
      <x:c r="J6" s="17" t="str">
        <x:v>En kötü performans vurgusu negatif finansal sinyal.</x:v>
      </x:c>
      <x:c r="K6" s="27" t="str">
        <x:v>correct</x:v>
      </x:c>
      <x:c r="L6" s="17" t="str">
        <x:v>FinBERT etiketi final etiket ile aynı.</x:v>
      </x:c>
      <x:c r="M6" s="17"/>
      <x:c r="N6" s="17"/>
      <x:c r="O6" s="17"/>
    </x:row>
    <x:row r="7" ht="72" customHeight="1">
      <x:c r="A7" s="17" t="str">
        <x:v>SP500_ANN_0806</x:v>
      </x:c>
      <x:c r="B7" s="17" t="str">
        <x:v>SP500_HEAD_014447</x:v>
      </x:c>
      <x:c r="C7" s="17" t="str">
        <x:v>2023-06-26</x:v>
      </x:c>
      <x:c r="D7" s="17" t="str">
        <x:v>Are investors ignoring the Federal Reserve’s warning?</x:v>
      </x:c>
      <x:c r="E7" s="17" t="str">
        <x:v>Yatırımcılar Fed’in uyarısını görmezden mi geliyor?</x:v>
      </x:c>
      <x:c r="F7" s="17" t="str">
        <x:v>negative</x:v>
      </x:c>
      <x:c r="G7" s="17" t="n">
        <x:v>0.719</x:v>
      </x:c>
      <x:c r="H7" s="17" t="str">
        <x:v>negative</x:v>
      </x:c>
      <x:c r="I7" s="17" t="str">
        <x:v>medium</x:v>
      </x:c>
      <x:c r="J7" s="17" t="str">
        <x:v>Fed uyarısının görmezden gelinmesi risk algısı yaratıyor; negatif eğilim baskın.</x:v>
      </x:c>
      <x:c r="K7" s="27" t="str">
        <x:v>correct</x:v>
      </x:c>
      <x:c r="L7" s="17" t="str">
        <x:v>FinBERT etiketi final etiket ile aynı.</x:v>
      </x:c>
      <x:c r="M7" s="17"/>
      <x:c r="N7" s="17"/>
      <x:c r="O7" s="17"/>
    </x:row>
    <x:row r="8" ht="72" customHeight="1">
      <x:c r="A8" s="17" t="str">
        <x:v>SP500_ANN_0807</x:v>
      </x:c>
      <x:c r="B8" s="17" t="str">
        <x:v>SP500_HEAD_010979</x:v>
      </x:c>
      <x:c r="C8" s="17" t="str">
        <x:v>2022-05-23</x:v>
      </x:c>
      <x:c r="D8" s="17" t="str">
        <x:v>Here's How Long It Takes For Stocks To Recover From Bear Markets</x:v>
      </x:c>
      <x:c r="E8" s="17" t="str">
        <x:v>Hisselerin ayı piyasalarından toparlanması ne kadar sürer?</x:v>
      </x:c>
      <x:c r="F8" s="17" t="str">
        <x:v>neutral</x:v>
      </x:c>
      <x:c r="G8" s="17" t="n">
        <x:v>0.886</x:v>
      </x:c>
      <x:c r="H8" s="17" t="str">
        <x:v>neutral</x:v>
      </x:c>
      <x:c r="I8" s="17" t="str">
        <x:v>high</x:v>
      </x:c>
      <x:c r="J8" s="17" t="str">
        <x:v>Analiz/eğitici başlık; net olumlu veya olumsuz yön vermiyor.</x:v>
      </x:c>
      <x:c r="K8" s="27" t="str">
        <x:v>correct</x:v>
      </x:c>
      <x:c r="L8" s="17" t="str">
        <x:v>FinBERT etiketi final etiket ile aynı.</x:v>
      </x:c>
      <x:c r="M8" s="17"/>
      <x:c r="N8" s="17"/>
      <x:c r="O8" s="17"/>
    </x:row>
    <x:row r="9" ht="72" customHeight="1">
      <x:c r="A9" s="17" t="str">
        <x:v>SP500_ANN_0808</x:v>
      </x:c>
      <x:c r="B9" s="17" t="str">
        <x:v>SP500_HEAD_004980</x:v>
      </x:c>
      <x:c r="C9" s="17" t="str">
        <x:v>2017-02-07</x:v>
      </x:c>
      <x:c r="D9" s="17" t="str">
        <x:v>Trump Tax Plan Seen More Wash Than Windfall for S&amp;P 500 Earnings</x:v>
      </x:c>
      <x:c r="E9" s="17" t="str">
        <x:v>Trump vergi planı S&amp;P 500 kârları için büyük kazançtan çok sınırlı etki olarak görülüyor.</x:v>
      </x:c>
      <x:c r="F9" s="17" t="str">
        <x:v>positive</x:v>
      </x:c>
      <x:c r="G9" s="17" t="n">
        <x:v>0.478</x:v>
      </x:c>
      <x:c r="H9" s="17" t="str">
        <x:v>neutral</x:v>
      </x:c>
      <x:c r="I9" s="17" t="str">
        <x:v>medium</x:v>
      </x:c>
      <x:c r="J9" s="17" t="str">
        <x:v>Başlık büyük pozitif etkiyi reddediyor ama net düşüş de söylemiyor; nötr.</x:v>
      </x:c>
      <x:c r="K9" s="31" t="str">
        <x:v>wrong</x:v>
      </x:c>
      <x:c r="L9" s="17" t="str">
        <x:v>FinBERT positive demiş; final etiket neutral. Başlıktaki baskın sinyal farklı yorumlanmalı.</x:v>
      </x:c>
      <x:c r="M9" s="17"/>
      <x:c r="N9" s="17"/>
      <x:c r="O9" s="17"/>
    </x:row>
    <x:row r="10" ht="72" customHeight="1">
      <x:c r="A10" s="17" t="str">
        <x:v>SP500_ANN_0809</x:v>
      </x:c>
      <x:c r="B10" s="17" t="str">
        <x:v>SP500_HEAD_013993</x:v>
      </x:c>
      <x:c r="C10" s="17" t="str">
        <x:v>2023-05-22</x:v>
      </x:c>
      <x:c r="D10" s="17" t="str">
        <x:v>S&amp;P 500 has bottomed says indicator with a perfect track record</x:v>
      </x:c>
      <x:c r="E10" s="17" t="str">
        <x:v>Kusursuz geçmişe sahip göstergeye göre S&amp;P 500 dip yaptı.</x:v>
      </x:c>
      <x:c r="F10" s="17" t="str">
        <x:v>negative</x:v>
      </x:c>
      <x:c r="G10" s="17" t="n">
        <x:v>0.537</x:v>
      </x:c>
      <x:c r="H10" s="17" t="str">
        <x:v>positive</x:v>
      </x:c>
      <x:c r="I10" s="17" t="str">
        <x:v>high</x:v>
      </x:c>
      <x:c r="J10" s="17" t="str">
        <x:v>Dip yapıldığı iddiası toparlanma beklentisi verdiği için olumlu.</x:v>
      </x:c>
      <x:c r="K10" s="31" t="str">
        <x:v>wrong</x:v>
      </x:c>
      <x:c r="L10" s="17" t="str">
        <x:v>FinBERT negative demiş; final etiket positive. Başlıktaki baskın sinyal farklı yorumlanmalı.</x:v>
      </x:c>
      <x:c r="M10" s="17"/>
      <x:c r="N10" s="17"/>
      <x:c r="O10" s="17"/>
    </x:row>
    <x:row r="11" ht="72" customHeight="1">
      <x:c r="A11" s="17" t="str">
        <x:v>SP500_ANN_0810</x:v>
      </x:c>
      <x:c r="B11" s="17" t="str">
        <x:v>SP500_HEAD_003547</x:v>
      </x:c>
      <x:c r="C11" s="17" t="str">
        <x:v>2015-04-20</x:v>
      </x:c>
      <x:c r="D11" s="17" t="str">
        <x:v>Gold Prices May Be Topping, SPX 500 Locked in Trading Range</x:v>
      </x:c>
      <x:c r="E11" s="17" t="str">
        <x:v>Altın fiyatları tepe yapıyor olabilir, SPX 500 işlem bandında sıkışmış durumda.</x:v>
      </x:c>
      <x:c r="F11" s="17" t="str">
        <x:v>negative</x:v>
      </x:c>
      <x:c r="G11" s="17" t="n">
        <x:v>0.87</x:v>
      </x:c>
      <x:c r="H11" s="17" t="str">
        <x:v>neutral</x:v>
      </x:c>
      <x:c r="I11" s="17" t="str">
        <x:v>medium</x:v>
      </x:c>
      <x:c r="J11" s="17" t="str">
        <x:v>SPX için işlem bandı ifadesi yönsüz; altın kısmı baskın piyasa yönü değil.</x:v>
      </x:c>
      <x:c r="K11" s="31" t="str">
        <x:v>wrong</x:v>
      </x:c>
      <x:c r="L11" s="17" t="str">
        <x:v>FinBERT negative demiş; final etiket neutral. Başlıktaki baskın sinyal farklı yorumlanmalı.</x:v>
      </x:c>
      <x:c r="M11" s="17"/>
      <x:c r="N11" s="17"/>
      <x:c r="O11" s="17"/>
    </x:row>
  </x:sheetData>
  <x:pageMargins left="0.7" right="0.7" top="0.75" bottom="0.75" header="0.3" footer="0.3"/>
  <x:tableParts count="1">
    <x:tablePart xmlns:r="http://schemas.openxmlformats.org/officeDocument/2006/relationships" r:id="Re6914aa0362d4815"/>
  </x:tableParts>
</x:worksheet>
</file>