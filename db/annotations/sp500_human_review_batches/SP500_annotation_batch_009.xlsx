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952f8c48b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09" sheetId="1" r:id="R9b7bc832a7e2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2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202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202" fontId="0" fillId="3" borderId="1" xfId="0" applyNumberFormat="1" applyFont="1" applyFill="1" applyBorder="1"/>
    <x:xf numFmtId="0" fontId="2" fillId="3" borderId="1" xfId="0" applyNumberFormat="1" applyFont="1" applyFill="1" applyBorder="1"/>
    <x:xf numFmtId="202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2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202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202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519f365fa4054" /><Relationship Type="http://schemas.openxmlformats.org/officeDocument/2006/relationships/theme" Target="/xl/theme/theme1.xml" Id="R7a7148ef8dc843f5" /><Relationship Type="http://schemas.openxmlformats.org/officeDocument/2006/relationships/sharedStrings" Target="/xl/sharedStrings.xml" Id="R3cb849ca47844339" /><Relationship Type="http://schemas.openxmlformats.org/officeDocument/2006/relationships/worksheet" Target="/xl/worksheets/sheet1.xml" Id="R9b7bc832a7e24ced" /></Relationships>
</file>

<file path=xl/tables/table1.xml><?xml version="1.0" encoding="utf-8"?>
<x:table xmlns:x="http://schemas.openxmlformats.org/spreadsheetml/2006/main" id="1" name="AnnotationTable009" displayName="AnnotationTable009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3c248e5ed940e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52" hidden="0" customWidth="1"/>
    <x:col min="5" max="5" width="5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6" hidden="0" customWidth="1"/>
    <x:col min="11" max="11" width="18" hidden="0" customWidth="1"/>
    <x:col min="12" max="12" width="56" hidden="0" customWidth="1"/>
    <x:col min="13" max="13" width="3" hidden="0" customWidth="1"/>
    <x:col min="14" max="14" width="18" hidden="0" customWidth="1"/>
    <x:col min="15" max="15" width="12" hidden="0" customWidth="1"/>
  </x:cols>
  <x:sheetData>
    <x:row r="1" ht="30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t="str"/>
      <x:c r="N1" s="6" t="str">
        <x:v>Özet</x:v>
      </x:c>
      <x:c r="O1" s="6" t="str">
        <x:v>Değer</x:v>
      </x:c>
    </x:row>
    <x:row r="2" ht="24" customHeight="1">
      <x:c r="A2" s="14" t="str">
        <x:v>SP500_ANN_0081</x:v>
      </x:c>
      <x:c r="B2" s="14" t="str">
        <x:v>SP500_HEAD_002524</x:v>
      </x:c>
      <x:c r="C2" s="16" t="n">
        <x:v>41663</x:v>
      </x:c>
      <x:c r="D2" s="14" t="str">
        <x:v>New Push to Protect Au Pairs as U.S. Program Is Reviewed</x:v>
      </x:c>
      <x:c r="E2" s="14" t="str">
        <x:v>ABD programı incelenirken au pairleri korumaya yönelik yeni girişim.</x:v>
      </x:c>
      <x:c r="F2" s="22" t="str">
        <x:v>positive</x:v>
      </x:c>
      <x:c r="G2" s="18" t="n">
        <x:v>0.6732859015464783</x:v>
      </x:c>
      <x:c r="H2" s="22" t="str">
        <x:v>neutral</x:v>
      </x:c>
      <x:c r="I2" s="22" t="str">
        <x:v>high</x:v>
      </x:c>
      <x:c r="J2" s="14" t="str">
        <x:v>Başlık finansal piyasa veya şirket etkisi taşımıyor; sosyal/politik haber niteliğinde.</x:v>
      </x:c>
      <x:c r="K2" s="22" t="str">
        <x:v>wrong</x:v>
      </x:c>
      <x:c r="L2" s="14" t="str">
        <x:v>FinBERT positive demiş; final etiket neutral. Finansal duygu/piyasa yönü yok.</x:v>
      </x:c>
      <x:c r="M2" t="str"/>
      <x:c r="N2" s="44" t="str">
        <x:v>Toplam örnek</x:v>
      </x:c>
      <x:c r="O2" s="46" t="n">
        <x:f>COUNTA(A2:A11)</x:f>
        <x:v>10</x:v>
      </x:c>
    </x:row>
    <x:row r="3" ht="24" customHeight="1">
      <x:c r="A3" s="14" t="str">
        <x:v>SP500_ANN_0082</x:v>
      </x:c>
      <x:c r="B3" s="14" t="str">
        <x:v>SP500_HEAD_011798</x:v>
      </x:c>
      <x:c r="C3" s="16" t="n">
        <x:v>44838</x:v>
      </x:c>
      <x:c r="D3" s="14" t="str">
        <x:v>Record dollar strength ravages stocks with most overseas exposure</x:v>
      </x:c>
      <x:c r="E3" s="14" t="str">
        <x:v>Rekor dolar gücü, yurt dışı geliri yüksek hisseleri sert vuruyor.</x:v>
      </x:c>
      <x:c r="F3" s="22" t="str">
        <x:v>negative</x:v>
      </x:c>
      <x:c r="G3" s="18" t="n">
        <x:v>0.8836942315101624</x:v>
      </x:c>
      <x:c r="H3" s="22" t="str">
        <x:v>negative</x:v>
      </x:c>
      <x:c r="I3" s="22" t="str">
        <x:v>high</x:v>
      </x:c>
      <x:c r="J3" s="14" t="str">
        <x:v>'Ravages/sert vuruyor' ve güçlü dolar baskısı açık negatif hisse sinyali.</x:v>
      </x:c>
      <x:c r="K3" s="22" t="str">
        <x:v>correct</x:v>
      </x:c>
      <x:c r="L3" s="14" t="str">
        <x:v>FinBERT etiketi final etiket ile aynı.</x:v>
      </x:c>
      <x:c r="M3" t="str"/>
      <x:c r="N3" s="44" t="str">
        <x:v>FinBERT doğru</x:v>
      </x:c>
      <x:c r="O3" s="46" t="n">
        <x:f>COUNTIF(K2:K11,"correct")</x:f>
        <x:v>8</x:v>
      </x:c>
    </x:row>
    <x:row r="4" ht="24" customHeight="1">
      <x:c r="A4" s="14" t="str">
        <x:v>SP500_ANN_0083</x:v>
      </x:c>
      <x:c r="B4" s="14" t="str">
        <x:v>SP500_HEAD_005060</x:v>
      </x:c>
      <x:c r="C4" s="16" t="n">
        <x:v>42815</x:v>
      </x:c>
      <x:c r="D4" s="14" t="str">
        <x:v>Wall Street’s worst day since before Trump’s election</x:v>
      </x:c>
      <x:c r="E4" s="14" t="str">
        <x:v>Wall Street'in Trump'ın seçilmesinden bu yana en kötü günü.</x:v>
      </x:c>
      <x:c r="F4" s="22" t="str">
        <x:v>negative</x:v>
      </x:c>
      <x:c r="G4" s="18" t="n">
        <x:v>0.9286260604858398</x:v>
      </x:c>
      <x:c r="H4" s="22" t="str">
        <x:v>negative</x:v>
      </x:c>
      <x:c r="I4" s="22" t="str">
        <x:v>high</x:v>
      </x:c>
      <x:c r="J4" s="14" t="str">
        <x:v>En kötü gün ifadesi açık negatif piyasa sinyali.</x:v>
      </x:c>
      <x:c r="K4" s="22" t="str">
        <x:v>correct</x:v>
      </x:c>
      <x:c r="L4" s="14" t="str">
        <x:v>FinBERT etiketi final etiket ile aynı.</x:v>
      </x:c>
      <x:c r="M4" t="str"/>
      <x:c r="N4" s="44" t="str">
        <x:v>FinBERT yanlış</x:v>
      </x:c>
      <x:c r="O4" s="46" t="n">
        <x:f>COUNTIF(K2:K11,"wrong")</x:f>
        <x:v>2</x:v>
      </x:c>
    </x:row>
    <x:row r="5" ht="24" customHeight="1">
      <x:c r="A5" s="14" t="str">
        <x:v>SP500_ANN_0084</x:v>
      </x:c>
      <x:c r="B5" s="14" t="str">
        <x:v>SP500_HEAD_010025</x:v>
      </x:c>
      <x:c r="C5" s="16" t="n">
        <x:v>44546</x:v>
      </x:c>
      <x:c r="D5" s="14" t="str">
        <x:v>This Legal Way To Dodge Taxes Is Working Again This Year</x:v>
      </x:c>
      <x:c r="E5" s="14" t="str">
        <x:v>Vergilerden kaçınmanın bu yasal yolu bu yıl yine işe yarıyor.</x:v>
      </x:c>
      <x:c r="F5" s="22" t="str">
        <x:v>neutral</x:v>
      </x:c>
      <x:c r="G5" s="18" t="n">
        <x:v>0.7242383360862732</x:v>
      </x:c>
      <x:c r="H5" s="22" t="str">
        <x:v>neutral</x:v>
      </x:c>
      <x:c r="I5" s="22" t="str">
        <x:v>medium</x:v>
      </x:c>
      <x:c r="J5" s="14" t="str">
        <x:v>Kişisel vergi stratejisi başlığı; genel piyasa yönü net değil.</x:v>
      </x:c>
      <x:c r="K5" s="22" t="str">
        <x:v>correct</x:v>
      </x:c>
      <x:c r="L5" s="14" t="str">
        <x:v>FinBERT etiketi final etiket ile aynı.</x:v>
      </x:c>
      <x:c r="M5" t="str"/>
      <x:c r="N5" s="44" t="str">
        <x:v>Doğruluk oranı</x:v>
      </x:c>
      <x:c r="O5" s="47" t="n">
        <x:f>O3/O2</x:f>
        <x:v>0.8</x:v>
      </x:c>
    </x:row>
    <x:row r="6" ht="90" customHeight="1">
      <x:c r="A6" s="14" t="str">
        <x:v>SP500_ANN_0085</x:v>
      </x:c>
      <x:c r="B6" s="14" t="str">
        <x:v>SP500_HEAD_003831</x:v>
      </x:c>
      <x:c r="C6" s="16" t="n">
        <x:v>42237</x:v>
      </x:c>
      <x:c r="D6" s="14" t="str">
        <x:v>How Frequently Do New S&amp;P 500 Highs Stick?</x:v>
      </x:c>
      <x:c r="E6" s="14" t="str">
        <x:v>S&amp;P 500'de yeni zirveler ne sıklıkla kalıcı olur?</x:v>
      </x:c>
      <x:c r="F6" s="22" t="str">
        <x:v>neutral</x:v>
      </x:c>
      <x:c r="G6" s="18" t="n">
        <x:v>0.6795609593391418</x:v>
      </x:c>
      <x:c r="H6" s="22" t="str">
        <x:v>neutral</x:v>
      </x:c>
      <x:c r="I6" s="22" t="str">
        <x:v>high</x:v>
      </x:c>
      <x:c r="J6" s="14" t="str">
        <x:v>Soru/analiz başlığı; net olumlu veya olumsuz sinyal yok.</x:v>
      </x:c>
      <x:c r="K6" s="22" t="str">
        <x:v>correct</x:v>
      </x:c>
      <x:c r="L6" s="14" t="str">
        <x:v>FinBERT etiketi final etiket ile aynı.</x:v>
      </x:c>
      <x:c r="M6" t="str"/>
      <x:c r="N6" t="str"/>
      <x:c r="O6" t="str"/>
    </x:row>
    <x:row r="7" ht="90" customHeight="1">
      <x:c r="A7" s="14" t="str">
        <x:v>SP500_ANN_0086</x:v>
      </x:c>
      <x:c r="B7" s="14" t="str">
        <x:v>SP500_HEAD_013378</x:v>
      </x:c>
      <x:c r="C7" s="16" t="n">
        <x:v>45013</x:v>
      </x:c>
      <x:c r="D7" s="14" t="str">
        <x:v>Why the Stock Market Makes You Feel Bad All the Time</x:v>
      </x:c>
      <x:c r="E7" s="14" t="str">
        <x:v>Borsa neden sizi sürekli kötü hissettirir?</x:v>
      </x:c>
      <x:c r="F7" s="22" t="str">
        <x:v>negative</x:v>
      </x:c>
      <x:c r="G7" s="18" t="n">
        <x:v>0.5190320611000061</x:v>
      </x:c>
      <x:c r="H7" s="22" t="str">
        <x:v>negative</x:v>
      </x:c>
      <x:c r="I7" s="22" t="str">
        <x:v>medium</x:v>
      </x:c>
      <x:c r="J7" s="14" t="str">
        <x:v>Başlık borsa ile olumsuz duygu ilişkisi kuruyor; negatif ton var.</x:v>
      </x:c>
      <x:c r="K7" s="22" t="str">
        <x:v>correct</x:v>
      </x:c>
      <x:c r="L7" s="14" t="str">
        <x:v>FinBERT etiketi final etiket ile aynı.</x:v>
      </x:c>
      <x:c r="M7" t="str"/>
      <x:c r="N7" t="str"/>
      <x:c r="O7" t="str"/>
    </x:row>
    <x:row r="8" ht="90" customHeight="1">
      <x:c r="A8" s="14" t="str">
        <x:v>SP500_ANN_0087</x:v>
      </x:c>
      <x:c r="B8" s="14" t="str">
        <x:v>SP500_HEAD_006041</x:v>
      </x:c>
      <x:c r="C8" s="16" t="n">
        <x:v>43307</x:v>
      </x:c>
      <x:c r="D8" s="14" t="str">
        <x:v>This Day In Market History: American Market Speculator Jesse Livermore Is Born</x:v>
      </x:c>
      <x:c r="E8" s="14" t="str">
        <x:v>Piyasa tarihinde bugün: Amerikalı piyasa spekülatörü Jesse Livermore doğdu.</x:v>
      </x:c>
      <x:c r="F8" s="22" t="str">
        <x:v>neutral</x:v>
      </x:c>
      <x:c r="G8" s="18" t="n">
        <x:v>0.9195495247840881</x:v>
      </x:c>
      <x:c r="H8" s="22" t="str">
        <x:v>neutral</x:v>
      </x:c>
      <x:c r="I8" s="22" t="str">
        <x:v>high</x:v>
      </x:c>
      <x:c r="J8" s="14" t="str">
        <x:v>Tarihsel bilgi başlığı; güncel piyasa yönü yok.</x:v>
      </x:c>
      <x:c r="K8" s="22" t="str">
        <x:v>correct</x:v>
      </x:c>
      <x:c r="L8" s="14" t="str">
        <x:v>FinBERT etiketi final etiket ile aynı.</x:v>
      </x:c>
      <x:c r="M8" t="str"/>
      <x:c r="N8" t="str"/>
      <x:c r="O8" t="str"/>
    </x:row>
    <x:row r="9" ht="90" customHeight="1">
      <x:c r="A9" s="14" t="str">
        <x:v>SP500_ANN_0088</x:v>
      </x:c>
      <x:c r="B9" s="14" t="str">
        <x:v>SP500_HEAD_011332</x:v>
      </x:c>
      <x:c r="C9" s="16" t="n">
        <x:v>44760</x:v>
      </x:c>
      <x:c r="D9" s="14" t="str">
        <x:v>Here's How This Stock Sets Up Wyckoff Accumulation For The Next Big Move</x:v>
      </x:c>
      <x:c r="E9" s="14" t="str">
        <x:v>Bu hissenin bir sonraki büyük hareket için Wyckoff birikim formasyonunu nasıl oluşturduğu.</x:v>
      </x:c>
      <x:c r="F9" s="22" t="str">
        <x:v>neutral</x:v>
      </x:c>
      <x:c r="G9" s="18" t="n">
        <x:v>0.9332788586616516</x:v>
      </x:c>
      <x:c r="H9" s="22" t="str">
        <x:v>positive</x:v>
      </x:c>
      <x:c r="I9" s="22" t="str">
        <x:v>medium</x:v>
      </x:c>
      <x:c r="J9" s="14" t="str">
        <x:v>Wyckoff birikimi ve 'next big move' ifadesi teknik olarak yukarı yönlü potansiyel ima ediyor.</x:v>
      </x:c>
      <x:c r="K9" s="22" t="str">
        <x:v>wrong</x:v>
      </x:c>
      <x:c r="L9" s="14" t="str">
        <x:v>FinBERT neutral demiş; final etiket positive. Başlık teknik bir olumlu kurulum vurguluyor.</x:v>
      </x:c>
      <x:c r="M9" t="str"/>
      <x:c r="N9" t="str"/>
      <x:c r="O9" t="str"/>
    </x:row>
    <x:row r="10" ht="90" customHeight="1">
      <x:c r="A10" s="14" t="str">
        <x:v>SP500_ANN_0089</x:v>
      </x:c>
      <x:c r="B10" s="14" t="str">
        <x:v>SP500_HEAD_006527</x:v>
      </x:c>
      <x:c r="C10" s="16" t="n">
        <x:v>43502</x:v>
      </x:c>
      <x:c r="D10" s="14" t="str">
        <x:v>3 Questions to Ask About the 200-day Moving Average</x:v>
      </x:c>
      <x:c r="E10" s="14" t="str">
        <x:v>200 günlük hareketli ortalama hakkında sorulacak 3 soru.</x:v>
      </x:c>
      <x:c r="F10" s="22" t="str">
        <x:v>neutral</x:v>
      </x:c>
      <x:c r="G10" s="18" t="n">
        <x:v>0.9424843192100525</x:v>
      </x:c>
      <x:c r="H10" s="22" t="str">
        <x:v>neutral</x:v>
      </x:c>
      <x:c r="I10" s="22" t="str">
        <x:v>high</x:v>
      </x:c>
      <x:c r="J10" s="14" t="str">
        <x:v>Eğitici/analitik başlık; net piyasa yönü yok.</x:v>
      </x:c>
      <x:c r="K10" s="22" t="str">
        <x:v>correct</x:v>
      </x:c>
      <x:c r="L10" s="14" t="str">
        <x:v>FinBERT etiketi final etiket ile aynı.</x:v>
      </x:c>
      <x:c r="M10" t="str"/>
      <x:c r="N10" t="str"/>
      <x:c r="O10" t="str"/>
    </x:row>
    <x:row r="11" ht="90" customHeight="1">
      <x:c r="A11" s="14" t="str">
        <x:v>SP500_ANN_0090</x:v>
      </x:c>
      <x:c r="B11" s="14" t="str">
        <x:v>SP500_HEAD_008475</x:v>
      </x:c>
      <x:c r="C11" s="16" t="n">
        <x:v>44102</x:v>
      </x:c>
      <x:c r="D11" s="14" t="str">
        <x:v>How to Read the S&amp;P 500's Key Technical Signals</x:v>
      </x:c>
      <x:c r="E11" s="14" t="str">
        <x:v>S&amp;P 500'ün temel teknik sinyalleri nasıl okunur?</x:v>
      </x:c>
      <x:c r="F11" s="22" t="str">
        <x:v>neutral</x:v>
      </x:c>
      <x:c r="G11" s="18" t="n">
        <x:v>0.9319297075271606</x:v>
      </x:c>
      <x:c r="H11" s="22" t="str">
        <x:v>neutral</x:v>
      </x:c>
      <x:c r="I11" s="22" t="str">
        <x:v>high</x:v>
      </x:c>
      <x:c r="J11" s="14" t="str">
        <x:v>Teknik analiz eğitimi/rehberi; pozitif veya negatif yön belirtmiyor.</x:v>
      </x:c>
      <x:c r="K11" s="22" t="str">
        <x:v>correct</x:v>
      </x:c>
      <x:c r="L11" s="14" t="str">
        <x:v>FinBERT etiketi final etiket ile aynı.</x:v>
      </x:c>
      <x:c r="M11" t="str"/>
      <x:c r="N11" t="str"/>
      <x:c r="O1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3c248e5ed940ea"/>
  </x:tableParts>
</x:worksheet>
</file>