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02a3688fb144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a2230469ed0845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274E13"/>
      </x:font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bbca81cb974d11" /><Relationship Type="http://schemas.openxmlformats.org/officeDocument/2006/relationships/theme" Target="/xl/theme/theme1.xml" Id="R1cb749ef86cd458a" /><Relationship Type="http://schemas.openxmlformats.org/officeDocument/2006/relationships/sharedStrings" Target="/xl/sharedStrings.xml" Id="R3051d0a18ea24339" /><Relationship Type="http://schemas.openxmlformats.org/officeDocument/2006/relationships/worksheet" Target="/xl/worksheets/sheet1.xml" Id="Ra2230469ed0845bb" /></Relationships>
</file>

<file path=xl/tables/table1.xml><?xml version="1.0" encoding="utf-8"?>
<x:table xmlns:x="http://schemas.openxmlformats.org/spreadsheetml/2006/main" id="1" name="AnnotationTable" displayName="AnnotationTable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cc8113279446b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6" hidden="0" customWidth="1"/>
    <x:col min="5" max="5" width="46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6" hidden="0" customWidth="1"/>
    <x:col min="11" max="11" width="18" hidden="0" customWidth="1"/>
    <x:col min="12" max="12" width="42" hidden="0" customWidth="1"/>
    <x:col min="14" max="14" width="18" hidden="0" customWidth="1"/>
    <x:col min="15" max="15" width="14" hidden="0" customWidth="1"/>
  </x:cols>
  <x:sheetData>
    <x:row r="1" ht="24" customHeight="1">
      <x:c r="A1" s="14" t="str">
        <x:v>annotation_id</x:v>
      </x:c>
      <x:c r="B1" s="14" t="str">
        <x:v>sample_id</x:v>
      </x:c>
      <x:c r="C1" s="14" t="str">
        <x:v>date</x:v>
      </x:c>
      <x:c r="D1" s="14" t="str">
        <x:v>text_en</x:v>
      </x:c>
      <x:c r="E1" s="14" t="str">
        <x:v>text_tr</x:v>
      </x:c>
      <x:c r="F1" s="14" t="str">
        <x:v>finbert_label</x:v>
      </x:c>
      <x:c r="G1" s="14" t="str">
        <x:v>finbert_confidence</x:v>
      </x:c>
      <x:c r="H1" s="14" t="str">
        <x:v>chatgpt_label</x:v>
      </x:c>
      <x:c r="I1" s="14" t="str">
        <x:v>chatgpt_confidence</x:v>
      </x:c>
      <x:c r="J1" s="14" t="str">
        <x:v>chatgpt_reason_tr</x:v>
      </x:c>
      <x:c r="K1" s="14" t="str">
        <x:v>finbert_correctness</x:v>
      </x:c>
      <x:c r="L1" s="14" t="str">
        <x:v>finbert_correctness_note</x:v>
      </x:c>
      <x:c r="N1" s="14" t="str">
        <x:v>Özet</x:v>
      </x:c>
      <x:c r="O1" s="14" t="str">
        <x:v>Değer</x:v>
      </x:c>
    </x:row>
    <x:row r="2" ht="24" customHeight="1">
      <x:c r="A2" s="15" t="str">
        <x:v>SP500_ANN_0741</x:v>
      </x:c>
      <x:c r="B2" s="15" t="str">
        <x:v>SP500_HEAD_001301</x:v>
      </x:c>
      <x:c r="C2" s="15" t="str">
        <x:v>2012-06-14</x:v>
      </x:c>
      <x:c r="D2" s="15" t="str">
        <x:v>Another rip-off: Leveraged and inverse ETFs</x:v>
      </x:c>
      <x:c r="E2" s="15" t="str">
        <x:v>Bir başka soygun: kaldıraçlı ve ters ETF'ler.</x:v>
      </x:c>
      <x:c r="F2" s="15" t="str">
        <x:v>negative</x:v>
      </x:c>
      <x:c r="G2" s="18" t="n">
        <x:v>0.918</x:v>
      </x:c>
      <x:c r="H2" s="15" t="str">
        <x:v>negative</x:v>
      </x:c>
      <x:c r="I2" s="15" t="str">
        <x:v>high</x:v>
      </x:c>
      <x:c r="J2" s="15" t="str">
        <x:v>Rip-off ifadesi güçlü negatif finansal ton taşıyor.</x:v>
      </x:c>
      <x:c r="K2" s="15" t="str">
        <x:v>correct</x:v>
      </x:c>
      <x:c r="L2" s="15" t="str">
        <x:v>FinBERT etiketi final etiket ile aynı.</x:v>
      </x:c>
      <x:c r="N2" s="15" t="str">
        <x:v>Toplam örnek</x:v>
      </x:c>
      <x:c r="O2" s="15" t="n">
        <x:f>COUNTA(A2:A11)</x:f>
        <x:v>10</x:v>
      </x:c>
    </x:row>
    <x:row r="3" ht="24" customHeight="1">
      <x:c r="A3" s="15" t="str">
        <x:v>SP500_ANN_0742</x:v>
      </x:c>
      <x:c r="B3" s="15" t="str">
        <x:v>SP500_HEAD_014296</x:v>
      </x:c>
      <x:c r="C3" s="15" t="str">
        <x:v>2023-06-14</x:v>
      </x:c>
      <x:c r="D3" s="15" t="str">
        <x:v>Morgan Stanley's Slimmon on joining the S&amp;P 500 and Nasdaq rally</x:v>
      </x:c>
      <x:c r="E3" s="15" t="str">
        <x:v>Morgan Stanley'den Slimmon, S&amp;P 500 ve Nasdaq rallisine katılmayı değerlendiriyor.</x:v>
      </x:c>
      <x:c r="F3" s="15" t="str">
        <x:v>neutral</x:v>
      </x:c>
      <x:c r="G3" s="18" t="n">
        <x:v>0.869</x:v>
      </x:c>
      <x:c r="H3" s="15" t="str">
        <x:v>positive</x:v>
      </x:c>
      <x:c r="I3" s="15" t="str">
        <x:v>medium</x:v>
      </x:c>
      <x:c r="J3" s="15" t="str">
        <x:v>Ralliye katılma ifadesi olumlu piyasa algısı verir.</x:v>
      </x:c>
      <x:c r="K3" s="15" t="str">
        <x:v>wrong</x:v>
      </x:c>
      <x:c r="L3" s="15" t="str">
        <x:v>FinBERT neutral demiş; final etiket positive. Başlıktaki baskın finansal sinyali farklı yorumlamış.</x:v>
      </x:c>
      <x:c r="N3" s="15" t="str">
        <x:v>FinBERT doğru</x:v>
      </x:c>
      <x:c r="O3" s="15" t="n">
        <x:f>COUNTIF(K2:K11,"correct")</x:f>
        <x:v>7</x:v>
      </x:c>
    </x:row>
    <x:row r="4" ht="24" customHeight="1">
      <x:c r="A4" s="15" t="str">
        <x:v>SP500_ANN_0743</x:v>
      </x:c>
      <x:c r="B4" s="15" t="str">
        <x:v>SP500_HEAD_001583</x:v>
      </x:c>
      <x:c r="C4" s="15" t="str">
        <x:v>2012-10-26</x:v>
      </x:c>
      <x:c r="D4" s="15" t="str">
        <x:v>Sugru: A gripping tale of struggle and success</x:v>
      </x:c>
      <x:c r="E4" s="15" t="str">
        <x:v>Sugru: mücadele ve başarı hikâyesi.</x:v>
      </x:c>
      <x:c r="F4" s="15" t="str">
        <x:v>neutral</x:v>
      </x:c>
      <x:c r="G4" s="18" t="n">
        <x:v>0.767</x:v>
      </x:c>
      <x:c r="H4" s="15" t="str">
        <x:v>neutral</x:v>
      </x:c>
      <x:c r="I4" s="15" t="str">
        <x:v>medium</x:v>
      </x:c>
      <x:c r="J4" s="15" t="str">
        <x:v>Başlık şirket/piyasa yönü vermiyor; anlatı niteliğinde.</x:v>
      </x:c>
      <x:c r="K4" s="15" t="str">
        <x:v>correct</x:v>
      </x:c>
      <x:c r="L4" s="15" t="str">
        <x:v>FinBERT etiketi final etiket ile aynı.</x:v>
      </x:c>
      <x:c r="N4" s="15" t="str">
        <x:v>FinBERT yanlış</x:v>
      </x:c>
      <x:c r="O4" s="15" t="n">
        <x:f>COUNTIF(K2:K11,"wrong")</x:f>
        <x:v>3</x:v>
      </x:c>
    </x:row>
    <x:row r="5" ht="24" customHeight="1">
      <x:c r="A5" s="15" t="str">
        <x:v>SP500_ANN_0744</x:v>
      </x:c>
      <x:c r="B5" s="15" t="str">
        <x:v>SP500_HEAD_010859</x:v>
      </x:c>
      <x:c r="C5" s="15" t="str">
        <x:v>2022-05-11</x:v>
      </x:c>
      <x:c r="D5" s="15" t="str">
        <x:v>Skeptical on Buying the S&amp;P 500 Dip? Check Out This ETF</x:v>
      </x:c>
      <x:c r="E5" s="15" t="str">
        <x:v>S&amp;P 500 düşüşünden alım yapmak konusunda şüpheciyseniz bu ETF'ye bakın.</x:v>
      </x:c>
      <x:c r="F5" s="15" t="str">
        <x:v>neutral</x:v>
      </x:c>
      <x:c r="G5" s="18" t="n">
        <x:v>0.923</x:v>
      </x:c>
      <x:c r="H5" s="15" t="str">
        <x:v>neutral</x:v>
      </x:c>
      <x:c r="I5" s="15" t="str">
        <x:v>high</x:v>
      </x:c>
      <x:c r="J5" s="15" t="str">
        <x:v>Yatırım ürünü önerisi/soru başlığı; net yön yok.</x:v>
      </x:c>
      <x:c r="K5" s="15" t="str">
        <x:v>correct</x:v>
      </x:c>
      <x:c r="L5" s="15" t="str">
        <x:v>FinBERT etiketi final etiket ile aynı.</x:v>
      </x:c>
      <x:c r="N5" s="15" t="str">
        <x:v>Doğruluk oranı</x:v>
      </x:c>
      <x:c r="O5" s="20" t="n">
        <x:f>IFERROR(O3/O2,0)</x:f>
        <x:v>0.7</x:v>
      </x:c>
    </x:row>
    <x:row r="6" ht="42" customHeight="1">
      <x:c r="A6" s="15" t="str">
        <x:v>SP500_ANN_0745</x:v>
      </x:c>
      <x:c r="B6" s="15" t="str">
        <x:v>SP500_HEAD_014600</x:v>
      </x:c>
      <x:c r="C6" s="15" t="str">
        <x:v>2023-07-07</x:v>
      </x:c>
      <x:c r="D6" s="15" t="str">
        <x:v>25 US Companies With The Highest Profit Margins</x:v>
      </x:c>
      <x:c r="E6" s="15" t="str">
        <x:v>En yüksek kâr marjına sahip 25 ABD şirketi.</x:v>
      </x:c>
      <x:c r="F6" s="15" t="str">
        <x:v>neutral</x:v>
      </x:c>
      <x:c r="G6" s="18" t="n">
        <x:v>0.51</x:v>
      </x:c>
      <x:c r="H6" s="15" t="str">
        <x:v>positive</x:v>
      </x:c>
      <x:c r="I6" s="15" t="str">
        <x:v>medium</x:v>
      </x:c>
      <x:c r="J6" s="15" t="str">
        <x:v>Yüksek kâr marjı olumlu finansal kalite sinyali.</x:v>
      </x:c>
      <x:c r="K6" s="15" t="str">
        <x:v>wrong</x:v>
      </x:c>
      <x:c r="L6" s="15" t="str">
        <x:v>FinBERT neutral demiş; final etiket positive. Başlıktaki baskın finansal sinyali farklı yorumlamış.</x:v>
      </x:c>
    </x:row>
    <x:row r="7" ht="42" customHeight="1">
      <x:c r="A7" s="15" t="str">
        <x:v>SP500_ANN_0746</x:v>
      </x:c>
      <x:c r="B7" s="15" t="str">
        <x:v>SP500_HEAD_012905</x:v>
      </x:c>
      <x:c r="C7" s="15" t="str">
        <x:v>2023-02-17</x:v>
      </x:c>
      <x:c r="D7" s="15" t="str">
        <x:v>Fed tightening 'always breaks something': S&amp;P 500 will drop to 3,800 by March, warn Bank of America strategists</x:v>
      </x:c>
      <x:c r="E7" s="15" t="str">
        <x:v>BofA stratejistlerine göre Fed sıkılaştırması S&amp;P 500'ü martta 3.800'e düşürebilir.</x:v>
      </x:c>
      <x:c r="F7" s="15" t="str">
        <x:v>negative</x:v>
      </x:c>
      <x:c r="G7" s="18" t="n">
        <x:v>0.972</x:v>
      </x:c>
      <x:c r="H7" s="15" t="str">
        <x:v>negative</x:v>
      </x:c>
      <x:c r="I7" s="15" t="str">
        <x:v>high</x:v>
      </x:c>
      <x:c r="J7" s="15" t="str">
        <x:v>Endeks için belirgin düşüş beklentisi var.</x:v>
      </x:c>
      <x:c r="K7" s="15" t="str">
        <x:v>correct</x:v>
      </x:c>
      <x:c r="L7" s="15" t="str">
        <x:v>FinBERT etiketi final etiket ile aynı.</x:v>
      </x:c>
    </x:row>
    <x:row r="8" ht="42" customHeight="1">
      <x:c r="A8" s="15" t="str">
        <x:v>SP500_ANN_0747</x:v>
      </x:c>
      <x:c r="B8" s="15" t="str">
        <x:v>SP500_HEAD_012772</x:v>
      </x:c>
      <x:c r="C8" s="15" t="str">
        <x:v>2023-02-06</x:v>
      </x:c>
      <x:c r="D8" s="15" t="str">
        <x:v>Women's Gains on S&amp;P 500 Boards Slow, Delaying Parity Progress</x:v>
      </x:c>
      <x:c r="E8" s="15" t="str">
        <x:v>S&amp;P 500 yönetim kurullarında kadın kazanımları yavaşladı, eşitlik gecikiyor.</x:v>
      </x:c>
      <x:c r="F8" s="15" t="str">
        <x:v>negative</x:v>
      </x:c>
      <x:c r="G8" s="18" t="n">
        <x:v>0.967</x:v>
      </x:c>
      <x:c r="H8" s="15" t="str">
        <x:v>negative</x:v>
      </x:c>
      <x:c r="I8" s="15" t="str">
        <x:v>medium</x:v>
      </x:c>
      <x:c r="J8" s="15" t="str">
        <x:v>İlerleme yavaşlaması ve gecikme negatif sosyal/kurumsal sinyal.</x:v>
      </x:c>
      <x:c r="K8" s="15" t="str">
        <x:v>correct</x:v>
      </x:c>
      <x:c r="L8" s="15" t="str">
        <x:v>FinBERT etiketi final etiket ile aynı.</x:v>
      </x:c>
    </x:row>
    <x:row r="9" ht="42" customHeight="1">
      <x:c r="A9" s="15" t="str">
        <x:v>SP500_ANN_0748</x:v>
      </x:c>
      <x:c r="B9" s="15" t="str">
        <x:v>SP500_HEAD_014843</x:v>
      </x:c>
      <x:c r="C9" s="15" t="str">
        <x:v>2023-07-24</x:v>
      </x:c>
      <x:c r="D9" s="15" t="str">
        <x:v>S&amp;P 500 rises at the start of big week but bearish technicals cast shadow</x:v>
      </x:c>
      <x:c r="E9" s="15" t="str">
        <x:v>S&amp;P 500 büyük haftaya yükselişle başladı ama ayı teknikleri gölge düşürüyor.</x:v>
      </x:c>
      <x:c r="F9" s="15" t="str">
        <x:v>negative</x:v>
      </x:c>
      <x:c r="G9" s="18" t="n">
        <x:v>0.837</x:v>
      </x:c>
      <x:c r="H9" s="15" t="str">
        <x:v>negative</x:v>
      </x:c>
      <x:c r="I9" s="15" t="str">
        <x:v>medium</x:v>
      </x:c>
      <x:c r="J9" s="15" t="str">
        <x:v>Yükseliş olsa da bearish teknik uyarı baskın.</x:v>
      </x:c>
      <x:c r="K9" s="15" t="str">
        <x:v>correct</x:v>
      </x:c>
      <x:c r="L9" s="15" t="str">
        <x:v>FinBERT etiketi final etiket ile aynı.</x:v>
      </x:c>
    </x:row>
    <x:row r="10" ht="42" customHeight="1">
      <x:c r="A10" s="15" t="str">
        <x:v>SP500_ANN_0749</x:v>
      </x:c>
      <x:c r="B10" s="15" t="str">
        <x:v>SP500_HEAD_017191</x:v>
      </x:c>
      <x:c r="C10" s="15" t="str">
        <x:v>2024-01-08</x:v>
      </x:c>
      <x:c r="D10" s="15" t="str">
        <x:v>Stock-Market Outlook: UBS Lifts S&amp;P 500 Target, Trumpets Soft Landing</x:v>
      </x:c>
      <x:c r="E10" s="15" t="str">
        <x:v>UBS S&amp;P 500 hedefini yükseltti ve yumuşak inişi öne çıkardı.</x:v>
      </x:c>
      <x:c r="F10" s="15" t="str">
        <x:v>positive</x:v>
      </x:c>
      <x:c r="G10" s="18" t="n">
        <x:v>0.739</x:v>
      </x:c>
      <x:c r="H10" s="15" t="str">
        <x:v>positive</x:v>
      </x:c>
      <x:c r="I10" s="15" t="str">
        <x:v>high</x:v>
      </x:c>
      <x:c r="J10" s="15" t="str">
        <x:v>Hedef yükseltme ve soft landing vurgusu olumlu.</x:v>
      </x:c>
      <x:c r="K10" s="15" t="str">
        <x:v>correct</x:v>
      </x:c>
      <x:c r="L10" s="15" t="str">
        <x:v>FinBERT etiketi final etiket ile aynı.</x:v>
      </x:c>
    </x:row>
    <x:row r="11" ht="42" customHeight="1">
      <x:c r="A11" s="15" t="str">
        <x:v>SP500_ANN_0750</x:v>
      </x:c>
      <x:c r="B11" s="15" t="str">
        <x:v>SP500_HEAD_004290</x:v>
      </x:c>
      <x:c r="C11" s="15" t="str">
        <x:v>2016-03-16</x:v>
      </x:c>
      <x:c r="D11" s="15" t="str">
        <x:v>Europe higher, Asia mixed ahead of Fed decision</x:v>
      </x:c>
      <x:c r="E11" s="15" t="str">
        <x:v>Fed kararı öncesi Avrupa yükseldi, Asya karışık seyretti.</x:v>
      </x:c>
      <x:c r="F11" s="15" t="str">
        <x:v>positive</x:v>
      </x:c>
      <x:c r="G11" s="18" t="n">
        <x:v>0.825</x:v>
      </x:c>
      <x:c r="H11" s="15" t="str">
        <x:v>neutral</x:v>
      </x:c>
      <x:c r="I11" s="15" t="str">
        <x:v>medium</x:v>
      </x:c>
      <x:c r="J11" s="15" t="str">
        <x:v>Bölgeler karışık ve karar bekleniyor; net yön yok.</x:v>
      </x:c>
      <x:c r="K11" s="15" t="str">
        <x:v>wrong</x:v>
      </x:c>
      <x:c r="L11" s="15" t="str">
        <x:v>FinBERT positive demiş; final etiket neutral. Başlıktaki baskın finansal sinyali farklı yorumlamış.</x:v>
      </x:c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dcc8113279446be"/>
  </x:tableParts>
</x:worksheet>
</file>