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df562efbca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89" sheetId="1" r:id="Rfba15f19f43c4d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375623"/>
      <x:name val="Carlito"/>
    </x:font>
    <x:font>
      <x:sz val="11"/>
      <x:color rgb="9C000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AD47"/>
      </x:patternFill>
    </x:fill>
    <x:fill>
      <x:patternFill patternType="solid">
        <x:fgColor rgb="E2F0D9"/>
      </x:patternFill>
    </x:fill>
    <x:fill>
      <x:patternFill patternType="solid">
        <x:fgColor rgb="FCE4D6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1e92cf48274be4" /><Relationship Type="http://schemas.openxmlformats.org/officeDocument/2006/relationships/theme" Target="/xl/theme/theme1.xml" Id="R40d04dd59daa4354" /><Relationship Type="http://schemas.openxmlformats.org/officeDocument/2006/relationships/sharedStrings" Target="/xl/sharedStrings.xml" Id="R4bc2e2a4a6324306" /><Relationship Type="http://schemas.openxmlformats.org/officeDocument/2006/relationships/worksheet" Target="/xl/worksheets/sheet1.xml" Id="Rfba15f19f43c4dc1" /></Relationships>
</file>

<file path=xl/tables/table1.xml><?xml version="1.0" encoding="utf-8"?>
<x:table xmlns:x="http://schemas.openxmlformats.org/spreadsheetml/2006/main" id="1" name="AnnotationTable_089" displayName="AnnotationTable_089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0e895178ee4a9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2" hidden="0" customWidth="1"/>
    <x:col min="14" max="14" width="18" hidden="0" customWidth="1"/>
    <x:col min="15" max="15" width="14" hidden="0" customWidth="1"/>
  </x:cols>
  <x:sheetData>
    <x:row r="1" ht="28" customHeight="1">
      <x:c r="A1" s="16" t="str">
        <x:v>annotation_id</x:v>
      </x:c>
      <x:c r="B1" s="16" t="str">
        <x:v>sample_id</x:v>
      </x:c>
      <x:c r="C1" s="16" t="str">
        <x:v>date</x:v>
      </x:c>
      <x:c r="D1" s="16" t="str">
        <x:v>text_en</x:v>
      </x:c>
      <x:c r="E1" s="16" t="str">
        <x:v>text_tr</x:v>
      </x:c>
      <x:c r="F1" s="16" t="str">
        <x:v>finbert_label</x:v>
      </x:c>
      <x:c r="G1" s="16" t="str">
        <x:v>finbert_confidence</x:v>
      </x:c>
      <x:c r="H1" s="16" t="str">
        <x:v>chatgpt_label</x:v>
      </x:c>
      <x:c r="I1" s="16" t="str">
        <x:v>chatgpt_confidence</x:v>
      </x:c>
      <x:c r="J1" s="16" t="str">
        <x:v>chatgpt_reason_tr</x:v>
      </x:c>
      <x:c r="K1" s="16" t="str">
        <x:v>finbert_correctness</x:v>
      </x:c>
      <x:c r="L1" s="16" t="str">
        <x:v>finbert_correctness_note</x:v>
      </x:c>
      <x:c r="M1" s="17"/>
      <x:c r="N1" s="18" t="str">
        <x:v>Özet</x:v>
      </x:c>
      <x:c r="O1" s="18" t="str">
        <x:v>Değer</x:v>
      </x:c>
    </x:row>
    <x:row r="2" ht="72" customHeight="1">
      <x:c r="A2" s="17" t="str">
        <x:v>SP500_ANN_0881</x:v>
      </x:c>
      <x:c r="B2" s="17" t="str">
        <x:v>SP500_HEAD_006518</x:v>
      </x:c>
      <x:c r="C2" s="17" t="str">
        <x:v>2019-02-04</x:v>
      </x:c>
      <x:c r="D2" s="17" t="str">
        <x:v>Stock market highs mask economic inequality in US: Deutsche Bank</x:v>
      </x:c>
      <x:c r="E2" s="17" t="str">
        <x:v>Deutsche Bank’a göre borsa zirveleri ABD’de ekonomik eşitsizliği gizliyor.</x:v>
      </x:c>
      <x:c r="F2" s="17" t="str">
        <x:v>negative</x:v>
      </x:c>
      <x:c r="G2" s="17" t="n">
        <x:v>0.551</x:v>
      </x:c>
      <x:c r="H2" s="17" t="str">
        <x:v>negative</x:v>
      </x:c>
      <x:c r="I2" s="17" t="str">
        <x:v>medium</x:v>
      </x:c>
      <x:c r="J2" s="17" t="str">
        <x:v>Ekonomik eşitsizlik vurgusu olumsuz makro ton taşıyor.</x:v>
      </x:c>
      <x:c r="K2" s="27" t="str">
        <x:v>correct</x:v>
      </x:c>
      <x:c r="L2" s="17" t="str">
        <x:v>FinBERT etiketi final etiket ile aynı.</x:v>
      </x:c>
      <x:c r="M2" s="17"/>
      <x:c r="N2" s="34" t="str">
        <x:v>Toplam örnek</x:v>
      </x:c>
      <x:c r="O2" s="35" t="n">
        <x:f>COUNTA(A2:A11)</x:f>
        <x:v>10</x:v>
      </x:c>
    </x:row>
    <x:row r="3" ht="72" customHeight="1">
      <x:c r="A3" s="17" t="str">
        <x:v>SP500_ANN_0882</x:v>
      </x:c>
      <x:c r="B3" s="17" t="str">
        <x:v>SP500_HEAD_012839</x:v>
      </x:c>
      <x:c r="C3" s="17" t="str">
        <x:v>2023-02-13</x:v>
      </x:c>
      <x:c r="D3" s="17" t="str">
        <x:v>FIS Shares Plummet on Spinoff Plan, Outlook</x:v>
      </x:c>
      <x:c r="E3" s="17" t="str">
        <x:v>FIS hisseleri bölünme planı ve görünüm sonrası sert düştü.</x:v>
      </x:c>
      <x:c r="F3" s="17" t="str">
        <x:v>negative</x:v>
      </x:c>
      <x:c r="G3" s="17" t="n">
        <x:v>0.955</x:v>
      </x:c>
      <x:c r="H3" s="17" t="str">
        <x:v>negative</x:v>
      </x:c>
      <x:c r="I3" s="17" t="str">
        <x:v>high</x:v>
      </x:c>
      <x:c r="J3" s="17" t="str">
        <x:v>Hisselerin sert düşmesi açık negatif.</x:v>
      </x:c>
      <x:c r="K3" s="27" t="str">
        <x:v>correct</x:v>
      </x:c>
      <x:c r="L3" s="17" t="str">
        <x:v>FinBERT etiketi final etiket ile aynı.</x:v>
      </x:c>
      <x:c r="M3" s="17"/>
      <x:c r="N3" s="34" t="str">
        <x:v>FinBERT doğru</x:v>
      </x:c>
      <x:c r="O3" s="35" t="n">
        <x:f>COUNTIF(K2:K11,"correct")</x:f>
        <x:v>9</x:v>
      </x:c>
    </x:row>
    <x:row r="4" ht="72" customHeight="1">
      <x:c r="A4" s="17" t="str">
        <x:v>SP500_ANN_0883</x:v>
      </x:c>
      <x:c r="B4" s="17" t="str">
        <x:v>SP500_HEAD_011481</x:v>
      </x:c>
      <x:c r="C4" s="17" t="str">
        <x:v>2022-08-17</x:v>
      </x:c>
      <x:c r="D4" s="17" t="str">
        <x:v>3 Reasons to Invest in an S&amp;P 500 ETF Right Now</x:v>
      </x:c>
      <x:c r="E4" s="17" t="str">
        <x:v>Şu anda S&amp;P 500 ETF’sine yatırım yapmak için 3 neden.</x:v>
      </x:c>
      <x:c r="F4" s="17" t="str">
        <x:v>neutral</x:v>
      </x:c>
      <x:c r="G4" s="17" t="n">
        <x:v>0.925</x:v>
      </x:c>
      <x:c r="H4" s="17" t="str">
        <x:v>neutral</x:v>
      </x:c>
      <x:c r="I4" s="17" t="str">
        <x:v>medium</x:v>
      </x:c>
      <x:c r="J4" s="17" t="str">
        <x:v>Yatırım önerisi başlığı; yön tam belirgin değil.</x:v>
      </x:c>
      <x:c r="K4" s="27" t="str">
        <x:v>correct</x:v>
      </x:c>
      <x:c r="L4" s="17" t="str">
        <x:v>FinBERT etiketi final etiket ile aynı.</x:v>
      </x:c>
      <x:c r="M4" s="17"/>
      <x:c r="N4" s="34" t="str">
        <x:v>FinBERT yanlış</x:v>
      </x:c>
      <x:c r="O4" s="35" t="n">
        <x:f>COUNTIF(K2:K11,"wrong")</x:f>
        <x:v>1</x:v>
      </x:c>
    </x:row>
    <x:row r="5" ht="72" customHeight="1">
      <x:c r="A5" s="17" t="str">
        <x:v>SP500_ANN_0884</x:v>
      </x:c>
      <x:c r="B5" s="17" t="str">
        <x:v>SP500_HEAD_008412</x:v>
      </x:c>
      <x:c r="C5" s="17" t="str">
        <x:v>2020-09-23</x:v>
      </x:c>
      <x:c r="D5" s="17" t="str">
        <x:v>10 Best Performing S&amp;P 500 Stocks Since 2000. You'll Never Guess No. 1</x:v>
      </x:c>
      <x:c r="E5" s="17" t="str">
        <x:v>2000’den beri en iyi performans gösteren 10 S&amp;P 500 hissesi; bir numarayı tahmin edemezsiniz.</x:v>
      </x:c>
      <x:c r="F5" s="17" t="str">
        <x:v>neutral</x:v>
      </x:c>
      <x:c r="G5" s="17" t="n">
        <x:v>0.841</x:v>
      </x:c>
      <x:c r="H5" s="17" t="str">
        <x:v>positive</x:v>
      </x:c>
      <x:c r="I5" s="17" t="str">
        <x:v>medium</x:v>
      </x:c>
      <x:c r="J5" s="17" t="str">
        <x:v>En iyi performans vurgusu olumlu.</x:v>
      </x:c>
      <x:c r="K5" s="31" t="str">
        <x:v>wrong</x:v>
      </x:c>
      <x:c r="L5" s="17" t="str">
        <x:v>FinBERT neutral demiş; final etiket positive. Başlıktaki baskın sinyal farklı yorumlanmalı.</x:v>
      </x:c>
      <x:c r="M5" s="17"/>
      <x:c r="N5" s="34" t="str">
        <x:v>Doğruluk oranı</x:v>
      </x:c>
      <x:c r="O5" s="36" t="n">
        <x:f>O3/O2</x:f>
        <x:v>0.9</x:v>
      </x:c>
    </x:row>
    <x:row r="6" ht="72" customHeight="1">
      <x:c r="A6" s="17" t="str">
        <x:v>SP500_ANN_0885</x:v>
      </x:c>
      <x:c r="B6" s="17" t="str">
        <x:v>SP500_HEAD_014151</x:v>
      </x:c>
      <x:c r="C6" s="17" t="str">
        <x:v>2023-06-02</x:v>
      </x:c>
      <x:c r="D6" s="17" t="str">
        <x:v>S&amp;P 500 nears bear-market exit. Will Big Tech's rally finally spread to the broader stock market?</x:v>
      </x:c>
      <x:c r="E6" s="17" t="str">
        <x:v>S&amp;P 500 ayı piyasasından çıkışa yaklaşıyor; büyük teknoloji rallisi geniş piyasaya yayılacak mı?</x:v>
      </x:c>
      <x:c r="F6" s="17" t="str">
        <x:v>neutral</x:v>
      </x:c>
      <x:c r="G6" s="17" t="n">
        <x:v>0.855</x:v>
      </x:c>
      <x:c r="H6" s="17" t="str">
        <x:v>neutral</x:v>
      </x:c>
      <x:c r="I6" s="17" t="str">
        <x:v>medium</x:v>
      </x:c>
      <x:c r="J6" s="17" t="str">
        <x:v>Olumlu ihtimal var ama soru formatı ve belirsizlik baskın.</x:v>
      </x:c>
      <x:c r="K6" s="27" t="str">
        <x:v>correct</x:v>
      </x:c>
      <x:c r="L6" s="17" t="str">
        <x:v>FinBERT etiketi final etiket ile aynı.</x:v>
      </x:c>
      <x:c r="M6" s="17"/>
      <x:c r="N6" s="17"/>
      <x:c r="O6" s="17"/>
    </x:row>
    <x:row r="7" ht="72" customHeight="1">
      <x:c r="A7" s="17" t="str">
        <x:v>SP500_ANN_0886</x:v>
      </x:c>
      <x:c r="B7" s="17" t="str">
        <x:v>SP500_HEAD_013387</x:v>
      </x:c>
      <x:c r="C7" s="17" t="str">
        <x:v>2023-03-29</x:v>
      </x:c>
      <x:c r="D7" s="17" t="str">
        <x:v>With the Stock Market Up 3% in 2023, Is It Safe to Invest Right Now?</x:v>
      </x:c>
      <x:c r="E7" s="17" t="str">
        <x:v>Borsa 2023’te %3 yükselmişken şimdi yatırım yapmak güvenli mi?</x:v>
      </x:c>
      <x:c r="F7" s="17" t="str">
        <x:v>neutral</x:v>
      </x:c>
      <x:c r="G7" s="17" t="n">
        <x:v>0.763</x:v>
      </x:c>
      <x:c r="H7" s="17" t="str">
        <x:v>neutral</x:v>
      </x:c>
      <x:c r="I7" s="17" t="str">
        <x:v>high</x:v>
      </x:c>
      <x:c r="J7" s="17" t="str">
        <x:v>Soru/rehber başlığı; net yön yok.</x:v>
      </x:c>
      <x:c r="K7" s="27" t="str">
        <x:v>correct</x:v>
      </x:c>
      <x:c r="L7" s="17" t="str">
        <x:v>FinBERT etiketi final etiket ile aynı.</x:v>
      </x:c>
      <x:c r="M7" s="17"/>
      <x:c r="N7" s="17"/>
      <x:c r="O7" s="17"/>
    </x:row>
    <x:row r="8" ht="72" customHeight="1">
      <x:c r="A8" s="17" t="str">
        <x:v>SP500_ANN_0887</x:v>
      </x:c>
      <x:c r="B8" s="17" t="str">
        <x:v>SP500_HEAD_008895</x:v>
      </x:c>
      <x:c r="C8" s="17" t="str">
        <x:v>2021-01-20</x:v>
      </x:c>
      <x:c r="D8" s="17" t="str">
        <x:v>Trump leaves office with a good — but not historically great — stock market record</x:v>
      </x:c>
      <x:c r="E8" s="17" t="str">
        <x:v>Trump görevden iyi ama tarihsel olarak olağanüstü olmayan bir borsa karnesiyle ayrılıyor.</x:v>
      </x:c>
      <x:c r="F8" s="17" t="str">
        <x:v>positive</x:v>
      </x:c>
      <x:c r="G8" s="17" t="n">
        <x:v>0.634</x:v>
      </x:c>
      <x:c r="H8" s="17" t="str">
        <x:v>positive</x:v>
      </x:c>
      <x:c r="I8" s="17" t="str">
        <x:v>medium</x:v>
      </x:c>
      <x:c r="J8" s="17" t="str">
        <x:v>İyi borsa karnesi olumlu, ama sınırlı ton var.</x:v>
      </x:c>
      <x:c r="K8" s="27" t="str">
        <x:v>correct</x:v>
      </x:c>
      <x:c r="L8" s="17" t="str">
        <x:v>FinBERT etiketi final etiket ile aynı.</x:v>
      </x:c>
      <x:c r="M8" s="17"/>
      <x:c r="N8" s="17"/>
      <x:c r="O8" s="17"/>
    </x:row>
    <x:row r="9" ht="72" customHeight="1">
      <x:c r="A9" s="17" t="str">
        <x:v>SP500_ANN_0888</x:v>
      </x:c>
      <x:c r="B9" s="17" t="str">
        <x:v>SP500_HEAD_005364</x:v>
      </x:c>
      <x:c r="C9" s="17" t="str">
        <x:v>2017-08-22</x:v>
      </x:c>
      <x:c r="D9" s="17" t="str">
        <x:v>Should You Buy Stocks When There is Blood in the Streets?</x:v>
      </x:c>
      <x:c r="E9" s="17" t="str">
        <x:v>Sokaklarda kan varken hisse almalı mısınız?</x:v>
      </x:c>
      <x:c r="F9" s="17" t="str">
        <x:v>neutral</x:v>
      </x:c>
      <x:c r="G9" s="17" t="n">
        <x:v>0.739</x:v>
      </x:c>
      <x:c r="H9" s="17" t="str">
        <x:v>neutral</x:v>
      </x:c>
      <x:c r="I9" s="17" t="str">
        <x:v>medium</x:v>
      </x:c>
      <x:c r="J9" s="17" t="str">
        <x:v>Strateji sorusu; doğrudan piyasa yönü yok.</x:v>
      </x:c>
      <x:c r="K9" s="27" t="str">
        <x:v>correct</x:v>
      </x:c>
      <x:c r="L9" s="17" t="str">
        <x:v>FinBERT etiketi final etiket ile aynı.</x:v>
      </x:c>
      <x:c r="M9" s="17"/>
      <x:c r="N9" s="17"/>
      <x:c r="O9" s="17"/>
    </x:row>
    <x:row r="10" ht="72" customHeight="1">
      <x:c r="A10" s="17" t="str">
        <x:v>SP500_ANN_0889</x:v>
      </x:c>
      <x:c r="B10" s="17" t="str">
        <x:v>SP500_HEAD_003470</x:v>
      </x:c>
      <x:c r="C10" s="17" t="str">
        <x:v>2015-03-13</x:v>
      </x:c>
      <x:c r="D10" s="17" t="str">
        <x:v>Why I've stopped reinvesting dividends: Blodget</x:v>
      </x:c>
      <x:c r="E10" s="17" t="str">
        <x:v>Blodget: Temettüleri yeniden yatırmayı neden bıraktım?</x:v>
      </x:c>
      <x:c r="F10" s="17" t="str">
        <x:v>neutral</x:v>
      </x:c>
      <x:c r="G10" s="17" t="n">
        <x:v>0.657</x:v>
      </x:c>
      <x:c r="H10" s="17" t="str">
        <x:v>neutral</x:v>
      </x:c>
      <x:c r="I10" s="17" t="str">
        <x:v>high</x:v>
      </x:c>
      <x:c r="J10" s="17" t="str">
        <x:v>Kişisel/strateji başlığı; net piyasa duyarlılığı yok.</x:v>
      </x:c>
      <x:c r="K10" s="27" t="str">
        <x:v>correct</x:v>
      </x:c>
      <x:c r="L10" s="17" t="str">
        <x:v>FinBERT etiketi final etiket ile aynı.</x:v>
      </x:c>
      <x:c r="M10" s="17"/>
      <x:c r="N10" s="17"/>
      <x:c r="O10" s="17"/>
    </x:row>
    <x:row r="11" ht="72" customHeight="1">
      <x:c r="A11" s="17" t="str">
        <x:v>SP500_ANN_0890</x:v>
      </x:c>
      <x:c r="B11" s="17" t="str">
        <x:v>SP500_HEAD_007514</x:v>
      </x:c>
      <x:c r="C11" s="17" t="str">
        <x:v>2020-02-26</x:v>
      </x:c>
      <x:c r="D11" s="17" t="str">
        <x:v>iShares, ProShares ETFs among the index funds with the worst returns of the decade</x:v>
      </x:c>
      <x:c r="E11" s="17" t="str">
        <x:v>iShares ve ProShares ETF’leri, on yılın en kötü getirili endeks fonları arasında.</x:v>
      </x:c>
      <x:c r="F11" s="17" t="str">
        <x:v>negative</x:v>
      </x:c>
      <x:c r="G11" s="17" t="n">
        <x:v>0.971</x:v>
      </x:c>
      <x:c r="H11" s="17" t="str">
        <x:v>negative</x:v>
      </x:c>
      <x:c r="I11" s="17" t="str">
        <x:v>high</x:v>
      </x:c>
      <x:c r="J11" s="17" t="str">
        <x:v>En kötü getiriler ifadesi negatif.</x:v>
      </x:c>
      <x:c r="K11" s="27" t="str">
        <x:v>correct</x:v>
      </x:c>
      <x:c r="L11" s="17" t="str">
        <x:v>FinBERT etiketi final etiket ile aynı.</x:v>
      </x:c>
      <x:c r="M11" s="17"/>
      <x:c r="N11" s="17"/>
      <x:c r="O11" s="17"/>
    </x:row>
  </x:sheetData>
  <x:pageMargins left="0.7" right="0.7" top="0.75" bottom="0.75" header="0.3" footer="0.3"/>
  <x:tableParts count="1">
    <x:tablePart xmlns:r="http://schemas.openxmlformats.org/officeDocument/2006/relationships" r:id="R720e895178ee4a98"/>
  </x:tableParts>
</x:worksheet>
</file>