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7088dcfc2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2" sheetId="1" r:id="Ra58a53678681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left" vertical="top"/>
    </x:xf>
    <x:xf numFmtId="200" fontId="0" fillId="0" borderId="0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horizontal="left" vertical="top"/>
    </x:xf>
    <x:xf numFmtId="200" fontId="0" fillId="0" borderId="1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horizontal="center" vertical="top"/>
    </x:xf>
    <x:xf numFmtId="201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201" fontId="0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54c4a915e48cc" /><Relationship Type="http://schemas.openxmlformats.org/officeDocument/2006/relationships/theme" Target="/xl/theme/theme1.xml" Id="R23f83680d8ed440e" /><Relationship Type="http://schemas.openxmlformats.org/officeDocument/2006/relationships/sharedStrings" Target="/xl/sharedStrings.xml" Id="R6179ec764f1249e1" /><Relationship Type="http://schemas.openxmlformats.org/officeDocument/2006/relationships/worksheet" Target="/xl/worksheets/sheet1.xml" Id="Ra58a53678681414d" /></Relationships>
</file>

<file path=xl/tables/table1.xml><?xml version="1.0" encoding="utf-8"?>
<x:table xmlns:x="http://schemas.openxmlformats.org/spreadsheetml/2006/main" id="1" name="Batch002Table" displayName="Batch002Table" ref="A1:M11" headerRowCount="1">
  <x:tableColumns count="13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al_label"/>
    <x:tableColumn id="12" name="finbert_correctness"/>
    <x:tableColumn id="13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ce820d27704a4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55" hidden="0" customWidth="1"/>
    <x:col min="5" max="5" width="55" hidden="0" customWidth="1"/>
    <x:col min="6" max="6" width="15" hidden="0" customWidth="1"/>
    <x:col min="7" max="7" width="16" hidden="0" customWidth="1"/>
    <x:col min="8" max="8" width="15" hidden="0" customWidth="1"/>
    <x:col min="9" max="9" width="16" hidden="0" customWidth="1"/>
    <x:col min="10" max="10" width="60" hidden="0" customWidth="1"/>
    <x:col min="11" max="11" width="14" hidden="0" customWidth="1"/>
    <x:col min="12" max="12" width="18" hidden="0" customWidth="1"/>
    <x:col min="13" max="13" width="60" hidden="0" customWidth="1"/>
    <x:col min="16" max="16" width="18" hidden="0" customWidth="1"/>
    <x:col min="17" max="17" width="14" hidden="0" customWidth="1"/>
  </x:cols>
  <x:sheetData>
    <x:row r="1">
      <x:c r="A1" s="5" t="str">
        <x:v>annotation_id</x:v>
      </x:c>
      <x:c r="B1" s="5" t="str">
        <x:v>sample_id</x:v>
      </x:c>
      <x:c r="C1" s="5" t="str">
        <x:v>date</x:v>
      </x:c>
      <x:c r="D1" s="16" t="str">
        <x:v>text_en</x:v>
      </x:c>
      <x:c r="E1" s="16" t="str">
        <x:v>text_tr</x:v>
      </x:c>
      <x:c r="F1" s="5" t="str">
        <x:v>finbert_label</x:v>
      </x:c>
      <x:c r="G1" s="5" t="str">
        <x:v>finbert_confidence</x:v>
      </x:c>
      <x:c r="H1" s="5" t="str">
        <x:v>chatgpt_label</x:v>
      </x:c>
      <x:c r="I1" s="5" t="str">
        <x:v>chatgpt_confidence</x:v>
      </x:c>
      <x:c r="J1" s="16" t="str">
        <x:v>chatgpt_reason_tr</x:v>
      </x:c>
      <x:c r="K1" s="5" t="str">
        <x:v>final_label</x:v>
      </x:c>
      <x:c r="L1" s="5" t="str">
        <x:v>finbert_correctness</x:v>
      </x:c>
      <x:c r="M1" s="16" t="str">
        <x:v>finbert_correctness_note</x:v>
      </x:c>
      <x:c r="P1" s="5" t="str">
        <x:v>Özet</x:v>
      </x:c>
      <x:c r="Q1" s="5" t="str">
        <x:v>Değer</x:v>
      </x:c>
    </x:row>
    <x:row r="2">
      <x:c r="A2" s="32" t="str">
        <x:v>SP500_ANN_0011</x:v>
      </x:c>
      <x:c r="B2" s="32" t="str">
        <x:v>SP500_HEAD_016068</x:v>
      </x:c>
      <x:c r="C2" s="33" t="str">
        <x:v>2023-10-19</x:v>
      </x:c>
      <x:c r="D2" s="24" t="str">
        <x:v>Wall Street's 'Magnificent Seven' face moment of truth as earnings season arrives</x:v>
      </x:c>
      <x:c r="E2" s="24" t="str">
        <x:v>Wall Street'in 'Muhteşem Yedilisi', bilanço sezonu başlarken kritik bir sınavla karşı karşıya.</x:v>
      </x:c>
      <x:c r="F2" s="36" t="str">
        <x:v>neutral</x:v>
      </x:c>
      <x:c r="G2" s="37" t="n">
        <x:v>0.4971914291381836</x:v>
      </x:c>
      <x:c r="H2" s="36" t="str">
        <x:v>neutral</x:v>
      </x:c>
      <x:c r="I2" s="36" t="str">
        <x:v>medium</x:v>
      </x:c>
      <x:c r="J2" s="24" t="str">
        <x:v>Bilanço sezonu öncesi belirsizlik ve kritik eşik vurgusu var; net olumlu veya olumsuz piyasa yönü verilmemiş.</x:v>
      </x:c>
      <x:c r="K2" s="36" t="str">
        <x:v>neutral</x:v>
      </x:c>
      <x:c r="L2" s="36" t="str">
        <x:f>IF(F2=K2,"doğru","yanlış")</x:f>
        <x:v>doğru</x:v>
      </x:c>
      <x:c r="M2" s="24" t="str">
        <x:v>FinBERT neutral diyerek genel olarak doğru; güveni düşük olduğu için başlık da sınırda/kararsız.</x:v>
      </x:c>
      <x:c r="P2" t="str">
        <x:v>Toplam örnek</x:v>
      </x:c>
      <x:c r="Q2" t="n">
        <x:f>COUNTA(A2:A11)</x:f>
        <x:v>10</x:v>
      </x:c>
    </x:row>
    <x:row r="3">
      <x:c r="A3" s="32" t="str">
        <x:v>SP500_ANN_0012</x:v>
      </x:c>
      <x:c r="B3" s="32" t="str">
        <x:v>SP500_HEAD_017427</x:v>
      </x:c>
      <x:c r="C3" s="33" t="str">
        <x:v>2024-01-25</x:v>
      </x:c>
      <x:c r="D3" s="24" t="str">
        <x:v>S&amp;P 500 valuations rise on hopes of fairy tale end to inflation fight</x:v>
      </x:c>
      <x:c r="E3" s="24" t="str">
        <x:v>S&amp;P 500 değerlemeleri, enflasyonla mücadelenin olumlu/masalsı bir sonla biteceği umutlarıyla yükseliyor.</x:v>
      </x:c>
      <x:c r="F3" s="36" t="str">
        <x:v>positive</x:v>
      </x:c>
      <x:c r="G3" s="37" t="n">
        <x:v>0.46868422627449036</x:v>
      </x:c>
      <x:c r="H3" s="36" t="str">
        <x:v>positive</x:v>
      </x:c>
      <x:c r="I3" s="36" t="str">
        <x:v>medium</x:v>
      </x:c>
      <x:c r="J3" s="24" t="str">
        <x:v>Değerlemelerin umutlarla yükselmesi piyasa açısından olumlu sinyal taşıyor; ancak 'hopes' beklenti olduğu için güven orta.</x:v>
      </x:c>
      <x:c r="K3" s="36" t="str">
        <x:v>positive</x:v>
      </x:c>
      <x:c r="L3" s="36" t="str">
        <x:f>IF(F3=K3,"doğru","yanlış")</x:f>
        <x:v>doğru</x:v>
      </x:c>
      <x:c r="M3" s="24" t="str">
        <x:v>FinBERT positive diyerek doğru; düşük confidence haberin beklenti/umut dilinden kaynaklanıyor olabilir.</x:v>
      </x:c>
      <x:c r="P3" t="str">
        <x:v>FinBERT doğru</x:v>
      </x:c>
      <x:c r="Q3" t="n">
        <x:f>COUNTIF(L2:L11,"doğru")</x:f>
        <x:v>9</x:v>
      </x:c>
    </x:row>
    <x:row r="4">
      <x:c r="A4" s="32" t="str">
        <x:v>SP500_ANN_0013</x:v>
      </x:c>
      <x:c r="B4" s="32" t="str">
        <x:v>SP500_HEAD_014538</x:v>
      </x:c>
      <x:c r="C4" s="33" t="str">
        <x:v>2023-07-03</x:v>
      </x:c>
      <x:c r="D4" s="24" t="str">
        <x:v>Stock Market Today: Dow, S&amp;P Live Updates for July 4</x:v>
      </x:c>
      <x:c r="E4" s="24" t="str">
        <x:v>Bugünkü borsa: Dow ve S&amp;P için 4 Temmuz canlı güncellemeleri.</x:v>
      </x:c>
      <x:c r="F4" s="36" t="str">
        <x:v>neutral</x:v>
      </x:c>
      <x:c r="G4" s="37" t="n">
        <x:v>0.9233072996139526</x:v>
      </x:c>
      <x:c r="H4" s="36" t="str">
        <x:v>neutral</x:v>
      </x:c>
      <x:c r="I4" s="36" t="str">
        <x:v>high</x:v>
      </x:c>
      <x:c r="J4" s="24" t="str">
        <x:v>Sadece canlı güncelleme başlığı; net olumlu veya olumsuz finansal sinyal yok.</x:v>
      </x:c>
      <x:c r="K4" s="36" t="str">
        <x:v>neutral</x:v>
      </x:c>
      <x:c r="L4" s="36" t="str">
        <x:f>IF(F4=K4,"doğru","yanlış")</x:f>
        <x:v>doğru</x:v>
      </x:c>
      <x:c r="M4" s="24" t="str">
        <x:v>FinBERT doğru; başlık bilgilendirici ve yönsüz.</x:v>
      </x:c>
      <x:c r="P4" t="str">
        <x:v>FinBERT yanlış</x:v>
      </x:c>
      <x:c r="Q4" t="n">
        <x:f>COUNTIF(L2:L11,"yanlış")</x:f>
        <x:v>1</x:v>
      </x:c>
    </x:row>
    <x:row r="5">
      <x:c r="A5" s="32" t="str">
        <x:v>SP500_ANN_0014</x:v>
      </x:c>
      <x:c r="B5" s="32" t="str">
        <x:v>SP500_HEAD_013292</x:v>
      </x:c>
      <x:c r="C5" s="33" t="str">
        <x:v>2023-03-20</x:v>
      </x:c>
      <x:c r="D5" s="24" t="str">
        <x:v>Wall St ends higher as bank contagion fears ease, Fed eyed</x:v>
      </x:c>
      <x:c r="E5" s="24" t="str">
        <x:v>Wall Street, banka krizinin yayılma korkuları azalırken ve Fed izlenirken yükselişle kapandı.</x:v>
      </x:c>
      <x:c r="F5" s="36" t="str">
        <x:v>positive</x:v>
      </x:c>
      <x:c r="G5" s="37" t="n">
        <x:v>0.6453753709793091</x:v>
      </x:c>
      <x:c r="H5" s="36" t="str">
        <x:v>positive</x:v>
      </x:c>
      <x:c r="I5" s="36" t="str">
        <x:v>high</x:v>
      </x:c>
      <x:c r="J5" s="24" t="str">
        <x:v>Piyasanın yükselişle kapanması ve banka bulaşma korkularının azalması açık olumlu piyasa sinyali.</x:v>
      </x:c>
      <x:c r="K5" s="36" t="str">
        <x:v>positive</x:v>
      </x:c>
      <x:c r="L5" s="36" t="str">
        <x:f>IF(F5=K5,"doğru","yanlış")</x:f>
        <x:v>doğru</x:v>
      </x:c>
      <x:c r="M5" s="24" t="str">
        <x:v>FinBERT doğru.</x:v>
      </x:c>
      <x:c r="P5" t="str">
        <x:v>Doğruluk oranı</x:v>
      </x:c>
      <x:c r="Q5" s="14" t="n">
        <x:f>Q3/Q2</x:f>
        <x:v>0.9</x:v>
      </x:c>
    </x:row>
    <x:row r="6">
      <x:c r="A6" s="32" t="str">
        <x:v>SP500_ANN_0015</x:v>
      </x:c>
      <x:c r="B6" s="32" t="str">
        <x:v>SP500_HEAD_016658</x:v>
      </x:c>
      <x:c r="C6" s="33" t="str">
        <x:v>2023-11-29</x:v>
      </x:c>
      <x:c r="D6" s="24" t="str">
        <x:v>S&amp;P 500 Gains and Losses Today: NetApp and GM Rise; Hormel and Las Vegas Sands Fall</x:v>
      </x:c>
      <x:c r="E6" s="24" t="str">
        <x:v>Bugünkü S&amp;P 500 kazanç ve kayıpları: NetApp ve GM yükseldi; Hormel ve Las Vegas Sands düştü.</x:v>
      </x:c>
      <x:c r="F6" s="36" t="str">
        <x:v>negative</x:v>
      </x:c>
      <x:c r="G6" s="37" t="n">
        <x:v>0.8230924010276794</x:v>
      </x:c>
      <x:c r="H6" s="36" t="str">
        <x:v>neutral</x:v>
      </x:c>
      <x:c r="I6" s="36" t="str">
        <x:v>high</x:v>
      </x:c>
      <x:c r="J6" s="24" t="str">
        <x:v>Başlık hem yükselen hem düşen hisseleri birlikte veriyor; karışık sinyal olduğu için genel piyasa sentiment'i nötr.</x:v>
      </x:c>
      <x:c r="K6" s="36" t="str">
        <x:v>neutral</x:v>
      </x:c>
      <x:c r="L6" s="36" t="str">
        <x:f>IF(F6=K6,"doğru","yanlış")</x:f>
        <x:v>yanlış</x:v>
      </x:c>
      <x:c r="M6" s="24" t="str">
        <x:v>FinBERT negative diyerek yanlış; 'fall/losses' kelimelerine ağırlık vermiş olabilir, ancak başlık karışık ve nötr.</x:v>
      </x:c>
    </x:row>
    <x:row r="7">
      <x:c r="A7" s="32" t="str">
        <x:v>SP500_ANN_0016</x:v>
      </x:c>
      <x:c r="B7" s="32" t="str">
        <x:v>SP500_HEAD_014043</x:v>
      </x:c>
      <x:c r="C7" s="33" t="str">
        <x:v>2023-05-25</x:v>
      </x:c>
      <x:c r="D7" s="24" t="str">
        <x:v>The S&amp;P 500 is up almost 8% in the first 100 trading days of the year. That bodes well for the rest of 2023</x:v>
      </x:c>
      <x:c r="E7" s="24" t="str">
        <x:v>S&amp;P 500 yılın ilk 100 işlem gününde neredeyse %8 yükseldi; bu 2023'ün geri kalanı için olumlu sinyal veriyor.</x:v>
      </x:c>
      <x:c r="F7" s="36" t="str">
        <x:v>positive</x:v>
      </x:c>
      <x:c r="G7" s="37" t="n">
        <x:v>0.9463200569152832</x:v>
      </x:c>
      <x:c r="H7" s="36" t="str">
        <x:v>positive</x:v>
      </x:c>
      <x:c r="I7" s="36" t="str">
        <x:v>high</x:v>
      </x:c>
      <x:c r="J7" s="24" t="str">
        <x:v>S&amp;P 500'ün güçlü yükselişi ve bunun yılın kalanı için iyiye işaret ettiğinin belirtilmesi açık pozitif sinyal.</x:v>
      </x:c>
      <x:c r="K7" s="36" t="str">
        <x:v>positive</x:v>
      </x:c>
      <x:c r="L7" s="36" t="str">
        <x:f>IF(F7=K7,"doğru","yanlış")</x:f>
        <x:v>doğru</x:v>
      </x:c>
      <x:c r="M7" s="24" t="str">
        <x:v>FinBERT doğru.</x:v>
      </x:c>
    </x:row>
    <x:row r="8">
      <x:c r="A8" s="32" t="str">
        <x:v>SP500_ANN_0017</x:v>
      </x:c>
      <x:c r="B8" s="32" t="str">
        <x:v>SP500_HEAD_012132</x:v>
      </x:c>
      <x:c r="C8" s="33" t="str">
        <x:v>2022-11-28</x:v>
      </x:c>
      <x:c r="D8" s="24" t="str">
        <x:v>SDOG Maintains Significant Lead Over S&amp;P 500</x:v>
      </x:c>
      <x:c r="E8" s="24" t="str">
        <x:v>SDOG, S&amp;P 500 karşısındaki belirgin üstünlüğünü koruyor.</x:v>
      </x:c>
      <x:c r="F8" s="36" t="str">
        <x:v>positive</x:v>
      </x:c>
      <x:c r="G8" s="37" t="n">
        <x:v>0.8979278206825256</x:v>
      </x:c>
      <x:c r="H8" s="36" t="str">
        <x:v>positive</x:v>
      </x:c>
      <x:c r="I8" s="36" t="str">
        <x:v>medium</x:v>
      </x:c>
      <x:c r="J8" s="24" t="str">
        <x:v>Bir varlığın S&amp;P 500'e karşı üstünlüğünü sürdürmesi ilgili varlık açısından olumlu; genel piyasa açısından hedef biraz belirsiz olduğu için güven orta.</x:v>
      </x:c>
      <x:c r="K8" s="36" t="str">
        <x:v>positive</x:v>
      </x:c>
      <x:c r="L8" s="36" t="str">
        <x:f>IF(F8=K8,"doğru","yanlış")</x:f>
        <x:v>doğru</x:v>
      </x:c>
      <x:c r="M8" s="24" t="str">
        <x:v>FinBERT doğru kabul edildi; ancak başlık S&amp;P 500 genelinden çok SDOG performansına odaklı.</x:v>
      </x:c>
    </x:row>
    <x:row r="9">
      <x:c r="A9" s="32" t="str">
        <x:v>SP500_ANN_0018</x:v>
      </x:c>
      <x:c r="B9" s="32" t="str">
        <x:v>SP500_HEAD_002339</x:v>
      </x:c>
      <x:c r="C9" s="33" t="str">
        <x:v>2013-10-31</x:v>
      </x:c>
      <x:c r="D9" s="24" t="str">
        <x:v>Happiness at work: Why money isn’t the only thing that matters</x:v>
      </x:c>
      <x:c r="E9" s="24" t="str">
        <x:v>İş yerinde mutluluk: Para neden önemli olan tek şey değil.</x:v>
      </x:c>
      <x:c r="F9" s="36" t="str">
        <x:v>neutral</x:v>
      </x:c>
      <x:c r="G9" s="37" t="n">
        <x:v>0.8804752230644226</x:v>
      </x:c>
      <x:c r="H9" s="36" t="str">
        <x:v>neutral</x:v>
      </x:c>
      <x:c r="I9" s="36" t="str">
        <x:v>high</x:v>
      </x:c>
      <x:c r="J9" s="24" t="str">
        <x:v>Genel iş/yaşam veya yönetim temalı bir başlık; net finansal piyasa yönü yok.</x:v>
      </x:c>
      <x:c r="K9" s="36" t="str">
        <x:v>neutral</x:v>
      </x:c>
      <x:c r="L9" s="36" t="str">
        <x:f>IF(F9=K9,"doğru","yanlış")</x:f>
        <x:v>doğru</x:v>
      </x:c>
      <x:c r="M9" s="24" t="str">
        <x:v>FinBERT doğru.</x:v>
      </x:c>
    </x:row>
    <x:row r="10">
      <x:c r="A10" s="32" t="str">
        <x:v>SP500_ANN_0019</x:v>
      </x:c>
      <x:c r="B10" s="32" t="str">
        <x:v>SP500_HEAD_005616</x:v>
      </x:c>
      <x:c r="C10" s="33" t="str">
        <x:v>2018-01-02</x:v>
      </x:c>
      <x:c r="D10" s="24" t="str">
        <x:v>These S&amp;P 500 Stocks Got Cut in Half in 2017</x:v>
      </x:c>
      <x:c r="E10" s="24" t="str">
        <x:v>2017'de yarı yarıya değer kaybeden S&amp;P 500 hisseleri.</x:v>
      </x:c>
      <x:c r="F10" s="36" t="str">
        <x:v>negative</x:v>
      </x:c>
      <x:c r="G10" s="37" t="n">
        <x:v>0.9566951394081116</x:v>
      </x:c>
      <x:c r="H10" s="36" t="str">
        <x:v>negative</x:v>
      </x:c>
      <x:c r="I10" s="36" t="str">
        <x:v>high</x:v>
      </x:c>
      <x:c r="J10" s="24" t="str">
        <x:v>Hisselerin değerinin yarıya düşmesi açık olumsuz finansal sinyal.</x:v>
      </x:c>
      <x:c r="K10" s="36" t="str">
        <x:v>negative</x:v>
      </x:c>
      <x:c r="L10" s="36" t="str">
        <x:f>IF(F10=K10,"doğru","yanlış")</x:f>
        <x:v>doğru</x:v>
      </x:c>
      <x:c r="M10" s="24" t="str">
        <x:v>FinBERT doğru.</x:v>
      </x:c>
    </x:row>
    <x:row r="11">
      <x:c r="A11" s="32" t="str">
        <x:v>SP500_ANN_0020</x:v>
      </x:c>
      <x:c r="B11" s="32" t="str">
        <x:v>SP500_HEAD_013793</x:v>
      </x:c>
      <x:c r="C11" s="33" t="str">
        <x:v>2023-05-08</x:v>
      </x:c>
      <x:c r="D11" s="24" t="str">
        <x:v>US Market Opening: Dow Jones, S&amp;P 500 fall as investors await inflation results</x:v>
      </x:c>
      <x:c r="E11" s="24" t="str">
        <x:v>ABD piyasa açılışı: Dow Jones ve S&amp;P 500, yatırımcılar enflasyon sonuçlarını beklerken düşüyor.</x:v>
      </x:c>
      <x:c r="F11" s="36" t="str">
        <x:v>negative</x:v>
      </x:c>
      <x:c r="G11" s="37" t="n">
        <x:v>0.9430985450744629</x:v>
      </x:c>
      <x:c r="H11" s="36" t="str">
        <x:v>negative</x:v>
      </x:c>
      <x:c r="I11" s="36" t="str">
        <x:v>high</x:v>
      </x:c>
      <x:c r="J11" s="24" t="str">
        <x:v>Dow Jones ve S&amp;P 500'ün düşmesi açık negatif piyasa sinyali.</x:v>
      </x:c>
      <x:c r="K11" s="36" t="str">
        <x:v>negative</x:v>
      </x:c>
      <x:c r="L11" s="36" t="str">
        <x:f>IF(F11=K11,"doğru","yanlış")</x:f>
        <x:v>doğru</x:v>
      </x:c>
      <x:c r="M11" s="24" t="str">
        <x:v>FinBERT doğru.</x:v>
      </x:c>
    </x:row>
  </x:sheetData>
  <x:conditionalFormatting sqref="L2:L11">
    <x:cfRule type="expression" dxfId="0" priority="1">
      <x:formula>L2="doğru"</x:formula>
    </x:cfRule>
    <x:cfRule type="expression" dxfId="1" priority="2">
      <x:formula>L2="yanlış"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ce820d27704a47"/>
  </x:tableParts>
</x:worksheet>
</file>