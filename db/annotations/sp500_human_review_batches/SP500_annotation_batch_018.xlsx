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6aa4127e9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" sheetId="1" r:id="R884647224ba4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75623"/>
      </x:patternFill>
    </x:fill>
  </x:fills>
  <x:borders count="20">
    <x:border/>
    <x:border/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1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horizontal="center" vertical="top" wrapText="1"/>
    </x:xf>
    <x:xf numFmtId="0" fontId="1" fillId="3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5ff29ad70c412b" /><Relationship Type="http://schemas.openxmlformats.org/officeDocument/2006/relationships/theme" Target="/xl/theme/theme1.xml" Id="R86757148fede4529" /><Relationship Type="http://schemas.openxmlformats.org/officeDocument/2006/relationships/sharedStrings" Target="/xl/sharedStrings.xml" Id="R70ed7f02fef54f62" /><Relationship Type="http://schemas.openxmlformats.org/officeDocument/2006/relationships/worksheet" Target="/xl/worksheets/sheet1.xml" Id="R884647224ba442c7" /></Relationships>
</file>

<file path=xl/tables/table1.xml><?xml version="1.0" encoding="utf-8"?>
<x:table xmlns:x="http://schemas.openxmlformats.org/spreadsheetml/2006/main" id="1" name="AnnotationTable018" displayName="AnnotationTable018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3560e3f74448a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4" hidden="0" customWidth="1"/>
    <x:col min="5" max="5" width="44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28" t="str">
        <x:v>annotation_id</x:v>
      </x:c>
      <x:c r="B1" s="29" t="str">
        <x:v>sample_id</x:v>
      </x:c>
      <x:c r="C1" s="29" t="str">
        <x:v>date</x:v>
      </x:c>
      <x:c r="D1" s="29" t="str">
        <x:v>text_en</x:v>
      </x:c>
      <x:c r="E1" s="29" t="str">
        <x:v>text_tr</x:v>
      </x:c>
      <x:c r="F1" s="29" t="str">
        <x:v>finbert_label</x:v>
      </x:c>
      <x:c r="G1" s="29" t="str">
        <x:v>finbert_confidence</x:v>
      </x:c>
      <x:c r="H1" s="29" t="str">
        <x:v>chatgpt_label</x:v>
      </x:c>
      <x:c r="I1" s="29" t="str">
        <x:v>chatgpt_confidence</x:v>
      </x:c>
      <x:c r="J1" s="29" t="str">
        <x:v>chatgpt_reason_tr</x:v>
      </x:c>
      <x:c r="K1" s="29" t="str">
        <x:v>finbert_correctness</x:v>
      </x:c>
      <x:c r="L1" s="29" t="str">
        <x:v>finbert_correctness_note</x:v>
      </x:c>
      <x:c r="M1" s="30" t="str"/>
      <x:c r="N1" s="31" t="str">
        <x:v>Özet</x:v>
      </x:c>
      <x:c r="O1" s="32" t="str">
        <x:v>Değer</x:v>
      </x:c>
    </x:row>
    <x:row r="2" ht="58" customHeight="1">
      <x:c r="A2" s="33" t="str">
        <x:v>SP500_ANN_0171</x:v>
      </x:c>
      <x:c r="B2" s="34" t="str">
        <x:v>SP500_HEAD_011330</x:v>
      </x:c>
      <x:c r="C2" s="50" t="n">
        <x:v>44757</x:v>
      </x:c>
      <x:c r="D2" s="34" t="str">
        <x:v>Why GameStop Stock Is Outperforming the S&amp;P 500 In 2022</x:v>
      </x:c>
      <x:c r="E2" s="34" t="str">
        <x:v>GameStop hissesi 2022'de neden S&amp;P 500'den daha iyi performans gösteriyor?</x:v>
      </x:c>
      <x:c r="F2" s="34" t="str">
        <x:v>negative</x:v>
      </x:c>
      <x:c r="G2" s="54" t="n">
        <x:v>0.592</x:v>
      </x:c>
      <x:c r="H2" s="34" t="str">
        <x:v>positive</x:v>
      </x:c>
      <x:c r="I2" s="34" t="str">
        <x:v>high</x:v>
      </x:c>
      <x:c r="J2" s="34" t="str">
        <x:v>S&amp;P 500'ü aşan performans olumlu hisse sinyali.</x:v>
      </x:c>
      <x:c r="K2" s="34" t="str">
        <x:v>wrong</x:v>
      </x:c>
      <x:c r="L2" s="34" t="str">
        <x:v>FinBERT negative demiş; final etiket positive.</x:v>
      </x:c>
      <x:c r="M2" s="34" t="str"/>
      <x:c r="N2" s="34" t="str">
        <x:v>Toplam örnek</x:v>
      </x:c>
      <x:c r="O2" s="35" t="n">
        <x:f>COUNTA(A2:A11)</x:f>
        <x:v>10</x:v>
      </x:c>
    </x:row>
    <x:row r="3" ht="58" customHeight="1">
      <x:c r="A3" s="33" t="str">
        <x:v>SP500_ANN_0172</x:v>
      </x:c>
      <x:c r="B3" s="34" t="str">
        <x:v>SP500_HEAD_017847</x:v>
      </x:c>
      <x:c r="C3" s="50" t="n">
        <x:v>45351</x:v>
      </x:c>
      <x:c r="D3" s="34" t="str">
        <x:v>Nasdaq notches first record high close since 2021</x:v>
      </x:c>
      <x:c r="E3" s="34" t="str">
        <x:v>Nasdaq 2021'den bu yana ilk rekor kapanışını yaptı.</x:v>
      </x:c>
      <x:c r="F3" s="34" t="str">
        <x:v>positive</x:v>
      </x:c>
      <x:c r="G3" s="54" t="n">
        <x:v>0.809</x:v>
      </x:c>
      <x:c r="H3" s="34" t="str">
        <x:v>positive</x:v>
      </x:c>
      <x:c r="I3" s="34" t="str">
        <x:v>high</x:v>
      </x:c>
      <x:c r="J3" s="34" t="str">
        <x:v>Rekor kapanış açık pozitif piyasa sinyali.</x:v>
      </x:c>
      <x:c r="K3" s="34" t="str">
        <x:v>correct</x:v>
      </x:c>
      <x:c r="L3" s="34" t="str">
        <x:v>FinBERT etiketi final etiket ile aynı.</x:v>
      </x:c>
      <x:c r="M3" s="34" t="str"/>
      <x:c r="N3" s="34" t="str">
        <x:v>FinBERT doğru</x:v>
      </x:c>
      <x:c r="O3" s="35" t="n">
        <x:f>COUNTIF(K2:K11,"correct")</x:f>
        <x:v>7</x:v>
      </x:c>
    </x:row>
    <x:row r="4" ht="58" customHeight="1">
      <x:c r="A4" s="33" t="str">
        <x:v>SP500_ANN_0173</x:v>
      </x:c>
      <x:c r="B4" s="34" t="str">
        <x:v>SP500_HEAD_008337</x:v>
      </x:c>
      <x:c r="C4" s="50" t="n">
        <x:v>44076</x:v>
      </x:c>
      <x:c r="D4" s="34" t="str">
        <x:v>Want Stock Market Gains but Hate Risk? Buffer Annuities May Be for You</x:v>
      </x:c>
      <x:c r="E4" s="34" t="str">
        <x:v>Borsa kazancı istiyor ama riskten hoşlanmıyor musunuz? Koruma annüiteleri size uygun olabilir.</x:v>
      </x:c>
      <x:c r="F4" s="34" t="str">
        <x:v>neutral</x:v>
      </x:c>
      <x:c r="G4" s="54" t="n">
        <x:v>0.924</x:v>
      </x:c>
      <x:c r="H4" s="34" t="str">
        <x:v>neutral</x:v>
      </x:c>
      <x:c r="I4" s="34" t="str">
        <x:v>high</x:v>
      </x:c>
      <x:c r="J4" s="34" t="str">
        <x:v>Yatırım ürünü önerisi/rehberi; net piyasa yönü yok.</x:v>
      </x:c>
      <x:c r="K4" s="34" t="str">
        <x:v>correct</x:v>
      </x:c>
      <x:c r="L4" s="34" t="str">
        <x:v>FinBERT etiketi final etiket ile aynı.</x:v>
      </x:c>
      <x:c r="M4" s="34" t="str"/>
      <x:c r="N4" s="34" t="str">
        <x:v>FinBERT yanlış</x:v>
      </x:c>
      <x:c r="O4" s="35" t="n">
        <x:f>COUNTIF(K2:K11,"wrong")</x:f>
        <x:v>3</x:v>
      </x:c>
    </x:row>
    <x:row r="5" ht="58" customHeight="1">
      <x:c r="A5" s="33" t="str">
        <x:v>SP500_ANN_0174</x:v>
      </x:c>
      <x:c r="B5" s="34" t="str">
        <x:v>SP500_HEAD_008362</x:v>
      </x:c>
      <x:c r="C5" s="50" t="n">
        <x:v>44082</x:v>
      </x:c>
      <x:c r="D5" s="34" t="str">
        <x:v>Biggest ESG Funds Are Outpacing the S&amp;P 500</x:v>
      </x:c>
      <x:c r="E5" s="34" t="str">
        <x:v>En büyük ESG fonları S&amp;P 500'ü geride bırakıyor.</x:v>
      </x:c>
      <x:c r="F5" s="34" t="str">
        <x:v>neutral</x:v>
      </x:c>
      <x:c r="G5" s="54" t="n">
        <x:v>0.776</x:v>
      </x:c>
      <x:c r="H5" s="34" t="str">
        <x:v>positive</x:v>
      </x:c>
      <x:c r="I5" s="34" t="str">
        <x:v>high</x:v>
      </x:c>
      <x:c r="J5" s="34" t="str">
        <x:v>S&amp;P 500'ü aşan fon performansı olumlu sinyal.</x:v>
      </x:c>
      <x:c r="K5" s="34" t="str">
        <x:v>wrong</x:v>
      </x:c>
      <x:c r="L5" s="34" t="str">
        <x:v>FinBERT neutral demiş; final etiket positive.</x:v>
      </x:c>
      <x:c r="M5" s="34" t="str"/>
      <x:c r="N5" s="34" t="str">
        <x:v>Doğruluk oranı</x:v>
      </x:c>
      <x:c r="O5" s="58" t="n">
        <x:f>O3/O2</x:f>
        <x:v>0.7</x:v>
      </x:c>
    </x:row>
    <x:row r="6" ht="58" customHeight="1">
      <x:c r="A6" s="33" t="str">
        <x:v>SP500_ANN_0175</x:v>
      </x:c>
      <x:c r="B6" s="34" t="str">
        <x:v>SP500_HEAD_016322</x:v>
      </x:c>
      <x:c r="C6" s="50" t="n">
        <x:v>45236</x:v>
      </x:c>
      <x:c r="D6" s="34" t="str">
        <x:v>Stock Market Outlook: Dismal October Points to 6-Month Rally in S&amp;P 500</x:v>
      </x:c>
      <x:c r="E6" s="34" t="str">
        <x:v>Borsa görünümü: Kasvetli Ekim, S&amp;P 500'de 6 aylık ralliye işaret ediyor.</x:v>
      </x:c>
      <x:c r="F6" s="34" t="str">
        <x:v>negative</x:v>
      </x:c>
      <x:c r="G6" s="54" t="n">
        <x:v>0.973</x:v>
      </x:c>
      <x:c r="H6" s="34" t="str">
        <x:v>positive</x:v>
      </x:c>
      <x:c r="I6" s="34" t="str">
        <x:v>medium</x:v>
      </x:c>
      <x:c r="J6" s="34" t="str">
        <x:v>Dismal Ekim ifadesine rağmen S&amp;P 500 için ralli beklentisi baskın pozitif.</x:v>
      </x:c>
      <x:c r="K6" s="34" t="str">
        <x:v>wrong</x:v>
      </x:c>
      <x:c r="L6" s="34" t="str">
        <x:v>FinBERT negative demiş; final etiket positive.</x:v>
      </x:c>
      <x:c r="M6" s="34" t="str"/>
      <x:c r="N6" s="34"/>
      <x:c r="O6" s="35"/>
    </x:row>
    <x:row r="7" ht="58" customHeight="1">
      <x:c r="A7" s="33" t="str">
        <x:v>SP500_ANN_0176</x:v>
      </x:c>
      <x:c r="B7" s="34" t="str">
        <x:v>SP500_HEAD_012431</x:v>
      </x:c>
      <x:c r="C7" s="50" t="n">
        <x:v>44929</x:v>
      </x:c>
      <x:c r="D7" s="34" t="str">
        <x:v>Tesla shares suffer New Year's hangover on demand worries, delivery issues</x:v>
      </x:c>
      <x:c r="E7" s="34" t="str">
        <x:v>Tesla hisseleri talep endişeleri ve teslimat sorunları nedeniyle yeni yıl sersemliği yaşıyor.</x:v>
      </x:c>
      <x:c r="F7" s="34" t="str">
        <x:v>negative</x:v>
      </x:c>
      <x:c r="G7" s="54" t="n">
        <x:v>0.961</x:v>
      </x:c>
      <x:c r="H7" s="34" t="str">
        <x:v>negative</x:v>
      </x:c>
      <x:c r="I7" s="34" t="str">
        <x:v>high</x:v>
      </x:c>
      <x:c r="J7" s="34" t="str">
        <x:v>Talep ve teslimat sorunları hisse için açık negatif sinyal.</x:v>
      </x:c>
      <x:c r="K7" s="34" t="str">
        <x:v>correct</x:v>
      </x:c>
      <x:c r="L7" s="34" t="str">
        <x:v>FinBERT etiketi final etiket ile aynı.</x:v>
      </x:c>
      <x:c r="M7" s="34" t="str"/>
      <x:c r="N7" s="34"/>
      <x:c r="O7" s="35"/>
    </x:row>
    <x:row r="8" ht="58" customHeight="1">
      <x:c r="A8" s="33" t="str">
        <x:v>SP500_ANN_0177</x:v>
      </x:c>
      <x:c r="B8" s="34" t="str">
        <x:v>SP500_HEAD_014838</x:v>
      </x:c>
      <x:c r="C8" s="50" t="n">
        <x:v>45131</x:v>
      </x:c>
      <x:c r="D8" s="34" t="str">
        <x:v>Stocks Rise To Kick Off Big Week of Earnings, Fed Decision</x:v>
      </x:c>
      <x:c r="E8" s="34" t="str">
        <x:v>Hisseler büyük bilanço ve Fed kararı haftasına yükselişle başladı.</x:v>
      </x:c>
      <x:c r="F8" s="34" t="str">
        <x:v>positive</x:v>
      </x:c>
      <x:c r="G8" s="54" t="n">
        <x:v>0.644</x:v>
      </x:c>
      <x:c r="H8" s="34" t="str">
        <x:v>positive</x:v>
      </x:c>
      <x:c r="I8" s="34" t="str">
        <x:v>high</x:v>
      </x:c>
      <x:c r="J8" s="34" t="str">
        <x:v>Hisselerin haftaya yükselişle başlaması pozitif piyasa sinyali.</x:v>
      </x:c>
      <x:c r="K8" s="34" t="str">
        <x:v>correct</x:v>
      </x:c>
      <x:c r="L8" s="34" t="str">
        <x:v>FinBERT etiketi final etiket ile aynı.</x:v>
      </x:c>
      <x:c r="M8" s="34" t="str"/>
      <x:c r="N8" s="34"/>
      <x:c r="O8" s="35"/>
    </x:row>
    <x:row r="9" ht="58" customHeight="1">
      <x:c r="A9" s="33" t="str">
        <x:v>SP500_ANN_0178</x:v>
      </x:c>
      <x:c r="B9" s="34" t="str">
        <x:v>SP500_HEAD_006084</x:v>
      </x:c>
      <x:c r="C9" s="50" t="n">
        <x:v>43322</x:v>
      </x:c>
      <x:c r="D9" s="34" t="str">
        <x:v>Two Factors That Actually Predict S&amp;P 500 Performance, And What They Show Today</x:v>
      </x:c>
      <x:c r="E9" s="34" t="str">
        <x:v>S&amp;P 500 performansını gerçekten tahmin eden iki faktör ve bugün ne gösterdikleri.</x:v>
      </x:c>
      <x:c r="F9" s="34" t="str">
        <x:v>neutral</x:v>
      </x:c>
      <x:c r="G9" s="54" t="n">
        <x:v>0.914</x:v>
      </x:c>
      <x:c r="H9" s="34" t="str">
        <x:v>neutral</x:v>
      </x:c>
      <x:c r="I9" s="34" t="str">
        <x:v>high</x:v>
      </x:c>
      <x:c r="J9" s="34" t="str">
        <x:v>Analiz başlığı; başlık tek başına net yön vermiyor.</x:v>
      </x:c>
      <x:c r="K9" s="34" t="str">
        <x:v>correct</x:v>
      </x:c>
      <x:c r="L9" s="34" t="str">
        <x:v>FinBERT etiketi final etiket ile aynı.</x:v>
      </x:c>
      <x:c r="M9" s="34" t="str"/>
      <x:c r="N9" s="34"/>
      <x:c r="O9" s="35"/>
    </x:row>
    <x:row r="10" ht="58" customHeight="1">
      <x:c r="A10" s="33" t="str">
        <x:v>SP500_ANN_0179</x:v>
      </x:c>
      <x:c r="B10" s="34" t="str">
        <x:v>SP500_HEAD_015807</x:v>
      </x:c>
      <x:c r="C10" s="50" t="n">
        <x:v>45202</x:v>
      </x:c>
      <x:c r="D10" s="34" t="str">
        <x:v>Utilities stocks 'decimated' by rising rates fall into uncommon trading territory, Bespoke chart shows</x:v>
      </x:c>
      <x:c r="E10" s="34" t="str">
        <x:v>Bespoke grafiğine göre, yükselen faizlerle 'ezilen' kamu hizmetleri hisseleri nadir bir işlem bölgesine düştü.</x:v>
      </x:c>
      <x:c r="F10" s="34" t="str">
        <x:v>negative</x:v>
      </x:c>
      <x:c r="G10" s="54" t="n">
        <x:v>0.945</x:v>
      </x:c>
      <x:c r="H10" s="34" t="str">
        <x:v>negative</x:v>
      </x:c>
      <x:c r="I10" s="34" t="str">
        <x:v>high</x:v>
      </x:c>
      <x:c r="J10" s="34" t="str">
        <x:v>Hisselerin ezilmesi ve düşüş bölgesi negatif sinyal.</x:v>
      </x:c>
      <x:c r="K10" s="34" t="str">
        <x:v>correct</x:v>
      </x:c>
      <x:c r="L10" s="34" t="str">
        <x:v>FinBERT etiketi final etiket ile aynı.</x:v>
      </x:c>
      <x:c r="M10" s="34" t="str"/>
      <x:c r="N10" s="34"/>
      <x:c r="O10" s="35"/>
    </x:row>
    <x:row r="11" ht="58" customHeight="1">
      <x:c r="A11" s="36" t="str">
        <x:v>SP500_ANN_0180</x:v>
      </x:c>
      <x:c r="B11" s="37" t="str">
        <x:v>SP500_HEAD_008682</x:v>
      </x:c>
      <x:c r="C11" s="51" t="n">
        <x:v>44159</x:v>
      </x:c>
      <x:c r="D11" s="37" t="str">
        <x:v>Tesla hits $500 billion mark after soaring 547% this year</x:v>
      </x:c>
      <x:c r="E11" s="37" t="str">
        <x:v>Tesla bu yıl %547 yükseldikten sonra 500 milyar dolar değerine ulaştı.</x:v>
      </x:c>
      <x:c r="F11" s="37" t="str">
        <x:v>positive</x:v>
      </x:c>
      <x:c r="G11" s="55" t="n">
        <x:v>0.93</x:v>
      </x:c>
      <x:c r="H11" s="37" t="str">
        <x:v>positive</x:v>
      </x:c>
      <x:c r="I11" s="37" t="str">
        <x:v>high</x:v>
      </x:c>
      <x:c r="J11" s="37" t="str">
        <x:v>Büyük değer artışı ve güçlü yükseliş açık pozitif sinyal.</x:v>
      </x:c>
      <x:c r="K11" s="37" t="str">
        <x:v>correct</x:v>
      </x:c>
      <x:c r="L11" s="37" t="str">
        <x:v>FinBERT etiketi final etiket ile aynı.</x:v>
      </x:c>
      <x:c r="M11" s="37" t="str"/>
      <x:c r="N11" s="37"/>
      <x:c r="O11" s="38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conditionalFormatting sqref="H2:H11">
    <x:cfRule type="expression" dxfId="2" priority="3">
      <x:formula>H2="positive"</x:formula>
    </x:cfRule>
    <x:cfRule type="expression" dxfId="3" priority="4">
      <x:formula>H2="negative"</x:formula>
    </x:cfRule>
    <x:cfRule type="expression" dxfId="4" priority="5">
      <x:formula>H2="neutral"</x:formula>
    </x:cfRule>
  </x:conditionalFormatting>
  <x:dataValidations count="3">
    <x:dataValidation type="list" sqref="H2:H11">
      <x:formula1>"positive,negative,neutral"</x:formula1>
    </x:dataValidation>
    <x:dataValidation type="list" sqref="I2:I11">
      <x:formula1>"high,medium,low"</x:formula1>
    </x:dataValidation>
    <x:dataValidation type="list" sqref="K2:K11">
      <x:formula1>"correct,wrong"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3560e3f74448a1"/>
  </x:tableParts>
</x:worksheet>
</file>