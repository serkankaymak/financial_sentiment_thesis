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a52b9c46b044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49a58fec608d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048c854d645b2" /><Relationship Type="http://schemas.openxmlformats.org/officeDocument/2006/relationships/theme" Target="/xl/theme/theme1.xml" Id="Rbaef24995b044ff7" /><Relationship Type="http://schemas.openxmlformats.org/officeDocument/2006/relationships/sharedStrings" Target="/xl/sharedStrings.xml" Id="R0dc09ba1c99f44fe" /><Relationship Type="http://schemas.openxmlformats.org/officeDocument/2006/relationships/worksheet" Target="/xl/worksheets/sheet1.xml" Id="R49a58fec608d4343" /></Relationships>
</file>

<file path=xl/tables/table1.xml><?xml version="1.0" encoding="utf-8"?>
<x:table xmlns:x="http://schemas.openxmlformats.org/spreadsheetml/2006/main" id="1" name="AnnotationTable" displayName="AnnotationTable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5a6dfbec7b46d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46" hidden="0" customWidth="1"/>
    <x:col min="5" max="5" width="46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6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4" customHeight="1">
      <x:c r="A1" s="14" t="str">
        <x:v>annotation_id</x:v>
      </x:c>
      <x:c r="B1" s="14" t="str">
        <x:v>sample_id</x:v>
      </x:c>
      <x:c r="C1" s="14" t="str">
        <x:v>date</x:v>
      </x:c>
      <x:c r="D1" s="14" t="str">
        <x:v>text_en</x:v>
      </x:c>
      <x:c r="E1" s="14" t="str">
        <x:v>text_tr</x:v>
      </x:c>
      <x:c r="F1" s="14" t="str">
        <x:v>finbert_label</x:v>
      </x:c>
      <x:c r="G1" s="14" t="str">
        <x:v>finbert_confidence</x:v>
      </x:c>
      <x:c r="H1" s="14" t="str">
        <x:v>chatgpt_label</x:v>
      </x:c>
      <x:c r="I1" s="14" t="str">
        <x:v>chatgpt_confidence</x:v>
      </x:c>
      <x:c r="J1" s="14" t="str">
        <x:v>chatgpt_reason_tr</x:v>
      </x:c>
      <x:c r="K1" s="14" t="str">
        <x:v>finbert_correctness</x:v>
      </x:c>
      <x:c r="L1" s="14" t="str">
        <x:v>finbert_correctness_note</x:v>
      </x:c>
      <x:c r="N1" s="14" t="str">
        <x:v>Özet</x:v>
      </x:c>
      <x:c r="O1" s="14" t="str">
        <x:v>Değer</x:v>
      </x:c>
    </x:row>
    <x:row r="2" ht="24" customHeight="1">
      <x:c r="A2" s="15" t="str">
        <x:v>SP500_ANN_0731</x:v>
      </x:c>
      <x:c r="B2" s="15" t="str">
        <x:v>SP500_HEAD_000037</x:v>
      </x:c>
      <x:c r="C2" s="15" t="str">
        <x:v>2008-04-24</x:v>
      </x:c>
      <x:c r="D2" s="15" t="str">
        <x:v>U.S. Stocks Fall On Economic Woes; Amazon Outlook Weighs</x:v>
      </x:c>
      <x:c r="E2" s="15" t="str">
        <x:v>Ekonomik kaygılar ve Amazon görünümü baskısıyla ABD hisseleri düştü.</x:v>
      </x:c>
      <x:c r="F2" s="15" t="str">
        <x:v>negative</x:v>
      </x:c>
      <x:c r="G2" s="18" t="n">
        <x:v>0.957</x:v>
      </x:c>
      <x:c r="H2" s="15" t="str">
        <x:v>negative</x:v>
      </x:c>
      <x:c r="I2" s="15" t="str">
        <x:v>high</x:v>
      </x:c>
      <x:c r="J2" s="15" t="str">
        <x:v>Hisseler düşüyor ve ekonomik kaygılar var.</x:v>
      </x:c>
      <x:c r="K2" s="15" t="str">
        <x:v>correct</x:v>
      </x:c>
      <x:c r="L2" s="15" t="str">
        <x:v>FinBERT etiketi final etiket ile aynı.</x:v>
      </x:c>
      <x:c r="N2" s="15" t="str">
        <x:v>Toplam örnek</x:v>
      </x:c>
      <x:c r="O2" s="15" t="n">
        <x:f>COUNTA(A2:A11)</x:f>
        <x:v>10</x:v>
      </x:c>
    </x:row>
    <x:row r="3" ht="24" customHeight="1">
      <x:c r="A3" s="15" t="str">
        <x:v>SP500_ANN_0732</x:v>
      </x:c>
      <x:c r="B3" s="15" t="str">
        <x:v>SP500_HEAD_006221</x:v>
      </x:c>
      <x:c r="C3" s="15" t="str">
        <x:v>2018-10-15</x:v>
      </x:c>
      <x:c r="D3" s="15" t="str">
        <x:v>S&amp;P 500 Market Outlook: The Good, The Bad, and The Ugly</x:v>
      </x:c>
      <x:c r="E3" s="15" t="str">
        <x:v>S&amp;P 500 piyasa görünümü: iyi, kötü ve çirkin.</x:v>
      </x:c>
      <x:c r="F3" s="15" t="str">
        <x:v>neutral</x:v>
      </x:c>
      <x:c r="G3" s="18" t="n">
        <x:v>0.754</x:v>
      </x:c>
      <x:c r="H3" s="15" t="str">
        <x:v>neutral</x:v>
      </x:c>
      <x:c r="I3" s="15" t="str">
        <x:v>high</x:v>
      </x:c>
      <x:c r="J3" s="15" t="str">
        <x:v>Olumlu ve olumsuz unsurları birlikte veriyor; net yön yok.</x:v>
      </x:c>
      <x:c r="K3" s="15" t="str">
        <x:v>correct</x:v>
      </x:c>
      <x:c r="L3" s="15" t="str">
        <x:v>FinBERT etiketi final etiket ile aynı.</x:v>
      </x:c>
      <x:c r="N3" s="15" t="str">
        <x:v>FinBERT doğru</x:v>
      </x:c>
      <x:c r="O3" s="15" t="n">
        <x:f>COUNTIF(K2:K11,"correct")</x:f>
        <x:v>8</x:v>
      </x:c>
    </x:row>
    <x:row r="4" ht="24" customHeight="1">
      <x:c r="A4" s="15" t="str">
        <x:v>SP500_ANN_0733</x:v>
      </x:c>
      <x:c r="B4" s="15" t="str">
        <x:v>SP500_HEAD_015689</x:v>
      </x:c>
      <x:c r="C4" s="15" t="str">
        <x:v>2023-09-22</x:v>
      </x:c>
      <x:c r="D4" s="15" t="str">
        <x:v>Dow Jones Futures Rise After S&amp;P 500 Undercuts Low; Tesla Forges New Buy Point</x:v>
      </x:c>
      <x:c r="E4" s="15" t="str">
        <x:v>Dow vadeli işlemleri yükselirken S&amp;P 500 dip altına indi, Tesla yeni alım noktası oluşturdu.</x:v>
      </x:c>
      <x:c r="F4" s="15" t="str">
        <x:v>positive</x:v>
      </x:c>
      <x:c r="G4" s="18" t="n">
        <x:v>0.475</x:v>
      </x:c>
      <x:c r="H4" s="15" t="str">
        <x:v>neutral</x:v>
      </x:c>
      <x:c r="I4" s="15" t="str">
        <x:v>medium</x:v>
      </x:c>
      <x:c r="J4" s="15" t="str">
        <x:v>Başlık karışık; hem olumlu hem olumsuz sinyaller var.</x:v>
      </x:c>
      <x:c r="K4" s="15" t="str">
        <x:v>wrong</x:v>
      </x:c>
      <x:c r="L4" s="15" t="str">
        <x:v>FinBERT positive demiş; final etiket neutral. Başlıktaki baskın finansal sinyali farklı yorumlamış.</x:v>
      </x:c>
      <x:c r="N4" s="15" t="str">
        <x:v>FinBERT yanlış</x:v>
      </x:c>
      <x:c r="O4" s="15" t="n">
        <x:f>COUNTIF(K2:K11,"wrong")</x:f>
        <x:v>2</x:v>
      </x:c>
    </x:row>
    <x:row r="5" ht="24" customHeight="1">
      <x:c r="A5" s="15" t="str">
        <x:v>SP500_ANN_0734</x:v>
      </x:c>
      <x:c r="B5" s="15" t="str">
        <x:v>SP500_HEAD_016298</x:v>
      </x:c>
      <x:c r="C5" s="15" t="str">
        <x:v>2023-11-03</x:v>
      </x:c>
      <x:c r="D5" s="15" t="str">
        <x:v>AI Is Overhyped, S&amp;P 500 at Risk If 'Magnificent 7' Stocks Fall: Smead</x:v>
      </x:c>
      <x:c r="E5" s="15" t="str">
        <x:v>Smead'e göre yapay zekâ abartılıyor ve Muhteşem 7 düşerse S&amp;P 500 risk altında.</x:v>
      </x:c>
      <x:c r="F5" s="15" t="str">
        <x:v>negative</x:v>
      </x:c>
      <x:c r="G5" s="18" t="n">
        <x:v>0.922</x:v>
      </x:c>
      <x:c r="H5" s="15" t="str">
        <x:v>negative</x:v>
      </x:c>
      <x:c r="I5" s="15" t="str">
        <x:v>high</x:v>
      </x:c>
      <x:c r="J5" s="15" t="str">
        <x:v>Endeks için risk ve düşüş ihtimali vurgulanıyor.</x:v>
      </x:c>
      <x:c r="K5" s="15" t="str">
        <x:v>correct</x:v>
      </x:c>
      <x:c r="L5" s="15" t="str">
        <x:v>FinBERT etiketi final etiket ile aynı.</x:v>
      </x:c>
      <x:c r="N5" s="15" t="str">
        <x:v>Doğruluk oranı</x:v>
      </x:c>
      <x:c r="O5" s="20" t="n">
        <x:f>IFERROR(O3/O2,0)</x:f>
        <x:v>0.8</x:v>
      </x:c>
    </x:row>
    <x:row r="6" ht="42" customHeight="1">
      <x:c r="A6" s="15" t="str">
        <x:v>SP500_ANN_0735</x:v>
      </x:c>
      <x:c r="B6" s="15" t="str">
        <x:v>SP500_HEAD_004456</x:v>
      </x:c>
      <x:c r="C6" s="15" t="str">
        <x:v>2016-06-02</x:v>
      </x:c>
      <x:c r="D6" s="15" t="str">
        <x:v>Wall St lower; cuts losses as oil prices reverse course</x:v>
      </x:c>
      <x:c r="E6" s="15" t="str">
        <x:v>Wall Street düşük kapandı; petrol fiyatlarının dönmesiyle kayıplar azaldı.</x:v>
      </x:c>
      <x:c r="F6" s="15" t="str">
        <x:v>negative</x:v>
      </x:c>
      <x:c r="G6" s="18" t="n">
        <x:v>0.639</x:v>
      </x:c>
      <x:c r="H6" s="15" t="str">
        <x:v>negative</x:v>
      </x:c>
      <x:c r="I6" s="15" t="str">
        <x:v>medium</x:v>
      </x:c>
      <x:c r="J6" s="15" t="str">
        <x:v>Ana ifade Wall Street'in düşük seyrettiği yönünde.</x:v>
      </x:c>
      <x:c r="K6" s="15" t="str">
        <x:v>correct</x:v>
      </x:c>
      <x:c r="L6" s="15" t="str">
        <x:v>FinBERT etiketi final etiket ile aynı.</x:v>
      </x:c>
    </x:row>
    <x:row r="7" ht="42" customHeight="1">
      <x:c r="A7" s="15" t="str">
        <x:v>SP500_ANN_0736</x:v>
      </x:c>
      <x:c r="B7" s="15" t="str">
        <x:v>SP500_HEAD_008217</x:v>
      </x:c>
      <x:c r="C7" s="15" t="str">
        <x:v>2020-08-07</x:v>
      </x:c>
      <x:c r="D7" s="15" t="str">
        <x:v>Stock Market Crash: The Battle Between Retail Traders And Smart Money</x:v>
      </x:c>
      <x:c r="E7" s="15" t="str">
        <x:v>Borsa çöküşü: bireysel yatırımcılar ile akıllı para arasındaki mücadele.</x:v>
      </x:c>
      <x:c r="F7" s="15" t="str">
        <x:v>negative</x:v>
      </x:c>
      <x:c r="G7" s="18" t="n">
        <x:v>0.553</x:v>
      </x:c>
      <x:c r="H7" s="15" t="str">
        <x:v>negative</x:v>
      </x:c>
      <x:c r="I7" s="15" t="str">
        <x:v>high</x:v>
      </x:c>
      <x:c r="J7" s="15" t="str">
        <x:v>Borsa çöküşü ifadesi negatif ton taşıyor.</x:v>
      </x:c>
      <x:c r="K7" s="15" t="str">
        <x:v>correct</x:v>
      </x:c>
      <x:c r="L7" s="15" t="str">
        <x:v>FinBERT etiketi final etiket ile aynı.</x:v>
      </x:c>
    </x:row>
    <x:row r="8" ht="42" customHeight="1">
      <x:c r="A8" s="15" t="str">
        <x:v>SP500_ANN_0737</x:v>
      </x:c>
      <x:c r="B8" s="15" t="str">
        <x:v>SP500_HEAD_003350</x:v>
      </x:c>
      <x:c r="C8" s="15" t="str">
        <x:v>2015-01-14</x:v>
      </x:c>
      <x:c r="D8" s="15" t="str">
        <x:v>Stop this Stock Market Ride! I Want to Get Off!</x:v>
      </x:c>
      <x:c r="E8" s="15" t="str">
        <x:v>Bu borsa yolculuğunu durdurun, inmek istiyorum.</x:v>
      </x:c>
      <x:c r="F8" s="15" t="str">
        <x:v>negative</x:v>
      </x:c>
      <x:c r="G8" s="18" t="n">
        <x:v>0.538</x:v>
      </x:c>
      <x:c r="H8" s="15" t="str">
        <x:v>negative</x:v>
      </x:c>
      <x:c r="I8" s="15" t="str">
        <x:v>high</x:v>
      </x:c>
      <x:c r="J8" s="15" t="str">
        <x:v>Piyasadan rahatsızlık/panik tonu negatif.</x:v>
      </x:c>
      <x:c r="K8" s="15" t="str">
        <x:v>correct</x:v>
      </x:c>
      <x:c r="L8" s="15" t="str">
        <x:v>FinBERT etiketi final etiket ile aynı.</x:v>
      </x:c>
    </x:row>
    <x:row r="9" ht="42" customHeight="1">
      <x:c r="A9" s="15" t="str">
        <x:v>SP500_ANN_0738</x:v>
      </x:c>
      <x:c r="B9" s="15" t="str">
        <x:v>SP500_HEAD_014844</x:v>
      </x:c>
      <x:c r="C9" s="15" t="str">
        <x:v>2023-07-25</x:v>
      </x:c>
      <x:c r="D9" s="15" t="str">
        <x:v>Morgan Stanley's Mike Wilson admits he 'was wrong' about the S&amp;P 500 as the index is close to erasing 2022's plunge</x:v>
      </x:c>
      <x:c r="E9" s="15" t="str">
        <x:v>Morgan Stanley'den Mike Wilson yanıldığını kabul etti; S&amp;P 500 2022 düşüşünü silmeye yaklaştı.</x:v>
      </x:c>
      <x:c r="F9" s="15" t="str">
        <x:v>negative</x:v>
      </x:c>
      <x:c r="G9" s="18" t="n">
        <x:v>0.849</x:v>
      </x:c>
      <x:c r="H9" s="15" t="str">
        <x:v>positive</x:v>
      </x:c>
      <x:c r="I9" s="15" t="str">
        <x:v>high</x:v>
      </x:c>
      <x:c r="J9" s="15" t="str">
        <x:v>Endeksin önceki düşüşü silmeye yaklaşması olumlu.</x:v>
      </x:c>
      <x:c r="K9" s="15" t="str">
        <x:v>wrong</x:v>
      </x:c>
      <x:c r="L9" s="15" t="str">
        <x:v>FinBERT negative demiş; final etiket positive. Başlıktaki baskın finansal sinyali farklı yorumlamış.</x:v>
      </x:c>
    </x:row>
    <x:row r="10" ht="42" customHeight="1">
      <x:c r="A10" s="15" t="str">
        <x:v>SP500_ANN_0739</x:v>
      </x:c>
      <x:c r="B10" s="15" t="str">
        <x:v>SP500_HEAD_008194</x:v>
      </x:c>
      <x:c r="C10" s="15" t="str">
        <x:v>2020-07-31</x:v>
      </x:c>
      <x:c r="D10" s="15" t="str">
        <x:v>Analyzing Market Breadth: Kickin’ It With Old-School Indicators</x:v>
      </x:c>
      <x:c r="E10" s="15" t="str">
        <x:v>Piyasa genişliğini eski usul göstergelerle analiz etmek.</x:v>
      </x:c>
      <x:c r="F10" s="15" t="str">
        <x:v>neutral</x:v>
      </x:c>
      <x:c r="G10" s="18" t="n">
        <x:v>0.909</x:v>
      </x:c>
      <x:c r="H10" s="15" t="str">
        <x:v>neutral</x:v>
      </x:c>
      <x:c r="I10" s="15" t="str">
        <x:v>high</x:v>
      </x:c>
      <x:c r="J10" s="15" t="str">
        <x:v>Analiz/eğitim başlığı; net yön yok.</x:v>
      </x:c>
      <x:c r="K10" s="15" t="str">
        <x:v>correct</x:v>
      </x:c>
      <x:c r="L10" s="15" t="str">
        <x:v>FinBERT etiketi final etiket ile aynı.</x:v>
      </x:c>
    </x:row>
    <x:row r="11" ht="42" customHeight="1">
      <x:c r="A11" s="15" t="str">
        <x:v>SP500_ANN_0740</x:v>
      </x:c>
      <x:c r="B11" s="15" t="str">
        <x:v>SP500_HEAD_007535</x:v>
      </x:c>
      <x:c r="C11" s="15" t="str">
        <x:v>2020-02-27</x:v>
      </x:c>
      <x:c r="D11" s="15" t="str">
        <x:v>S&amp;P 500 (VIX) dips in pre market session for another blood bath ahead</x:v>
      </x:c>
      <x:c r="E11" s="15" t="str">
        <x:v>S&amp;P 500 ve VIX ön piyasada başka bir sert satış öncesi düşüyor.</x:v>
      </x:c>
      <x:c r="F11" s="15" t="str">
        <x:v>negative</x:v>
      </x:c>
      <x:c r="G11" s="18" t="n">
        <x:v>0.902</x:v>
      </x:c>
      <x:c r="H11" s="15" t="str">
        <x:v>negative</x:v>
      </x:c>
      <x:c r="I11" s="15" t="str">
        <x:v>high</x:v>
      </x:c>
      <x:c r="J11" s="15" t="str">
        <x:v>Blood bath/sert satış beklentisi açık negatif.</x:v>
      </x:c>
      <x:c r="K11" s="15" t="str">
        <x:v>correct</x:v>
      </x:c>
      <x:c r="L11" s="15" t="str">
        <x:v>FinBERT etiketi final etiket ile aynı.</x:v>
      </x:c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25a6dfbec7b46db"/>
  </x:tableParts>
</x:worksheet>
</file>