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f9cdac29384b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023" sheetId="1" r:id="Rce6f0fca78f345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%"/>
  </x:numFmts>
  <x:fonts count="8">
    <x:font>
      <x:sz val="11"/>
      <x:name val="Carlito"/>
    </x:font>
    <x:font>
      <x:b/>
      <x:sz val="11"/>
      <x:color rgb="FFFFFF"/>
      <x:name val="Carlito"/>
    </x:font>
    <x:font>
      <x:sz val="11"/>
      <x:color rgb="000000"/>
      <x:name val="Carlito"/>
    </x:font>
    <x:font>
      <x:b/>
      <x:sz val="11"/>
      <x:color rgb="000000"/>
      <x:name val="Carlito"/>
    </x:font>
    <x:font>
      <x:b/>
      <x:sz val="10"/>
      <x:color rgb="FFFFFF"/>
      <x:name val="Calibri"/>
    </x:font>
    <x:font>
      <x:sz val="10"/>
      <x:name val="Calibri"/>
    </x:font>
    <x:font>
      <x:b/>
      <x:sz val="10"/>
      <x:color rgb="000000"/>
      <x:name val="Calibri"/>
    </x:font>
    <x:font>
      <x:sz val="10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horizontal="left" vertic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horizontal="left" vertic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5" fillId="0" borderId="0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  <x:xf numFmtId="202" fontId="7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color rgb="274E13"/>
      </x:font>
      <x:fill>
        <x:patternFill patternType="solid">
          <x:bgColor rgb="D9EAD3"/>
        </x:patternFill>
      </x:fill>
    </x:dxf>
    <x:dxf>
      <x:font>
        <x:color rgb="990000"/>
      </x:font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98165b6d1e46d9" /><Relationship Type="http://schemas.openxmlformats.org/officeDocument/2006/relationships/theme" Target="/xl/theme/theme1.xml" Id="Ra50dba75e56e4731" /><Relationship Type="http://schemas.openxmlformats.org/officeDocument/2006/relationships/sharedStrings" Target="/xl/sharedStrings.xml" Id="R136bdd774246480e" /><Relationship Type="http://schemas.openxmlformats.org/officeDocument/2006/relationships/worksheet" Target="/xl/worksheets/sheet1.xml" Id="Rce6f0fca78f345a3" /></Relationships>
</file>

<file path=xl/tables/table1.xml><?xml version="1.0" encoding="utf-8"?>
<x:table xmlns:x="http://schemas.openxmlformats.org/spreadsheetml/2006/main" id="1" name="AnnTable_023" displayName="AnnTable_023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3bc7a1e6a64be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60" hidden="0" customWidth="1"/>
    <x:col min="5" max="5" width="60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60" hidden="0" customWidth="1"/>
    <x:col min="11" max="11" width="18" hidden="0" customWidth="1"/>
    <x:col min="12" max="12" width="50" hidden="0" customWidth="1"/>
    <x:col min="13" max="13" width="4" hidden="0" customWidth="1"/>
    <x:col min="14" max="14" width="20" hidden="0" customWidth="1"/>
    <x:col min="15" max="15" width="16" hidden="0" customWidth="1"/>
  </x:cols>
  <x:sheetData>
    <x:row r="1" ht="28" customHeight="1">
      <x:c r="A1" s="30" t="str">
        <x:v>annotation_id</x:v>
      </x:c>
      <x:c r="B1" s="30" t="str">
        <x:v>sample_id</x:v>
      </x:c>
      <x:c r="C1" s="30" t="str">
        <x:v>date</x:v>
      </x:c>
      <x:c r="D1" s="30" t="str">
        <x:v>text_en</x:v>
      </x:c>
      <x:c r="E1" s="30" t="str">
        <x:v>text_tr</x:v>
      </x:c>
      <x:c r="F1" s="30" t="str">
        <x:v>finbert_label</x:v>
      </x:c>
      <x:c r="G1" s="30" t="str">
        <x:v>finbert_confidence</x:v>
      </x:c>
      <x:c r="H1" s="30" t="str">
        <x:v>chatgpt_label</x:v>
      </x:c>
      <x:c r="I1" s="30" t="str">
        <x:v>chatgpt_confidence</x:v>
      </x:c>
      <x:c r="J1" s="30" t="str">
        <x:v>chatgpt_reason_tr</x:v>
      </x:c>
      <x:c r="K1" s="30" t="str">
        <x:v>finbert_correctness</x:v>
      </x:c>
      <x:c r="L1" s="30" t="str">
        <x:v>finbert_correctness_note</x:v>
      </x:c>
      <x:c r="M1" s="40" t="str"/>
      <x:c r="N1" s="30" t="str">
        <x:v>Özet</x:v>
      </x:c>
      <x:c r="O1" s="30" t="str">
        <x:v>Değer</x:v>
      </x:c>
    </x:row>
    <x:row r="2" ht="58" customHeight="1">
      <x:c r="A2" s="32" t="str">
        <x:v>SP500_ANN_0221</x:v>
      </x:c>
      <x:c r="B2" s="32" t="str">
        <x:v>SP500_HEAD_010638</x:v>
      </x:c>
      <x:c r="C2" s="42" t="n">
        <x:v>44655</x:v>
      </x:c>
      <x:c r="D2" s="32" t="str">
        <x:v>W. R. Berkley Stock Has Outperformed S&amp;P500 Over The Last Month, Is It A Buy?</x:v>
      </x:c>
      <x:c r="E2" s="32" t="str">
        <x:v>W. R. Berkley hissesi son ayda S&amp;P 500'den daha iyi performans gösterdi; alınır mı?</x:v>
      </x:c>
      <x:c r="F2" s="32" t="str">
        <x:v>positive</x:v>
      </x:c>
      <x:c r="G2" s="44" t="n">
        <x:v>0.556</x:v>
      </x:c>
      <x:c r="H2" s="32" t="str">
        <x:v>positive</x:v>
      </x:c>
      <x:c r="I2" s="32" t="str">
        <x:v>medium</x:v>
      </x:c>
      <x:c r="J2" s="32" t="str">
        <x:v>S&amp;P 500'den iyi performans yatırım açısından olumlu sinyal.</x:v>
      </x:c>
      <x:c r="K2" s="32" t="str">
        <x:v>correct</x:v>
      </x:c>
      <x:c r="L2" s="32" t="str">
        <x:v>FinBERT etiketi final etiket ile aynı.</x:v>
      </x:c>
      <x:c r="M2" s="31" t="str"/>
      <x:c r="N2" s="33" t="str">
        <x:v>Toplam örnek</x:v>
      </x:c>
      <x:c r="O2" s="34" t="n">
        <x:f>COUNTA(A2:A11)</x:f>
        <x:v>10</x:v>
      </x:c>
    </x:row>
    <x:row r="3" ht="58" customHeight="1">
      <x:c r="A3" s="32" t="str">
        <x:v>SP500_ANN_0222</x:v>
      </x:c>
      <x:c r="B3" s="32" t="str">
        <x:v>SP500_HEAD_015799</x:v>
      </x:c>
      <x:c r="C3" s="42" t="n">
        <x:v>45201</x:v>
      </x:c>
      <x:c r="D3" s="32" t="str">
        <x:v>SolarEdge, Insulet, and Dollar General Lead S&amp;P 500 Q3 Losses</x:v>
      </x:c>
      <x:c r="E3" s="32" t="str">
        <x:v>SolarEdge, Insulet ve Dollar General S&amp;P 500'de üçüncü çeyrek kayıplarına öncülük etti.</x:v>
      </x:c>
      <x:c r="F3" s="32" t="str">
        <x:v>neutral</x:v>
      </x:c>
      <x:c r="G3" s="44" t="n">
        <x:v>0.848</x:v>
      </x:c>
      <x:c r="H3" s="32" t="str">
        <x:v>negative</x:v>
      </x:c>
      <x:c r="I3" s="32" t="str">
        <x:v>high</x:v>
      </x:c>
      <x:c r="J3" s="32" t="str">
        <x:v>S&amp;P 500 içindeki kayıplara liderlik olumsuz.</x:v>
      </x:c>
      <x:c r="K3" s="32" t="str">
        <x:v>wrong</x:v>
      </x:c>
      <x:c r="L3" s="32" t="str">
        <x:v>FinBERT neutral demiş; final etiket negative.</x:v>
      </x:c>
      <x:c r="M3" s="31" t="str"/>
      <x:c r="N3" s="33" t="str">
        <x:v>FinBERT doğru</x:v>
      </x:c>
      <x:c r="O3" s="34" t="n">
        <x:f>COUNTIF(K2:K11,"correct")</x:f>
        <x:v>7</x:v>
      </x:c>
    </x:row>
    <x:row r="4" ht="58" customHeight="1">
      <x:c r="A4" s="32" t="str">
        <x:v>SP500_ANN_0223</x:v>
      </x:c>
      <x:c r="B4" s="32" t="str">
        <x:v>SP500_HEAD_000610</x:v>
      </x:c>
      <x:c r="C4" s="42" t="n">
        <x:v>40701</x:v>
      </x:c>
      <x:c r="D4" s="32" t="str">
        <x:v>Polish Holocaust Survivor Founded Electronics Firm - WSJ</x:v>
      </x:c>
      <x:c r="E4" s="32" t="str">
        <x:v>Polonyalı Holokost kurtulanı elektronik şirketi kurdu.</x:v>
      </x:c>
      <x:c r="F4" s="32" t="str">
        <x:v>neutral</x:v>
      </x:c>
      <x:c r="G4" s="44" t="n">
        <x:v>0.89</x:v>
      </x:c>
      <x:c r="H4" s="32" t="str">
        <x:v>neutral</x:v>
      </x:c>
      <x:c r="I4" s="32" t="str">
        <x:v>high</x:v>
      </x:c>
      <x:c r="J4" s="32" t="str">
        <x:v>Piyasa yönüyle ilişkili olmayan tarih/şirket haberi; nötr.</x:v>
      </x:c>
      <x:c r="K4" s="32" t="str">
        <x:v>correct</x:v>
      </x:c>
      <x:c r="L4" s="32" t="str">
        <x:v>FinBERT etiketi final etiket ile aynı.</x:v>
      </x:c>
      <x:c r="M4" s="31" t="str"/>
      <x:c r="N4" s="33" t="str">
        <x:v>FinBERT yanlış</x:v>
      </x:c>
      <x:c r="O4" s="34" t="n">
        <x:f>COUNTIF(K2:K11,"wrong")</x:f>
        <x:v>3</x:v>
      </x:c>
    </x:row>
    <x:row r="5" ht="58" customHeight="1">
      <x:c r="A5" s="32" t="str">
        <x:v>SP500_ANN_0224</x:v>
      </x:c>
      <x:c r="B5" s="32" t="str">
        <x:v>SP500_HEAD_014752</x:v>
      </x:c>
      <x:c r="C5" s="42" t="n">
        <x:v>45126</x:v>
      </x:c>
      <x:c r="D5" s="32" t="str">
        <x:v>Why Are Investors Allocating to Equal-Weight RSP Now?</x:v>
      </x:c>
      <x:c r="E5" s="32" t="str">
        <x:v>Yatırımcılar neden şimdi eşit ağırlıklı RSP'ye yöneliyor?</x:v>
      </x:c>
      <x:c r="F5" s="32" t="str">
        <x:v>neutral</x:v>
      </x:c>
      <x:c r="G5" s="44" t="n">
        <x:v>0.914</x:v>
      </x:c>
      <x:c r="H5" s="32" t="str">
        <x:v>neutral</x:v>
      </x:c>
      <x:c r="I5" s="32" t="str">
        <x:v>high</x:v>
      </x:c>
      <x:c r="J5" s="32" t="str">
        <x:v>Soru/analiz başlığı; net olumlu veya olumsuz yön yok.</x:v>
      </x:c>
      <x:c r="K5" s="32" t="str">
        <x:v>correct</x:v>
      </x:c>
      <x:c r="L5" s="32" t="str">
        <x:v>FinBERT etiketi final etiket ile aynı.</x:v>
      </x:c>
      <x:c r="M5" s="31" t="str"/>
      <x:c r="N5" s="33" t="str">
        <x:v>Doğruluk oranı</x:v>
      </x:c>
      <x:c r="O5" s="46" t="n">
        <x:f>O3/O2</x:f>
        <x:v>0.7</x:v>
      </x:c>
    </x:row>
    <x:row r="6" ht="58" customHeight="1">
      <x:c r="A6" s="32" t="str">
        <x:v>SP500_ANN_0225</x:v>
      </x:c>
      <x:c r="B6" s="32" t="str">
        <x:v>SP500_HEAD_007244</x:v>
      </x:c>
      <x:c r="C6" s="42" t="n">
        <x:v>43801</x:v>
      </x:c>
      <x:c r="D6" s="32" t="str">
        <x:v>S&amp;P 500 posts biggest decline in nearly two months, Dow drops 250 points to kick off December</x:v>
      </x:c>
      <x:c r="E6" s="32" t="str">
        <x:v>S&amp;P 500 yaklaşık iki ayın en büyük düşüşünü yaşadı, Dow Aralık'a 250 puan düşüşle başladı.</x:v>
      </x:c>
      <x:c r="F6" s="32" t="str">
        <x:v>negative</x:v>
      </x:c>
      <x:c r="G6" s="44" t="n">
        <x:v>0.956</x:v>
      </x:c>
      <x:c r="H6" s="32" t="str">
        <x:v>negative</x:v>
      </x:c>
      <x:c r="I6" s="32" t="str">
        <x:v>high</x:v>
      </x:c>
      <x:c r="J6" s="32" t="str">
        <x:v>Büyük düşüş ve Dow kaybı açık negatif.</x:v>
      </x:c>
      <x:c r="K6" s="32" t="str">
        <x:v>correct</x:v>
      </x:c>
      <x:c r="L6" s="32" t="str">
        <x:v>FinBERT etiketi final etiket ile aynı.</x:v>
      </x:c>
      <x:c r="M6" s="31" t="str"/>
      <x:c r="N6" s="31" t="str"/>
      <x:c r="O6" s="31" t="str"/>
    </x:row>
    <x:row r="7" ht="58" customHeight="1">
      <x:c r="A7" s="32" t="str">
        <x:v>SP500_ANN_0226</x:v>
      </x:c>
      <x:c r="B7" s="32" t="str">
        <x:v>SP500_HEAD_012975</x:v>
      </x:c>
      <x:c r="C7" s="42" t="n">
        <x:v>44981</x:v>
      </x:c>
      <x:c r="D7" s="32" t="str">
        <x:v>S&amp;P 500: Did We Just Experience a Capitulation Bottom?</x:v>
      </x:c>
      <x:c r="E7" s="32" t="str">
        <x:v>S&amp;P 500: Az önce teslimiyet dip seviyesini mi yaşadık?</x:v>
      </x:c>
      <x:c r="F7" s="32" t="str">
        <x:v>negative</x:v>
      </x:c>
      <x:c r="G7" s="44" t="n">
        <x:v>0.87</x:v>
      </x:c>
      <x:c r="H7" s="32" t="str">
        <x:v>neutral</x:v>
      </x:c>
      <x:c r="I7" s="32" t="str">
        <x:v>medium</x:v>
      </x:c>
      <x:c r="J7" s="32" t="str">
        <x:v>Başlık soru şeklinde; dip olasılığı var ama net yön vermiyor.</x:v>
      </x:c>
      <x:c r="K7" s="32" t="str">
        <x:v>wrong</x:v>
      </x:c>
      <x:c r="L7" s="32" t="str">
        <x:v>FinBERT negative demiş; final etiket neutral.</x:v>
      </x:c>
      <x:c r="M7" s="31" t="str"/>
      <x:c r="N7" s="31" t="str"/>
      <x:c r="O7" s="31" t="str"/>
    </x:row>
    <x:row r="8" ht="58" customHeight="1">
      <x:c r="A8" s="32" t="str">
        <x:v>SP500_ANN_0227</x:v>
      </x:c>
      <x:c r="B8" s="32" t="str">
        <x:v>SP500_HEAD_017798</x:v>
      </x:c>
      <x:c r="C8" s="42" t="n">
        <x:v>45348</x:v>
      </x:c>
      <x:c r="D8" s="32" t="str">
        <x:v>Nasdaq Index, Dow Jones, S&amp;P 500 News: Futures Dip Amid Record Highs, Inflation Data Anticipation</x:v>
      </x:c>
      <x:c r="E8" s="32" t="str">
        <x:v>Nasdaq, Dow Jones ve S&amp;P 500 vadeli işlemleri rekor zirveler ve enflasyon verisi beklentisi arasında geriledi.</x:v>
      </x:c>
      <x:c r="F8" s="32" t="str">
        <x:v>negative</x:v>
      </x:c>
      <x:c r="G8" s="44" t="n">
        <x:v>0.887</x:v>
      </x:c>
      <x:c r="H8" s="32" t="str">
        <x:v>negative</x:v>
      </x:c>
      <x:c r="I8" s="32" t="str">
        <x:v>medium</x:v>
      </x:c>
      <x:c r="J8" s="32" t="str">
        <x:v>Vadeli işlemlerin düşmesi negatif, rekor detayı ikincil.</x:v>
      </x:c>
      <x:c r="K8" s="32" t="str">
        <x:v>correct</x:v>
      </x:c>
      <x:c r="L8" s="32" t="str">
        <x:v>FinBERT etiketi final etiket ile aynı.</x:v>
      </x:c>
      <x:c r="M8" s="31" t="str"/>
      <x:c r="N8" s="31" t="str"/>
      <x:c r="O8" s="31" t="str"/>
    </x:row>
    <x:row r="9" ht="58" customHeight="1">
      <x:c r="A9" s="32" t="str">
        <x:v>SP500_ANN_0228</x:v>
      </x:c>
      <x:c r="B9" s="32" t="str">
        <x:v>SP500_HEAD_011407</x:v>
      </x:c>
      <x:c r="C9" s="42" t="n">
        <x:v>44776</x:v>
      </x:c>
      <x:c r="D9" s="32" t="str">
        <x:v>Ben &amp; Jerry's says Unilever froze directors' salaries over Israel</x:v>
      </x:c>
      <x:c r="E9" s="32" t="str">
        <x:v>Ben &amp; Jerry's, Unilever'in İsrail nedeniyle yöneticilerin maaşlarını dondurduğunu söyledi.</x:v>
      </x:c>
      <x:c r="F9" s="32" t="str">
        <x:v>negative</x:v>
      </x:c>
      <x:c r="G9" s="44" t="n">
        <x:v>0.901</x:v>
      </x:c>
      <x:c r="H9" s="32" t="str">
        <x:v>negative</x:v>
      </x:c>
      <x:c r="I9" s="32" t="str">
        <x:v>medium</x:v>
      </x:c>
      <x:c r="J9" s="32" t="str">
        <x:v>Kurumsal anlaşmazlık ve maaş dondurma olumsuz haber tonu taşıyor.</x:v>
      </x:c>
      <x:c r="K9" s="32" t="str">
        <x:v>correct</x:v>
      </x:c>
      <x:c r="L9" s="32" t="str">
        <x:v>FinBERT etiketi final etiket ile aynı.</x:v>
      </x:c>
      <x:c r="M9" s="31" t="str"/>
      <x:c r="N9" s="31" t="str"/>
      <x:c r="O9" s="31" t="str"/>
    </x:row>
    <x:row r="10" ht="58" customHeight="1">
      <x:c r="A10" s="32" t="str">
        <x:v>SP500_ANN_0229</x:v>
      </x:c>
      <x:c r="B10" s="32" t="str">
        <x:v>SP500_HEAD_010647</x:v>
      </x:c>
      <x:c r="C10" s="42" t="n">
        <x:v>44656</x:v>
      </x:c>
      <x:c r="D10" s="32" t="str">
        <x:v>Default risk rises across most US sectors in Q1</x:v>
      </x:c>
      <x:c r="E10" s="32" t="str">
        <x:v>ABD sektörlerinin çoğunda temerrüt riski ilk çeyrekte yükseldi.</x:v>
      </x:c>
      <x:c r="F10" s="32" t="str">
        <x:v>positive</x:v>
      </x:c>
      <x:c r="G10" s="44" t="n">
        <x:v>0.903</x:v>
      </x:c>
      <x:c r="H10" s="32" t="str">
        <x:v>negative</x:v>
      </x:c>
      <x:c r="I10" s="32" t="str">
        <x:v>high</x:v>
      </x:c>
      <x:c r="J10" s="32" t="str">
        <x:v>Temerrüt riskinin yükselmesi açık negatif finansal sinyal.</x:v>
      </x:c>
      <x:c r="K10" s="32" t="str">
        <x:v>wrong</x:v>
      </x:c>
      <x:c r="L10" s="32" t="str">
        <x:v>FinBERT positive demiş; final etiket negative.</x:v>
      </x:c>
      <x:c r="M10" s="31" t="str"/>
      <x:c r="N10" s="31" t="str"/>
      <x:c r="O10" s="31" t="str"/>
    </x:row>
    <x:row r="11" ht="58" customHeight="1">
      <x:c r="A11" s="32" t="str">
        <x:v>SP500_ANN_0230</x:v>
      </x:c>
      <x:c r="B11" s="32" t="str">
        <x:v>SP500_HEAD_017162</x:v>
      </x:c>
      <x:c r="C11" s="42" t="n">
        <x:v>45295</x:v>
      </x:c>
      <x:c r="D11" s="32" t="str">
        <x:v>'Twice as cheap': These stocks' discount to the S&amp;P 500 is double its average, Ritholtz's Brown says</x:v>
      </x:c>
      <x:c r="E11" s="32" t="str">
        <x:v>'İki kat ucuz': Ritholtz'dan Brown'a göre bu hisselerin S&amp;P 500'e göre iskontosu ortalamanın iki katı.</x:v>
      </x:c>
      <x:c r="F11" s="32" t="str">
        <x:v>positive</x:v>
      </x:c>
      <x:c r="G11" s="44" t="n">
        <x:v>0.902</x:v>
      </x:c>
      <x:c r="H11" s="32" t="str">
        <x:v>positive</x:v>
      </x:c>
      <x:c r="I11" s="32" t="str">
        <x:v>medium</x:v>
      </x:c>
      <x:c r="J11" s="32" t="str">
        <x:v>Ucuzluk/iskonto yatırım fırsatı olarak olumlu yorumlanabilir.</x:v>
      </x:c>
      <x:c r="K11" s="32" t="str">
        <x:v>correct</x:v>
      </x:c>
      <x:c r="L11" s="32" t="str">
        <x:v>FinBERT etiketi final etiket ile aynı.</x:v>
      </x:c>
      <x:c r="M11" s="31" t="str"/>
      <x:c r="N11" s="31" t="str"/>
      <x:c r="O11" s="31" t="str"/>
    </x:row>
  </x:sheetData>
  <x:conditionalFormatting sqref="K2:K11">
    <x:cfRule type="expression" dxfId="0" priority="1">
      <x:formula>K2="correct"</x:formula>
    </x:cfRule>
    <x:cfRule type="expression" dxfId="1" priority="2">
      <x:formula>K2="wrong"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63bc7a1e6a64be3"/>
  </x:tableParts>
</x:worksheet>
</file>