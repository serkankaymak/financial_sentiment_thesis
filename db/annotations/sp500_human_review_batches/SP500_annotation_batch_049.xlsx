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5eb1cf100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49" sheetId="1" r:id="R1a38f8feaa8940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40288439f47d6" /><Relationship Type="http://schemas.openxmlformats.org/officeDocument/2006/relationships/theme" Target="/xl/theme/theme1.xml" Id="Rc7d61746e68543b7" /><Relationship Type="http://schemas.openxmlformats.org/officeDocument/2006/relationships/sharedStrings" Target="/xl/sharedStrings.xml" Id="Rb7ff9eef8d4c4d37" /><Relationship Type="http://schemas.openxmlformats.org/officeDocument/2006/relationships/worksheet" Target="/xl/worksheets/sheet1.xml" Id="R1a38f8feaa8940b8" /></Relationships>
</file>

<file path=xl/tables/table1.xml><?xml version="1.0" encoding="utf-8"?>
<x:table xmlns:x="http://schemas.openxmlformats.org/spreadsheetml/2006/main" id="1" name="Batch049Table" displayName="Batch049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2788880fa049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2" customHeight="1">
      <x:c r="A1" s="24" t="str">
        <x:v>annotation_id</x:v>
      </x:c>
      <x:c r="B1" s="24" t="str">
        <x:v>sample_id</x:v>
      </x:c>
      <x:c r="C1" s="24" t="str">
        <x:v>date</x:v>
      </x:c>
      <x:c r="D1" s="24" t="str">
        <x:v>text_en</x:v>
      </x:c>
      <x:c r="E1" s="24" t="str">
        <x:v>text_tr</x:v>
      </x:c>
      <x:c r="F1" s="24" t="str">
        <x:v>finbert_label</x:v>
      </x:c>
      <x:c r="G1" s="24" t="str">
        <x:v>finbert_confidence</x:v>
      </x:c>
      <x:c r="H1" s="24" t="str">
        <x:v>chatgpt_label</x:v>
      </x:c>
      <x:c r="I1" s="24" t="str">
        <x:v>chatgpt_confidence</x:v>
      </x:c>
      <x:c r="J1" s="24" t="str">
        <x:v>chatgpt_reason_tr</x:v>
      </x:c>
      <x:c r="K1" s="24" t="str">
        <x:v>finbert_correctness</x:v>
      </x:c>
      <x:c r="L1" s="24" t="str">
        <x:v>finbert_correctness_note</x:v>
      </x:c>
      <x:c r="M1" s="25" t="str"/>
      <x:c r="N1" s="26" t="str">
        <x:v>Özet</x:v>
      </x:c>
      <x:c r="O1" s="26" t="str">
        <x:v>Değer</x:v>
      </x:c>
    </x:row>
    <x:row r="2" ht="78" customHeight="1">
      <x:c r="A2" s="25" t="str">
        <x:v>SP500_ANN_0481</x:v>
      </x:c>
      <x:c r="B2" s="25" t="str">
        <x:v>SP500_HEAD_016239</x:v>
      </x:c>
      <x:c r="C2" s="25" t="str">
        <x:v>2023-10-31</x:v>
      </x:c>
      <x:c r="D2" s="25" t="str">
        <x:v>Wall St closes higher on eve of Fed decision; investors assess earnings</x:v>
      </x:c>
      <x:c r="E2" s="25" t="str">
        <x:v>Wall Street Fed kararı arifesinde yükselişle kapandı; yatırımcılar bilançoları değerlendirdi.</x:v>
      </x:c>
      <x:c r="F2" s="25" t="str">
        <x:v>positive</x:v>
      </x:c>
      <x:c r="G2" s="34" t="n">
        <x:v>0.543</x:v>
      </x:c>
      <x:c r="H2" s="25" t="str">
        <x:v>positive</x:v>
      </x:c>
      <x:c r="I2" s="25" t="str">
        <x:v>high</x:v>
      </x:c>
      <x:c r="J2" s="25" t="str">
        <x:v>Yükselişle kapanış açık pozitif.</x:v>
      </x:c>
      <x:c r="K2" s="25" t="str">
        <x:v>correct</x:v>
      </x:c>
      <x:c r="L2" s="25" t="str">
        <x:v>FinBERT etiketi final etiket ile aynı.</x:v>
      </x:c>
      <x:c r="M2" s="25" t="str"/>
      <x:c r="N2" s="25" t="str">
        <x:v>Toplam örnek</x:v>
      </x:c>
      <x:c r="O2" s="30" t="n">
        <x:f>COUNTA(A2:A11)</x:f>
        <x:v>10</x:v>
      </x:c>
    </x:row>
    <x:row r="3" ht="78" customHeight="1">
      <x:c r="A3" s="25" t="str">
        <x:v>SP500_ANN_0482</x:v>
      </x:c>
      <x:c r="B3" s="25" t="str">
        <x:v>SP500_HEAD_001949</x:v>
      </x:c>
      <x:c r="C3" s="25" t="str">
        <x:v>2013-05-01</x:v>
      </x:c>
      <x:c r="D3" s="25" t="str">
        <x:v>Bangladesh risks losing EU market access</x:v>
      </x:c>
      <x:c r="E3" s="25" t="str">
        <x:v>Bangladeş AB pazar erişimini kaybetme riskiyle karşı karşıya.</x:v>
      </x:c>
      <x:c r="F3" s="25" t="str">
        <x:v>negative</x:v>
      </x:c>
      <x:c r="G3" s="34" t="n">
        <x:v>0.939</x:v>
      </x:c>
      <x:c r="H3" s="25" t="str">
        <x:v>negative</x:v>
      </x:c>
      <x:c r="I3" s="25" t="str">
        <x:v>high</x:v>
      </x:c>
      <x:c r="J3" s="25" t="str">
        <x:v>Pazar erişimi kaybı riski negatif.</x:v>
      </x:c>
      <x:c r="K3" s="25" t="str">
        <x:v>correct</x:v>
      </x:c>
      <x:c r="L3" s="25" t="str">
        <x:v>FinBERT etiketi final etiket ile aynı.</x:v>
      </x:c>
      <x:c r="M3" s="25" t="str"/>
      <x:c r="N3" s="25" t="str">
        <x:v>FinBERT doğru</x:v>
      </x:c>
      <x:c r="O3" s="30" t="n">
        <x:f>COUNTIF(K2:K11,"correct")</x:f>
        <x:v>8</x:v>
      </x:c>
    </x:row>
    <x:row r="4" ht="78" customHeight="1">
      <x:c r="A4" s="25" t="str">
        <x:v>SP500_ANN_0483</x:v>
      </x:c>
      <x:c r="B4" s="25" t="str">
        <x:v>SP500_HEAD_008684</x:v>
      </x:c>
      <x:c r="C4" s="25" t="str">
        <x:v>2020-11-24</x:v>
      </x:c>
      <x:c r="D4" s="25" t="str">
        <x:v>Elon Musk overtakes Bill Gates to become world's second richest person</x:v>
      </x:c>
      <x:c r="E4" s="25" t="str">
        <x:v>Elon Musk, Bill Gates'i geçerek dünyanın en zengin ikinci kişisi oldu.</x:v>
      </x:c>
      <x:c r="F4" s="25" t="str">
        <x:v>neutral</x:v>
      </x:c>
      <x:c r="G4" s="34" t="n">
        <x:v>0.82</x:v>
      </x:c>
      <x:c r="H4" s="25" t="str">
        <x:v>neutral</x:v>
      </x:c>
      <x:c r="I4" s="25" t="str">
        <x:v>high</x:v>
      </x:c>
      <x:c r="J4" s="25" t="str">
        <x:v>Servet sıralaması haberi; piyasa yönü yok.</x:v>
      </x:c>
      <x:c r="K4" s="25" t="str">
        <x:v>correct</x:v>
      </x:c>
      <x:c r="L4" s="25" t="str">
        <x:v>FinBERT etiketi final etiket ile aynı.</x:v>
      </x:c>
      <x:c r="M4" s="25" t="str"/>
      <x:c r="N4" s="25" t="str">
        <x:v>FinBERT yanlış</x:v>
      </x:c>
      <x:c r="O4" s="30" t="n">
        <x:f>COUNTIF(K2:K11,"wrong")</x:f>
        <x:v>2</x:v>
      </x:c>
    </x:row>
    <x:row r="5" ht="78" customHeight="1">
      <x:c r="A5" s="25" t="str">
        <x:v>SP500_ANN_0484</x:v>
      </x:c>
      <x:c r="B5" s="25" t="str">
        <x:v>SP500_HEAD_010735</x:v>
      </x:c>
      <x:c r="C5" s="25" t="str">
        <x:v>2022-04-25</x:v>
      </x:c>
      <x:c r="D5" s="25" t="str">
        <x:v>S&amp;P 500 Ready to Join Bear Market, Says Morgan Stanley</x:v>
      </x:c>
      <x:c r="E5" s="25" t="str">
        <x:v>Morgan Stanley'e göre S&amp;P 500 ayı piyasasına katılmaya hazır.</x:v>
      </x:c>
      <x:c r="F5" s="25" t="str">
        <x:v>positive</x:v>
      </x:c>
      <x:c r="G5" s="34" t="n">
        <x:v>0.749</x:v>
      </x:c>
      <x:c r="H5" s="25" t="str">
        <x:v>negative</x:v>
      </x:c>
      <x:c r="I5" s="25" t="str">
        <x:v>high</x:v>
      </x:c>
      <x:c r="J5" s="25" t="str">
        <x:v>Ayı piyasası uyarısı açık negatif.</x:v>
      </x:c>
      <x:c r="K5" s="25" t="str">
        <x:v>wrong</x:v>
      </x:c>
      <x:c r="L5" s="25" t="str">
        <x:v>FinBERT positive demiş; final etiket negative.</x:v>
      </x:c>
      <x:c r="M5" s="25" t="str"/>
      <x:c r="N5" s="25" t="str">
        <x:v>Doğruluk oranı</x:v>
      </x:c>
      <x:c r="O5" s="32" t="n">
        <x:f>IF(O2=0,0,O3/O2)</x:f>
        <x:v>0.8</x:v>
      </x:c>
    </x:row>
    <x:row r="6" ht="78" customHeight="1">
      <x:c r="A6" s="25" t="str">
        <x:v>SP500_ANN_0485</x:v>
      </x:c>
      <x:c r="B6" s="25" t="str">
        <x:v>SP500_HEAD_004582</x:v>
      </x:c>
      <x:c r="C6" s="25" t="str">
        <x:v>2016-07-26</x:v>
      </x:c>
      <x:c r="D6" s="25" t="str">
        <x:v>This chart shows that oil is going to $75: Technical analyst</x:v>
      </x:c>
      <x:c r="E6" s="25" t="str">
        <x:v>Bu grafik petrolün 75 dolara gideceğini gösteriyor: teknik analist.</x:v>
      </x:c>
      <x:c r="F6" s="25" t="str">
        <x:v>neutral</x:v>
      </x:c>
      <x:c r="G6" s="34" t="n">
        <x:v>0.874</x:v>
      </x:c>
      <x:c r="H6" s="25" t="str">
        <x:v>neutral</x:v>
      </x:c>
      <x:c r="I6" s="25" t="str">
        <x:v>medium</x:v>
      </x:c>
      <x:c r="J6" s="25" t="str">
        <x:v>Petrol fiyat yönü var ama S&amp;P 500/piyasa duygu etkisi net değil.</x:v>
      </x:c>
      <x:c r="K6" s="25" t="str">
        <x:v>correct</x:v>
      </x:c>
      <x:c r="L6" s="25" t="str">
        <x:v>FinBERT etiketi final etiket ile aynı.</x:v>
      </x:c>
      <x:c r="M6" s="25" t="str"/>
      <x:c r="N6" s="25" t="str"/>
      <x:c r="O6" s="25" t="str"/>
    </x:row>
    <x:row r="7" ht="78" customHeight="1">
      <x:c r="A7" s="25" t="str">
        <x:v>SP500_ANN_0486</x:v>
      </x:c>
      <x:c r="B7" s="25" t="str">
        <x:v>SP500_HEAD_011375</x:v>
      </x:c>
      <x:c r="C7" s="25" t="str">
        <x:v>2022-07-26</x:v>
      </x:c>
      <x:c r="D7" s="25" t="str">
        <x:v>Study finds crypto is ‘fool’s gold’ when it comes to hedging</x:v>
      </x:c>
      <x:c r="E7" s="25" t="str">
        <x:v>Araştırmaya göre kripto, korunma aracı olarak 'sahte altın'.</x:v>
      </x:c>
      <x:c r="F7" s="25" t="str">
        <x:v>neutral</x:v>
      </x:c>
      <x:c r="G7" s="34" t="n">
        <x:v>0.906</x:v>
      </x:c>
      <x:c r="H7" s="25" t="str">
        <x:v>negative</x:v>
      </x:c>
      <x:c r="I7" s="25" t="str">
        <x:v>medium</x:v>
      </x:c>
      <x:c r="J7" s="25" t="str">
        <x:v>Kriptonun hedge işlevi olumsuz değerlendiriliyor.</x:v>
      </x:c>
      <x:c r="K7" s="25" t="str">
        <x:v>wrong</x:v>
      </x:c>
      <x:c r="L7" s="25" t="str">
        <x:v>FinBERT neutral demiş; final etiket negative.</x:v>
      </x:c>
      <x:c r="M7" s="25" t="str"/>
      <x:c r="N7" s="25" t="str"/>
      <x:c r="O7" s="25" t="str"/>
    </x:row>
    <x:row r="8" ht="78" customHeight="1">
      <x:c r="A8" s="25" t="str">
        <x:v>SP500_ANN_0487</x:v>
      </x:c>
      <x:c r="B8" s="25" t="str">
        <x:v>SP500_HEAD_010761</x:v>
      </x:c>
      <x:c r="C8" s="25" t="str">
        <x:v>2022-04-29</x:v>
      </x:c>
      <x:c r="D8" s="25" t="str">
        <x:v>A brutal April knocked the S&amp;P 500 into its second stock-market correction of 2022</x:v>
      </x:c>
      <x:c r="E8" s="25" t="str">
        <x:v>Sert Nisan ayı S&amp;P 500'ü 2022'nin ikinci borsa düzeltmesine soktu.</x:v>
      </x:c>
      <x:c r="F8" s="25" t="str">
        <x:v>negative</x:v>
      </x:c>
      <x:c r="G8" s="34" t="n">
        <x:v>0.958</x:v>
      </x:c>
      <x:c r="H8" s="25" t="str">
        <x:v>negative</x:v>
      </x:c>
      <x:c r="I8" s="25" t="str">
        <x:v>high</x:v>
      </x:c>
      <x:c r="J8" s="25" t="str">
        <x:v>Sert düşüş ve düzeltme açık negatif.</x:v>
      </x:c>
      <x:c r="K8" s="25" t="str">
        <x:v>correct</x:v>
      </x:c>
      <x:c r="L8" s="25" t="str">
        <x:v>FinBERT etiketi final etiket ile aynı.</x:v>
      </x:c>
      <x:c r="M8" s="25" t="str"/>
      <x:c r="N8" s="25" t="str"/>
      <x:c r="O8" s="25" t="str"/>
    </x:row>
    <x:row r="9" ht="78" customHeight="1">
      <x:c r="A9" s="25" t="str">
        <x:v>SP500_ANN_0488</x:v>
      </x:c>
      <x:c r="B9" s="25" t="str">
        <x:v>SP500_HEAD_016721</x:v>
      </x:c>
      <x:c r="C9" s="25" t="str">
        <x:v>2023-12-04</x:v>
      </x:c>
      <x:c r="D9" s="25" t="str">
        <x:v>ProPicks: Beat the S&amp;P 500 with our cutting-edge AI-powered stock selection</x:v>
      </x:c>
      <x:c r="E9" s="25" t="str">
        <x:v>ProPicks: Yapay zekâ destekli hisse seçimiyle S&amp;P 500'ü yenin.</x:v>
      </x:c>
      <x:c r="F9" s="25" t="str">
        <x:v>positive</x:v>
      </x:c>
      <x:c r="G9" s="34" t="n">
        <x:v>0.905</x:v>
      </x:c>
      <x:c r="H9" s="25" t="str">
        <x:v>positive</x:v>
      </x:c>
      <x:c r="I9" s="25" t="str">
        <x:v>medium</x:v>
      </x:c>
      <x:c r="J9" s="25" t="str">
        <x:v>S&amp;P 500'ü yenme/üstün performans iddiası olumlu.</x:v>
      </x:c>
      <x:c r="K9" s="25" t="str">
        <x:v>correct</x:v>
      </x:c>
      <x:c r="L9" s="25" t="str">
        <x:v>FinBERT etiketi final etiket ile aynı.</x:v>
      </x:c>
      <x:c r="M9" s="25" t="str"/>
      <x:c r="N9" s="25" t="str"/>
      <x:c r="O9" s="25" t="str"/>
    </x:row>
    <x:row r="10" ht="78" customHeight="1">
      <x:c r="A10" s="25" t="str">
        <x:v>SP500_ANN_0489</x:v>
      </x:c>
      <x:c r="B10" s="25" t="str">
        <x:v>SP500_HEAD_006584</x:v>
      </x:c>
      <x:c r="C10" s="25" t="str">
        <x:v>2019-03-01</x:v>
      </x:c>
      <x:c r="D10" s="25" t="str">
        <x:v>S&amp;P 500 Will Likely Report Earnings Growth in Q2 2019</x:v>
      </x:c>
      <x:c r="E10" s="25" t="str">
        <x:v>S&amp;P 500'ün 2019 ikinci çeyreğinde kâr büyümesi bildirmesi bekleniyor.</x:v>
      </x:c>
      <x:c r="F10" s="25" t="str">
        <x:v>positive</x:v>
      </x:c>
      <x:c r="G10" s="34" t="n">
        <x:v>0.884</x:v>
      </x:c>
      <x:c r="H10" s="25" t="str">
        <x:v>positive</x:v>
      </x:c>
      <x:c r="I10" s="25" t="str">
        <x:v>high</x:v>
      </x:c>
      <x:c r="J10" s="25" t="str">
        <x:v>Kâr büyümesi beklentisi olumlu.</x:v>
      </x:c>
      <x:c r="K10" s="25" t="str">
        <x:v>correct</x:v>
      </x:c>
      <x:c r="L10" s="25" t="str">
        <x:v>FinBERT etiketi final etiket ile aynı.</x:v>
      </x:c>
      <x:c r="M10" s="25" t="str"/>
      <x:c r="N10" s="25" t="str"/>
      <x:c r="O10" s="25" t="str"/>
    </x:row>
    <x:row r="11" ht="78" customHeight="1">
      <x:c r="A11" s="25" t="str">
        <x:v>SP500_ANN_0490</x:v>
      </x:c>
      <x:c r="B11" s="25" t="str">
        <x:v>SP500_HEAD_002679</x:v>
      </x:c>
      <x:c r="C11" s="25" t="str">
        <x:v>2014-04-02</x:v>
      </x:c>
      <x:c r="D11" s="25" t="str">
        <x:v>Why Google's split will change the S&amp;P 500 forever</x:v>
      </x:c>
      <x:c r="E11" s="25" t="str">
        <x:v>Google'ın bölünmesi S&amp;P 500'ü sonsuza kadar neden değiştirecek?</x:v>
      </x:c>
      <x:c r="F11" s="25" t="str">
        <x:v>neutral</x:v>
      </x:c>
      <x:c r="G11" s="34" t="n">
        <x:v>0.904</x:v>
      </x:c>
      <x:c r="H11" s="25" t="str">
        <x:v>neutral</x:v>
      </x:c>
      <x:c r="I11" s="25" t="str">
        <x:v>high</x:v>
      </x:c>
      <x:c r="J11" s="25" t="str">
        <x:v>Yapısal/açıklayıcı başlık; net piyasa yönü yok.</x:v>
      </x:c>
      <x:c r="K11" s="25" t="str">
        <x:v>correct</x:v>
      </x:c>
      <x:c r="L11" s="25" t="str">
        <x:v>FinBERT etiketi final etiket ile aynı.</x:v>
      </x:c>
      <x:c r="M11" s="25" t="str"/>
      <x:c r="N11" s="25" t="str"/>
      <x:c r="O11" s="2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2788880fa04964"/>
  </x:tableParts>
</x:worksheet>
</file>