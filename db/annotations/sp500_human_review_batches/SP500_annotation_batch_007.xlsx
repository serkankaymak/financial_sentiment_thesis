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cb83cbac4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07" sheetId="1" r:id="R60aa937c3017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202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2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202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2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b1d2ac8414160" /><Relationship Type="http://schemas.openxmlformats.org/officeDocument/2006/relationships/theme" Target="/xl/theme/theme1.xml" Id="Ree2277d1248647d1" /><Relationship Type="http://schemas.openxmlformats.org/officeDocument/2006/relationships/sharedStrings" Target="/xl/sharedStrings.xml" Id="Rbfccf6eae31349a0" /><Relationship Type="http://schemas.openxmlformats.org/officeDocument/2006/relationships/worksheet" Target="/xl/worksheets/sheet1.xml" Id="R60aa937c30174ff8" /></Relationships>
</file>

<file path=xl/tables/table1.xml><?xml version="1.0" encoding="utf-8"?>
<x:table xmlns:x="http://schemas.openxmlformats.org/spreadsheetml/2006/main" id="1" name="AnnotationTable007" displayName="AnnotationTable007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9988752d9463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52" hidden="0" customWidth="1"/>
    <x:col min="5" max="5" width="5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6" hidden="0" customWidth="1"/>
    <x:col min="11" max="11" width="18" hidden="0" customWidth="1"/>
    <x:col min="12" max="12" width="56" hidden="0" customWidth="1"/>
    <x:col min="13" max="13" width="3" hidden="0" customWidth="1"/>
    <x:col min="14" max="14" width="18" hidden="0" customWidth="1"/>
    <x:col min="15" max="15" width="12" hidden="0" customWidth="1"/>
  </x:cols>
  <x:sheetData>
    <x:row r="1" ht="30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t="str"/>
      <x:c r="N1" s="6" t="str">
        <x:v>Özet</x:v>
      </x:c>
      <x:c r="O1" s="6" t="str">
        <x:v>Değer</x:v>
      </x:c>
    </x:row>
    <x:row r="2" ht="24" customHeight="1">
      <x:c r="A2" s="14" t="str">
        <x:v>SP500_ANN_0061</x:v>
      </x:c>
      <x:c r="B2" s="14" t="str">
        <x:v>SP500_HEAD_004579</x:v>
      </x:c>
      <x:c r="C2" s="16" t="n">
        <x:v>42577</x:v>
      </x:c>
      <x:c r="D2" s="14" t="str">
        <x:v>Democrats Vs. Republicans: Who Is Better For The Stock Market?</x:v>
      </x:c>
      <x:c r="E2" s="14" t="str">
        <x:v>Demokratlar mı Cumhuriyetçiler mi: Borsa için hangisi daha iyi?</x:v>
      </x:c>
      <x:c r="F2" s="22" t="str">
        <x:v>neutral</x:v>
      </x:c>
      <x:c r="G2" s="18" t="n">
        <x:v>0.8343200087547302</x:v>
      </x:c>
      <x:c r="H2" s="22" t="str">
        <x:v>neutral</x:v>
      </x:c>
      <x:c r="I2" s="22" t="str">
        <x:v>high</x:v>
      </x:c>
      <x:c r="J2" s="14" t="str">
        <x:v>Karşılaştırmalı soru; kesin olumlu/olumsuz piyasa sonucu yok.</x:v>
      </x:c>
      <x:c r="K2" s="22" t="str">
        <x:v>correct</x:v>
      </x:c>
      <x:c r="L2" s="14" t="str">
        <x:v>FinBERT etiketi final etiket ile aynı.</x:v>
      </x:c>
      <x:c r="M2" t="str"/>
      <x:c r="N2" s="44" t="str">
        <x:v>Toplam örnek</x:v>
      </x:c>
      <x:c r="O2" s="46" t="n">
        <x:f>COUNTA(A2:A11)</x:f>
        <x:v>10</x:v>
      </x:c>
    </x:row>
    <x:row r="3" ht="24" customHeight="1">
      <x:c r="A3" s="14" t="str">
        <x:v>SP500_ANN_0062</x:v>
      </x:c>
      <x:c r="B3" s="14" t="str">
        <x:v>SP500_HEAD_007029</x:v>
      </x:c>
      <x:c r="C3" s="16" t="n">
        <x:v>43720</x:v>
      </x:c>
      <x:c r="D3" s="14" t="str">
        <x:v>Two Stocks Dominate The Market More Than IBM Did In The '80s</x:v>
      </x:c>
      <x:c r="E3" s="14" t="str">
        <x:v>İki hisse piyasaya IBM'in 80'lerde olduğundan daha fazla hâkim.</x:v>
      </x:c>
      <x:c r="F3" s="22" t="str">
        <x:v>neutral</x:v>
      </x:c>
      <x:c r="G3" s="18" t="n">
        <x:v>0.8639121651649475</x:v>
      </x:c>
      <x:c r="H3" s="22" t="str">
        <x:v>neutral</x:v>
      </x:c>
      <x:c r="I3" s="22" t="str">
        <x:v>medium</x:v>
      </x:c>
      <x:c r="J3" s="14" t="str">
        <x:v>Piyasa yoğunlaşmasını anlatıyor; olumlu ya da olumsuz yön net değil.</x:v>
      </x:c>
      <x:c r="K3" s="22" t="str">
        <x:v>correct</x:v>
      </x:c>
      <x:c r="L3" s="14" t="str">
        <x:v>FinBERT etiketi final etiket ile aynı.</x:v>
      </x:c>
      <x:c r="M3" t="str"/>
      <x:c r="N3" s="44" t="str">
        <x:v>FinBERT doğru</x:v>
      </x:c>
      <x:c r="O3" s="46" t="n">
        <x:f>COUNTIF(K2:K11,"correct")</x:f>
        <x:v>9</x:v>
      </x:c>
    </x:row>
    <x:row r="4" ht="24" customHeight="1">
      <x:c r="A4" s="14" t="str">
        <x:v>SP500_ANN_0063</x:v>
      </x:c>
      <x:c r="B4" s="14" t="str">
        <x:v>SP500_HEAD_000086</x:v>
      </x:c>
      <x:c r="C4" s="16" t="n">
        <x:v>39707</x:v>
      </x:c>
      <x:c r="D4" s="14" t="str">
        <x:v>U.S. Stocks Snap Back Amid Hopes Of AIG Rescue</x:v>
      </x:c>
      <x:c r="E4" s="14" t="str">
        <x:v>ABD hisseleri AIG kurtarma umutlarıyla toparlandı.</x:v>
      </x:c>
      <x:c r="F4" s="22" t="str">
        <x:v>negative</x:v>
      </x:c>
      <x:c r="G4" s="18" t="n">
        <x:v>0.8202482461929321</x:v>
      </x:c>
      <x:c r="H4" s="22" t="str">
        <x:v>positive</x:v>
      </x:c>
      <x:c r="I4" s="22" t="str">
        <x:v>high</x:v>
      </x:c>
      <x:c r="J4" s="14" t="str">
        <x:v>'Snap back/toparlandı' ve kurtarma umutları piyasa açısından olumlu sinyal.</x:v>
      </x:c>
      <x:c r="K4" s="22" t="str">
        <x:v>wrong</x:v>
      </x:c>
      <x:c r="L4" s="14" t="str">
        <x:v>FinBERT negative demiş; final etiket positive. Kriz/AIG bağlamına fazla ağırlık vermiş olabilir.</x:v>
      </x:c>
      <x:c r="M4" t="str"/>
      <x:c r="N4" s="44" t="str">
        <x:v>FinBERT yanlış</x:v>
      </x:c>
      <x:c r="O4" s="46" t="n">
        <x:f>COUNTIF(K2:K11,"wrong")</x:f>
        <x:v>1</x:v>
      </x:c>
    </x:row>
    <x:row r="5" ht="24" customHeight="1">
      <x:c r="A5" s="14" t="str">
        <x:v>SP500_ANN_0064</x:v>
      </x:c>
      <x:c r="B5" s="14" t="str">
        <x:v>SP500_HEAD_010887</x:v>
      </x:c>
      <x:c r="C5" s="16" t="n">
        <x:v>44694</x:v>
      </x:c>
      <x:c r="D5" s="14" t="str">
        <x:v>Stocks Return to Earth, With the S&amp;P 500 Nearing a Bear Market</x:v>
      </x:c>
      <x:c r="E5" s="14" t="str">
        <x:v>Hisseler gerçeğe dönerken S&amp;P 500 ayı piyasasına yaklaşıyor.</x:v>
      </x:c>
      <x:c r="F5" s="22" t="str">
        <x:v>negative</x:v>
      </x:c>
      <x:c r="G5" s="18" t="n">
        <x:v>0.6881100535392761</x:v>
      </x:c>
      <x:c r="H5" s="22" t="str">
        <x:v>negative</x:v>
      </x:c>
      <x:c r="I5" s="22" t="str">
        <x:v>high</x:v>
      </x:c>
      <x:c r="J5" s="14" t="str">
        <x:v>S&amp;P 500'ün ayı piyasasına yaklaşması net negatif sinyal.</x:v>
      </x:c>
      <x:c r="K5" s="22" t="str">
        <x:v>correct</x:v>
      </x:c>
      <x:c r="L5" s="14" t="str">
        <x:v>FinBERT etiketi final etiket ile aynı.</x:v>
      </x:c>
      <x:c r="M5" t="str"/>
      <x:c r="N5" s="44" t="str">
        <x:v>Doğruluk oranı</x:v>
      </x:c>
      <x:c r="O5" s="47" t="n">
        <x:f>O3/O2</x:f>
        <x:v>0.9</x:v>
      </x:c>
    </x:row>
    <x:row r="6" ht="90" customHeight="1">
      <x:c r="A6" s="14" t="str">
        <x:v>SP500_ANN_0065</x:v>
      </x:c>
      <x:c r="B6" s="14" t="str">
        <x:v>SP500_HEAD_014896</x:v>
      </x:c>
      <x:c r="C6" s="16" t="n">
        <x:v>45134</x:v>
      </x:c>
      <x:c r="D6" s="14" t="str">
        <x:v>Stock Market Today: Dow, S&amp;P Live Updates for July 28</x:v>
      </x:c>
      <x:c r="E6" s="14" t="str">
        <x:v>Bugünkü borsa: Dow ve S&amp;P canlı güncellemeleri, 28 Temmuz.</x:v>
      </x:c>
      <x:c r="F6" s="22" t="str">
        <x:v>neutral</x:v>
      </x:c>
      <x:c r="G6" s="18" t="n">
        <x:v>0.9223076105117798</x:v>
      </x:c>
      <x:c r="H6" s="22" t="str">
        <x:v>neutral</x:v>
      </x:c>
      <x:c r="I6" s="22" t="str">
        <x:v>high</x:v>
      </x:c>
      <x:c r="J6" s="14" t="str">
        <x:v>Canlı güncelleme başlığı; yön veya duygu belirtmiyor.</x:v>
      </x:c>
      <x:c r="K6" s="22" t="str">
        <x:v>correct</x:v>
      </x:c>
      <x:c r="L6" s="14" t="str">
        <x:v>FinBERT etiketi final etiket ile aynı.</x:v>
      </x:c>
      <x:c r="M6" t="str"/>
      <x:c r="N6" t="str"/>
      <x:c r="O6" t="str"/>
    </x:row>
    <x:row r="7" ht="90" customHeight="1">
      <x:c r="A7" s="14" t="str">
        <x:v>SP500_ANN_0066</x:v>
      </x:c>
      <x:c r="B7" s="14" t="str">
        <x:v>SP500_HEAD_016379</x:v>
      </x:c>
      <x:c r="C7" s="16" t="n">
        <x:v>45239</x:v>
      </x:c>
      <x:c r="D7" s="14" t="str">
        <x:v>News updates from November 9: S&amp;P 500 snaps win streak, Ransomware attack disrupts Chinese lender ICBC</x:v>
      </x:c>
      <x:c r="E7" s="14" t="str">
        <x:v>9 Kasım haber güncellemeleri: S&amp;P 500 kazanç serisini bozdu, fidye yazılımı saldırısı Çinli kredi kuruluşu ICBC'yi aksattı.</x:v>
      </x:c>
      <x:c r="F7" s="22" t="str">
        <x:v>negative</x:v>
      </x:c>
      <x:c r="G7" s="18" t="n">
        <x:v>0.9185652732849121</x:v>
      </x:c>
      <x:c r="H7" s="22" t="str">
        <x:v>negative</x:v>
      </x:c>
      <x:c r="I7" s="22" t="str">
        <x:v>high</x:v>
      </x:c>
      <x:c r="J7" s="14" t="str">
        <x:v>Kazanç serisinin bozulması ve siber saldırı haberi negatif piyasa/finans sinyali verir.</x:v>
      </x:c>
      <x:c r="K7" s="22" t="str">
        <x:v>correct</x:v>
      </x:c>
      <x:c r="L7" s="14" t="str">
        <x:v>FinBERT etiketi final etiket ile aynı.</x:v>
      </x:c>
      <x:c r="M7" t="str"/>
      <x:c r="N7" t="str"/>
      <x:c r="O7" t="str"/>
    </x:row>
    <x:row r="8" ht="90" customHeight="1">
      <x:c r="A8" s="14" t="str">
        <x:v>SP500_ANN_0067</x:v>
      </x:c>
      <x:c r="B8" s="14" t="str">
        <x:v>SP500_HEAD_012775</x:v>
      </x:c>
      <x:c r="C8" s="16" t="n">
        <x:v>44963</x:v>
      </x:c>
      <x:c r="D8" s="14" t="str">
        <x:v>Goldman Sachs ups its near-term S&amp;P 500 target due to brighter economic picture. But here's what the bank's strategists say could knock 25% off stocks.</x:v>
      </x:c>
      <x:c r="E8" s="14" t="str">
        <x:v>Goldman Sachs daha parlak ekonomik görünüm nedeniyle kısa vadeli S&amp;P 500 hedefini yükseltti; ancak stratejistler hisseleri %25 düşürebilecek unsurları da söylüyor.</x:v>
      </x:c>
      <x:c r="F8" s="22" t="str">
        <x:v>negative</x:v>
      </x:c>
      <x:c r="G8" s="18" t="n">
        <x:v>0.8879837989807129</x:v>
      </x:c>
      <x:c r="H8" s="22" t="str">
        <x:v>negative</x:v>
      </x:c>
      <x:c r="I8" s="22" t="str">
        <x:v>medium</x:v>
      </x:c>
      <x:c r="J8" s="14" t="str">
        <x:v>Başlık karışık olsa da %25 düşüş riski güçlü negatif unsur olarak öne çıkıyor.</x:v>
      </x:c>
      <x:c r="K8" s="22" t="str">
        <x:v>correct</x:v>
      </x:c>
      <x:c r="L8" s="14" t="str">
        <x:v>FinBERT etiketi final etiket ile uyumlu.</x:v>
      </x:c>
      <x:c r="M8" t="str"/>
      <x:c r="N8" t="str"/>
      <x:c r="O8" t="str"/>
    </x:row>
    <x:row r="9" ht="90" customHeight="1">
      <x:c r="A9" s="14" t="str">
        <x:v>SP500_ANN_0068</x:v>
      </x:c>
      <x:c r="B9" s="14" t="str">
        <x:v>SP500_HEAD_006825</x:v>
      </x:c>
      <x:c r="C9" s="16" t="n">
        <x:v>43636</x:v>
      </x:c>
      <x:c r="D9" s="14" t="str">
        <x:v>S&amp;P 500 closes at historic peak after Fed adopts easy-money posture</x:v>
      </x:c>
      <x:c r="E9" s="14" t="str">
        <x:v>Fed gevşek para duruşu benimsedikten sonra S&amp;P 500 tarihi zirvede kapandı.</x:v>
      </x:c>
      <x:c r="F9" s="22" t="str">
        <x:v>positive</x:v>
      </x:c>
      <x:c r="G9" s="18" t="n">
        <x:v>0.6346505880355835</x:v>
      </x:c>
      <x:c r="H9" s="22" t="str">
        <x:v>positive</x:v>
      </x:c>
      <x:c r="I9" s="22" t="str">
        <x:v>high</x:v>
      </x:c>
      <x:c r="J9" s="14" t="str">
        <x:v>Tarihi zirvede kapanış ve destekleyici Fed duruşu açık olumlu piyasa sinyali.</x:v>
      </x:c>
      <x:c r="K9" s="22" t="str">
        <x:v>correct</x:v>
      </x:c>
      <x:c r="L9" s="14" t="str">
        <x:v>FinBERT etiketi final etiket ile aynı.</x:v>
      </x:c>
      <x:c r="M9" t="str"/>
      <x:c r="N9" t="str"/>
      <x:c r="O9" t="str"/>
    </x:row>
    <x:row r="10" ht="90" customHeight="1">
      <x:c r="A10" s="14" t="str">
        <x:v>SP500_ANN_0069</x:v>
      </x:c>
      <x:c r="B10" s="14" t="str">
        <x:v>SP500_HEAD_017793</x:v>
      </x:c>
      <x:c r="C10" s="16" t="n">
        <x:v>45348</x:v>
      </x:c>
      <x:c r="D10" s="14" t="str">
        <x:v>S&amp;P 500 Notches Another Record Closing High</x:v>
      </x:c>
      <x:c r="E10" s="14" t="str">
        <x:v>S&amp;P 500 bir başka rekor kapanış zirvesi kaydetti.</x:v>
      </x:c>
      <x:c r="F10" s="22" t="str">
        <x:v>positive</x:v>
      </x:c>
      <x:c r="G10" s="18" t="n">
        <x:v>0.8070535063743591</x:v>
      </x:c>
      <x:c r="H10" s="22" t="str">
        <x:v>positive</x:v>
      </x:c>
      <x:c r="I10" s="22" t="str">
        <x:v>high</x:v>
      </x:c>
      <x:c r="J10" s="14" t="str">
        <x:v>Rekor kapanış zirvesi açık pozitif piyasa sinyali.</x:v>
      </x:c>
      <x:c r="K10" s="22" t="str">
        <x:v>correct</x:v>
      </x:c>
      <x:c r="L10" s="14" t="str">
        <x:v>FinBERT etiketi final etiket ile aynı.</x:v>
      </x:c>
      <x:c r="M10" t="str"/>
      <x:c r="N10" t="str"/>
      <x:c r="O10" t="str"/>
    </x:row>
    <x:row r="11" ht="90" customHeight="1">
      <x:c r="A11" s="14" t="str">
        <x:v>SP500_ANN_0070</x:v>
      </x:c>
      <x:c r="B11" s="14" t="str">
        <x:v>SP500_HEAD_014605</x:v>
      </x:c>
      <x:c r="C11" s="16" t="n">
        <x:v>45114</x:v>
      </x:c>
      <x:c r="D11" s="14" t="str">
        <x:v>SPX: S&amp;P 500 Drops 0.8% After Data Shows US Labor Market is Still Hot</x:v>
      </x:c>
      <x:c r="E11" s="14" t="str">
        <x:v>SPX: ABD işgücü piyasasının hâlâ sıcak olduğunu gösteren veri sonrası S&amp;P 500 %0,8 düştü.</x:v>
      </x:c>
      <x:c r="F11" s="22" t="str">
        <x:v>negative</x:v>
      </x:c>
      <x:c r="G11" s="18" t="n">
        <x:v>0.9655989408493042</x:v>
      </x:c>
      <x:c r="H11" s="22" t="str">
        <x:v>negative</x:v>
      </x:c>
      <x:c r="I11" s="22" t="str">
        <x:v>high</x:v>
      </x:c>
      <x:c r="J11" s="14" t="str">
        <x:v>S&amp;P 500'ün veri sonrası düşmesi net negatif sinyal.</x:v>
      </x:c>
      <x:c r="K11" s="22" t="str">
        <x:v>correct</x:v>
      </x:c>
      <x:c r="L11" s="14" t="str">
        <x:v>FinBERT etiketi final etiket ile aynı.</x:v>
      </x:c>
      <x:c r="M11" t="str"/>
      <x:c r="N11" t="str"/>
      <x:c r="O1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09988752d94634"/>
  </x:tableParts>
</x:worksheet>
</file>