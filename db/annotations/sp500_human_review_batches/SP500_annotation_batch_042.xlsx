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36c0e1d3b54d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_042" sheetId="1" r:id="Rb4b9b3ac074749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%"/>
    <x:numFmt numFmtId="202" formatCode="0.000"/>
  </x:numFmts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548235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ill>
        <x:patternFill patternType="solid">
          <x:bgColor rgb="F8CBAD"/>
        </x:patternFill>
      </x:fill>
    </x:dxf>
    <x:dxf>
      <x:fill>
        <x:patternFill patternType="solid">
          <x:bgColor rgb="C6E0B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7e691b799044e5" /><Relationship Type="http://schemas.openxmlformats.org/officeDocument/2006/relationships/theme" Target="/xl/theme/theme1.xml" Id="R3ed55eef306c41bc" /><Relationship Type="http://schemas.openxmlformats.org/officeDocument/2006/relationships/sharedStrings" Target="/xl/sharedStrings.xml" Id="R63a85c3b34664f2f" /><Relationship Type="http://schemas.openxmlformats.org/officeDocument/2006/relationships/worksheet" Target="/xl/worksheets/sheet1.xml" Id="Rb4b9b3ac074749f8" /></Relationships>
</file>

<file path=xl/tables/table1.xml><?xml version="1.0" encoding="utf-8"?>
<x:table xmlns:x="http://schemas.openxmlformats.org/spreadsheetml/2006/main" id="1" name="Batch042Table" displayName="Batch042Table" ref="A1:L11" headerRowCount="1">
  <x:tableColumns count="12">
    <x:tableColumn id="1" name="annotation_id"/>
    <x:tableColumn id="2" name="sample_id"/>
    <x:tableColumn id="3" name="date"/>
    <x:tableColumn id="4" name="text_en"/>
    <x:tableColumn id="5" name="text_tr"/>
    <x:tableColumn id="6" name="finbert_label"/>
    <x:tableColumn id="7" name="finbert_confidence"/>
    <x:tableColumn id="8" name="chatgpt_label"/>
    <x:tableColumn id="9" name="chatgpt_confidence"/>
    <x:tableColumn id="10" name="chatgpt_reason_tr"/>
    <x:tableColumn id="11" name="finbert_correctness"/>
    <x:tableColumn id="12" name="finbert_correctness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3c38b8b84c5416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2" hidden="0" customWidth="1"/>
    <x:col min="4" max="4" width="42" hidden="0" customWidth="1"/>
    <x:col min="5" max="5" width="42" hidden="0" customWidth="1"/>
    <x:col min="6" max="6" width="14" hidden="0" customWidth="1"/>
    <x:col min="7" max="7" width="16" hidden="0" customWidth="1"/>
    <x:col min="8" max="8" width="14" hidden="0" customWidth="1"/>
    <x:col min="9" max="9" width="18" hidden="0" customWidth="1"/>
    <x:col min="10" max="10" width="48" hidden="0" customWidth="1"/>
    <x:col min="11" max="11" width="18" hidden="0" customWidth="1"/>
    <x:col min="12" max="12" width="42" hidden="0" customWidth="1"/>
    <x:col min="13" max="13" width="3" hidden="0" customWidth="1"/>
    <x:col min="14" max="14" width="18" hidden="0" customWidth="1"/>
    <x:col min="15" max="15" width="14" hidden="0" customWidth="1"/>
  </x:cols>
  <x:sheetData>
    <x:row r="1" ht="32" customHeight="1">
      <x:c r="A1" s="24" t="str">
        <x:v>annotation_id</x:v>
      </x:c>
      <x:c r="B1" s="24" t="str">
        <x:v>sample_id</x:v>
      </x:c>
      <x:c r="C1" s="24" t="str">
        <x:v>date</x:v>
      </x:c>
      <x:c r="D1" s="24" t="str">
        <x:v>text_en</x:v>
      </x:c>
      <x:c r="E1" s="24" t="str">
        <x:v>text_tr</x:v>
      </x:c>
      <x:c r="F1" s="24" t="str">
        <x:v>finbert_label</x:v>
      </x:c>
      <x:c r="G1" s="24" t="str">
        <x:v>finbert_confidence</x:v>
      </x:c>
      <x:c r="H1" s="24" t="str">
        <x:v>chatgpt_label</x:v>
      </x:c>
      <x:c r="I1" s="24" t="str">
        <x:v>chatgpt_confidence</x:v>
      </x:c>
      <x:c r="J1" s="24" t="str">
        <x:v>chatgpt_reason_tr</x:v>
      </x:c>
      <x:c r="K1" s="24" t="str">
        <x:v>finbert_correctness</x:v>
      </x:c>
      <x:c r="L1" s="24" t="str">
        <x:v>finbert_correctness_note</x:v>
      </x:c>
      <x:c r="M1" s="25" t="str"/>
      <x:c r="N1" s="26" t="str">
        <x:v>Özet</x:v>
      </x:c>
      <x:c r="O1" s="26" t="str">
        <x:v>Değer</x:v>
      </x:c>
    </x:row>
    <x:row r="2" ht="78" customHeight="1">
      <x:c r="A2" s="25" t="str">
        <x:v>SP500_ANN_0411</x:v>
      </x:c>
      <x:c r="B2" s="25" t="str">
        <x:v>SP500_HEAD_000512</x:v>
      </x:c>
      <x:c r="C2" s="25" t="str">
        <x:v>2011-03-16</x:v>
      </x:c>
      <x:c r="D2" s="25" t="str">
        <x:v>Report: Profits for Media and Entertainment Sector Remain High Despite Downturn</x:v>
      </x:c>
      <x:c r="E2" s="25" t="str">
        <x:v>Rapor: Medya ve eğlence sektörünün kârları düşüşe rağmen yüksek kalıyor.</x:v>
      </x:c>
      <x:c r="F2" s="25" t="str">
        <x:v>positive</x:v>
      </x:c>
      <x:c r="G2" s="34" t="n">
        <x:v>0.95</x:v>
      </x:c>
      <x:c r="H2" s="25" t="str">
        <x:v>positive</x:v>
      </x:c>
      <x:c r="I2" s="25" t="str">
        <x:v>high</x:v>
      </x:c>
      <x:c r="J2" s="25" t="str">
        <x:v>Kârların yüksek kalması sektör açısından olumlu.</x:v>
      </x:c>
      <x:c r="K2" s="25" t="str">
        <x:v>correct</x:v>
      </x:c>
      <x:c r="L2" s="25" t="str">
        <x:v>FinBERT etiketi final etiket ile aynı.</x:v>
      </x:c>
      <x:c r="M2" s="25" t="str"/>
      <x:c r="N2" s="25" t="str">
        <x:v>Toplam örnek</x:v>
      </x:c>
      <x:c r="O2" s="30" t="n">
        <x:f>COUNTA(A2:A11)</x:f>
        <x:v>10</x:v>
      </x:c>
    </x:row>
    <x:row r="3" ht="78" customHeight="1">
      <x:c r="A3" s="25" t="str">
        <x:v>SP500_ANN_0412</x:v>
      </x:c>
      <x:c r="B3" s="25" t="str">
        <x:v>SP500_HEAD_003145</x:v>
      </x:c>
      <x:c r="C3" s="25" t="str">
        <x:v>2014-10-15</x:v>
      </x:c>
      <x:c r="D3" s="25" t="str">
        <x:v>Market 'freak out': Stocks rebound from scary plunge</x:v>
      </x:c>
      <x:c r="E3" s="25" t="str">
        <x:v>Piyasa paniği: Hisseler korkutucu düşüşten toparlandı.</x:v>
      </x:c>
      <x:c r="F3" s="25" t="str">
        <x:v>negative</x:v>
      </x:c>
      <x:c r="G3" s="34" t="n">
        <x:v>0.52</x:v>
      </x:c>
      <x:c r="H3" s="25" t="str">
        <x:v>positive</x:v>
      </x:c>
      <x:c r="I3" s="25" t="str">
        <x:v>high</x:v>
      </x:c>
      <x:c r="J3" s="25" t="str">
        <x:v>Düşüşten toparlanma/rebound olumlu piyasa sinyali.</x:v>
      </x:c>
      <x:c r="K3" s="25" t="str">
        <x:v>wrong</x:v>
      </x:c>
      <x:c r="L3" s="25" t="str">
        <x:v>FinBERT negative demiş; final etiket positive.</x:v>
      </x:c>
      <x:c r="M3" s="25" t="str"/>
      <x:c r="N3" s="25" t="str">
        <x:v>FinBERT doğru</x:v>
      </x:c>
      <x:c r="O3" s="30" t="n">
        <x:f>COUNTIF(K2:K11,"correct")</x:f>
        <x:v>8</x:v>
      </x:c>
    </x:row>
    <x:row r="4" ht="78" customHeight="1">
      <x:c r="A4" s="25" t="str">
        <x:v>SP500_ANN_0413</x:v>
      </x:c>
      <x:c r="B4" s="25" t="str">
        <x:v>SP500_HEAD_004310</x:v>
      </x:c>
      <x:c r="C4" s="25" t="str">
        <x:v>2016-03-29</x:v>
      </x:c>
      <x:c r="D4" s="25" t="str">
        <x:v>Are European Stocks Cheap or is the U.S. Expensive?</x:v>
      </x:c>
      <x:c r="E4" s="25" t="str">
        <x:v>Avrupa hisseleri ucuz mu yoksa ABD pahalı mı?</x:v>
      </x:c>
      <x:c r="F4" s="25" t="str">
        <x:v>neutral</x:v>
      </x:c>
      <x:c r="G4" s="34" t="n">
        <x:v>0.883</x:v>
      </x:c>
      <x:c r="H4" s="25" t="str">
        <x:v>neutral</x:v>
      </x:c>
      <x:c r="I4" s="25" t="str">
        <x:v>high</x:v>
      </x:c>
      <x:c r="J4" s="25" t="str">
        <x:v>Değerleme karşılaştırması yapıyor; net yön veya duygu yok.</x:v>
      </x:c>
      <x:c r="K4" s="25" t="str">
        <x:v>correct</x:v>
      </x:c>
      <x:c r="L4" s="25" t="str">
        <x:v>FinBERT etiketi final etiket ile aynı.</x:v>
      </x:c>
      <x:c r="M4" s="25" t="str"/>
      <x:c r="N4" s="25" t="str">
        <x:v>FinBERT yanlış</x:v>
      </x:c>
      <x:c r="O4" s="30" t="n">
        <x:f>COUNTIF(K2:K11,"wrong")</x:f>
        <x:v>2</x:v>
      </x:c>
    </x:row>
    <x:row r="5" ht="78" customHeight="1">
      <x:c r="A5" s="25" t="str">
        <x:v>SP500_ANN_0414</x:v>
      </x:c>
      <x:c r="B5" s="25" t="str">
        <x:v>SP500_HEAD_013115</x:v>
      </x:c>
      <x:c r="C5" s="25" t="str">
        <x:v>2023-03-07</x:v>
      </x:c>
      <x:c r="D5" s="25" t="str">
        <x:v>Stocks close sharply down after Powell says rates will rise more than expected</x:v>
      </x:c>
      <x:c r="E5" s="25" t="str">
        <x:v>Powell faizlerin beklenenden fazla artacağını söyleyince hisseler sert düştü.</x:v>
      </x:c>
      <x:c r="F5" s="25" t="str">
        <x:v>negative</x:v>
      </x:c>
      <x:c r="G5" s="34" t="n">
        <x:v>0.957</x:v>
      </x:c>
      <x:c r="H5" s="25" t="str">
        <x:v>negative</x:v>
      </x:c>
      <x:c r="I5" s="25" t="str">
        <x:v>high</x:v>
      </x:c>
      <x:c r="J5" s="25" t="str">
        <x:v>Sert düşüş ve daha yüksek faiz beklentisi açık negatif.</x:v>
      </x:c>
      <x:c r="K5" s="25" t="str">
        <x:v>correct</x:v>
      </x:c>
      <x:c r="L5" s="25" t="str">
        <x:v>FinBERT etiketi final etiket ile aynı.</x:v>
      </x:c>
      <x:c r="M5" s="25" t="str"/>
      <x:c r="N5" s="25" t="str">
        <x:v>Doğruluk oranı</x:v>
      </x:c>
      <x:c r="O5" s="32" t="n">
        <x:f>IF(O2=0,0,O3/O2)</x:f>
        <x:v>0.8</x:v>
      </x:c>
    </x:row>
    <x:row r="6" ht="78" customHeight="1">
      <x:c r="A6" s="25" t="str">
        <x:v>SP500_ANN_0415</x:v>
      </x:c>
      <x:c r="B6" s="25" t="str">
        <x:v>SP500_HEAD_008372</x:v>
      </x:c>
      <x:c r="C6" s="25" t="str">
        <x:v>2020-09-09</x:v>
      </x:c>
      <x:c r="D6" s="25" t="str">
        <x:v>How Stocks Behave After S&amp;P 500, VIX Returns Are Positive</x:v>
      </x:c>
      <x:c r="E6" s="25" t="str">
        <x:v>S&amp;P 500 ve VIX getirileri pozitif olduktan sonra hisseler nasıl davranır?</x:v>
      </x:c>
      <x:c r="F6" s="25" t="str">
        <x:v>neutral</x:v>
      </x:c>
      <x:c r="G6" s="34" t="n">
        <x:v>0.912</x:v>
      </x:c>
      <x:c r="H6" s="25" t="str">
        <x:v>neutral</x:v>
      </x:c>
      <x:c r="I6" s="25" t="str">
        <x:v>high</x:v>
      </x:c>
      <x:c r="J6" s="25" t="str">
        <x:v>Analitik/öğretici bir başlık; net piyasa yönü yok.</x:v>
      </x:c>
      <x:c r="K6" s="25" t="str">
        <x:v>correct</x:v>
      </x:c>
      <x:c r="L6" s="25" t="str">
        <x:v>FinBERT etiketi final etiket ile aynı.</x:v>
      </x:c>
      <x:c r="M6" s="25" t="str"/>
      <x:c r="N6" s="25" t="str"/>
      <x:c r="O6" s="25" t="str"/>
    </x:row>
    <x:row r="7" ht="78" customHeight="1">
      <x:c r="A7" s="25" t="str">
        <x:v>SP500_ANN_0416</x:v>
      </x:c>
      <x:c r="B7" s="25" t="str">
        <x:v>SP500_HEAD_001871</x:v>
      </x:c>
      <x:c r="C7" s="25" t="str">
        <x:v>2013-03-25</x:v>
      </x:c>
      <x:c r="D7" s="25" t="str">
        <x:v>Meet Elizabeth: The heart and soul of ‘BioShock Infinite’</x:v>
      </x:c>
      <x:c r="E7" s="25" t="str">
        <x:v>Elizabeth ile tanışın: BioShock Infinite’in kalbi ve ruhu.</x:v>
      </x:c>
      <x:c r="F7" s="25" t="str">
        <x:v>neutral</x:v>
      </x:c>
      <x:c r="G7" s="34" t="n">
        <x:v>0.914</x:v>
      </x:c>
      <x:c r="H7" s="25" t="str">
        <x:v>neutral</x:v>
      </x:c>
      <x:c r="I7" s="25" t="str">
        <x:v>high</x:v>
      </x:c>
      <x:c r="J7" s="25" t="str">
        <x:v>Finansal piyasa ile ilgili değil; duygu etiketi nötr.</x:v>
      </x:c>
      <x:c r="K7" s="25" t="str">
        <x:v>correct</x:v>
      </x:c>
      <x:c r="L7" s="25" t="str">
        <x:v>FinBERT etiketi final etiket ile aynı.</x:v>
      </x:c>
      <x:c r="M7" s="25" t="str"/>
      <x:c r="N7" s="25" t="str"/>
      <x:c r="O7" s="25" t="str"/>
    </x:row>
    <x:row r="8" ht="78" customHeight="1">
      <x:c r="A8" s="25" t="str">
        <x:v>SP500_ANN_0417</x:v>
      </x:c>
      <x:c r="B8" s="25" t="str">
        <x:v>SP500_HEAD_001119</x:v>
      </x:c>
      <x:c r="C8" s="25" t="str">
        <x:v>2012-03-09</x:v>
      </x:c>
      <x:c r="D8" s="25" t="str">
        <x:v>China protests at India cotton export ban</x:v>
      </x:c>
      <x:c r="E8" s="25" t="str">
        <x:v>Çin, Hindistan'ın pamuk ihracatı yasağını protesto ediyor.</x:v>
      </x:c>
      <x:c r="F8" s="25" t="str">
        <x:v>negative</x:v>
      </x:c>
      <x:c r="G8" s="34" t="n">
        <x:v>0.868</x:v>
      </x:c>
      <x:c r="H8" s="25" t="str">
        <x:v>negative</x:v>
      </x:c>
      <x:c r="I8" s="25" t="str">
        <x:v>medium</x:v>
      </x:c>
      <x:c r="J8" s="25" t="str">
        <x:v>İhracat yasağı ve protesto ticaret açısından olumsuz risk taşıyor.</x:v>
      </x:c>
      <x:c r="K8" s="25" t="str">
        <x:v>correct</x:v>
      </x:c>
      <x:c r="L8" s="25" t="str">
        <x:v>FinBERT etiketi final etiket ile aynı.</x:v>
      </x:c>
      <x:c r="M8" s="25" t="str"/>
      <x:c r="N8" s="25" t="str"/>
      <x:c r="O8" s="25" t="str"/>
    </x:row>
    <x:row r="9" ht="78" customHeight="1">
      <x:c r="A9" s="25" t="str">
        <x:v>SP500_ANN_0418</x:v>
      </x:c>
      <x:c r="B9" s="25" t="str">
        <x:v>SP500_HEAD_015687</x:v>
      </x:c>
      <x:c r="C9" s="25" t="str">
        <x:v>2023-09-22</x:v>
      </x:c>
      <x:c r="D9" s="25" t="str">
        <x:v>4 Insurance Stocks That Have Outperformed S&amp;P 500 in a Year</x:v>
      </x:c>
      <x:c r="E9" s="25" t="str">
        <x:v>Bir yılda S&amp;P 500'ü geride bırakan 4 sigorta hissesi.</x:v>
      </x:c>
      <x:c r="F9" s="25" t="str">
        <x:v>positive</x:v>
      </x:c>
      <x:c r="G9" s="34" t="n">
        <x:v>0.809</x:v>
      </x:c>
      <x:c r="H9" s="25" t="str">
        <x:v>positive</x:v>
      </x:c>
      <x:c r="I9" s="25" t="str">
        <x:v>high</x:v>
      </x:c>
      <x:c r="J9" s="25" t="str">
        <x:v>Outperform ifadesi olumlu yatırım/performans sinyali.</x:v>
      </x:c>
      <x:c r="K9" s="25" t="str">
        <x:v>correct</x:v>
      </x:c>
      <x:c r="L9" s="25" t="str">
        <x:v>FinBERT etiketi final etiket ile aynı.</x:v>
      </x:c>
      <x:c r="M9" s="25" t="str"/>
      <x:c r="N9" s="25" t="str"/>
      <x:c r="O9" s="25" t="str"/>
    </x:row>
    <x:row r="10" ht="78" customHeight="1">
      <x:c r="A10" s="25" t="str">
        <x:v>SP500_ANN_0419</x:v>
      </x:c>
      <x:c r="B10" s="25" t="str">
        <x:v>SP500_HEAD_011134</x:v>
      </x:c>
      <x:c r="C10" s="25" t="str">
        <x:v>2022-06-14</x:v>
      </x:c>
      <x:c r="D10" s="25" t="str">
        <x:v>Limit Your Downside Risk During a Bear Market</x:v>
      </x:c>
      <x:c r="E10" s="25" t="str">
        <x:v>Ayı piyasasında aşağı yönlü riskinizi sınırlayın.</x:v>
      </x:c>
      <x:c r="F10" s="25" t="str">
        <x:v>neutral</x:v>
      </x:c>
      <x:c r="G10" s="34" t="n">
        <x:v>0.911</x:v>
      </x:c>
      <x:c r="H10" s="25" t="str">
        <x:v>neutral</x:v>
      </x:c>
      <x:c r="I10" s="25" t="str">
        <x:v>medium</x:v>
      </x:c>
      <x:c r="J10" s="25" t="str">
        <x:v>Risk yönetimi tavsiyesi; doğrudan piyasa yönü vermiyor.</x:v>
      </x:c>
      <x:c r="K10" s="25" t="str">
        <x:v>correct</x:v>
      </x:c>
      <x:c r="L10" s="25" t="str">
        <x:v>FinBERT etiketi final etiket ile aynı.</x:v>
      </x:c>
      <x:c r="M10" s="25" t="str"/>
      <x:c r="N10" s="25" t="str"/>
      <x:c r="O10" s="25" t="str"/>
    </x:row>
    <x:row r="11" ht="78" customHeight="1">
      <x:c r="A11" s="25" t="str">
        <x:v>SP500_ANN_0420</x:v>
      </x:c>
      <x:c r="B11" s="25" t="str">
        <x:v>SP500_HEAD_005649</x:v>
      </x:c>
      <x:c r="C11" s="25" t="str">
        <x:v>2018-01-18</x:v>
      </x:c>
      <x:c r="D11" s="25" t="str">
        <x:v>Junk Bonds Are Sending An Important Message To The Markets (JNK)</x:v>
      </x:c>
      <x:c r="E11" s="25" t="str">
        <x:v>Junk tahviller piyasalara önemli bir mesaj gönderiyor.</x:v>
      </x:c>
      <x:c r="F11" s="25" t="str">
        <x:v>positive</x:v>
      </x:c>
      <x:c r="G11" s="34" t="n">
        <x:v>0.613</x:v>
      </x:c>
      <x:c r="H11" s="25" t="str">
        <x:v>neutral</x:v>
      </x:c>
      <x:c r="I11" s="25" t="str">
        <x:v>medium</x:v>
      </x:c>
      <x:c r="J11" s="25" t="str">
        <x:v>Mesajın yönü belirtilmediği için net olumlu/olumsuz sinyal yok.</x:v>
      </x:c>
      <x:c r="K11" s="25" t="str">
        <x:v>wrong</x:v>
      </x:c>
      <x:c r="L11" s="25" t="str">
        <x:v>FinBERT positive demiş; final etiket neutral.</x:v>
      </x:c>
      <x:c r="M11" s="25" t="str"/>
      <x:c r="N11" s="25" t="str"/>
      <x:c r="O11" s="25" t="str"/>
    </x:row>
  </x:sheetData>
  <x:conditionalFormatting sqref="K2:K11">
    <x:cfRule type="expression" dxfId="0" priority="1">
      <x:formula>K2="wrong"</x:formula>
    </x:cfRule>
    <x:cfRule type="expression" dxfId="1" priority="2">
      <x:formula>K2="correct"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3c38b8b84c54164"/>
  </x:tableParts>
</x:worksheet>
</file>