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1024df6d354a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" sheetId="1" r:id="Rf54f5bf416e44d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"/>
    <x:numFmt numFmtId="202" formatCode="0%"/>
  </x:numFmts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375623"/>
      </x:patternFill>
    </x:fill>
  </x:fills>
  <x:borders count="20">
    <x:border/>
    <x:border/>
    <x:border>
      <x:left>
        <x:color rgb="B4C6E7"/>
      </x:left>
      <x:right>
        <x:color rgb="D9E2F3"/>
      </x:right>
      <x:top>
        <x:color rgb="B4C6E7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B4C6E7"/>
      </x:top>
      <x:bottom>
        <x:color rgb="D9E2F3"/>
      </x:bottom>
    </x:border>
    <x:border>
      <x:left>
        <x:color rgb="D9E2F3"/>
      </x:left>
      <x:right>
        <x:color rgb="B4C6E7"/>
      </x:right>
      <x:top>
        <x:color rgb="B4C6E7"/>
      </x:top>
      <x:bottom>
        <x:color rgb="D9E2F3"/>
      </x:bottom>
    </x:border>
    <x:border>
      <x:left>
        <x:color rgb="B4C6E7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B4C6E7"/>
      </x:right>
      <x:top>
        <x:color rgb="D9E2F3"/>
      </x:top>
      <x:bottom>
        <x:color rgb="D9E2F3"/>
      </x:bottom>
    </x:border>
    <x:border>
      <x:left>
        <x:color rgb="B4C6E7"/>
      </x:left>
      <x:right>
        <x:color rgb="D9E2F3"/>
      </x:right>
      <x:top>
        <x:color rgb="D9E2F3"/>
      </x:top>
      <x:bottom>
        <x:color rgb="B4C6E7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B4C6E7"/>
      </x:bottom>
    </x:border>
    <x:border>
      <x:left>
        <x:color rgb="D9E2F3"/>
      </x:left>
      <x:right>
        <x:color rgb="B4C6E7"/>
      </x:right>
      <x:top>
        <x:color rgb="D9E2F3"/>
      </x:top>
      <x:bottom>
        <x:color rgb="B4C6E7"/>
      </x:bottom>
    </x:border>
    <x:border>
      <x:left>
        <x:color rgb="B4C6E7"/>
      </x:left>
      <x:right>
        <x:color rgb="D9E2F3"/>
      </x:right>
      <x:top>
        <x:color rgb="B4C6E7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B4C6E7"/>
      </x:top>
      <x:bottom>
        <x:color rgb="D9E2F3"/>
      </x:bottom>
    </x:border>
    <x:border>
      <x:left>
        <x:color rgb="D9E2F3"/>
      </x:left>
      <x:right>
        <x:color rgb="B4C6E7"/>
      </x:right>
      <x:top>
        <x:color rgb="B4C6E7"/>
      </x:top>
      <x:bottom>
        <x:color rgb="D9E2F3"/>
      </x:bottom>
    </x:border>
    <x:border>
      <x:left>
        <x:color rgb="B4C6E7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B4C6E7"/>
      </x:right>
      <x:top>
        <x:color rgb="D9E2F3"/>
      </x:top>
      <x:bottom>
        <x:color rgb="D9E2F3"/>
      </x:bottom>
    </x:border>
    <x:border>
      <x:left>
        <x:color rgb="B4C6E7"/>
      </x:left>
      <x:right>
        <x:color rgb="D9E2F3"/>
      </x:right>
      <x:top>
        <x:color rgb="D9E2F3"/>
      </x:top>
      <x:bottom>
        <x:color rgb="B4C6E7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B4C6E7"/>
      </x:bottom>
    </x:border>
    <x:border>
      <x:left>
        <x:color rgb="D9E2F3"/>
      </x:left>
      <x:right>
        <x:color rgb="B4C6E7"/>
      </x:right>
      <x:top>
        <x:color rgb="D9E2F3"/>
      </x:top>
      <x:bottom>
        <x:color rgb="B4C6E7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top" wrapText="1"/>
    </x:xf>
    <x:xf numFmtId="0" fontId="1" fillId="2" borderId="2" xfId="0" applyNumberFormat="1" applyFont="1" applyFill="1" applyBorder="1" applyAlignment="1">
      <x:alignment horizontal="center" vertical="top" wrapText="1"/>
    </x:xf>
    <x:xf numFmtId="0" fontId="1" fillId="2" borderId="3" xfId="0" applyNumberFormat="1" applyFont="1" applyFill="1" applyBorder="1" applyAlignment="1">
      <x:alignment horizontal="center"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1" fillId="3" borderId="3" xfId="0" applyNumberFormat="1" applyFont="1" applyFill="1" applyBorder="1" applyAlignment="1">
      <x:alignment horizontal="center" vertical="top" wrapText="1"/>
    </x:xf>
    <x:xf numFmtId="0" fontId="1" fillId="3" borderId="4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1" fillId="2" borderId="11" xfId="0" applyNumberFormat="1" applyFont="1" applyFill="1" applyBorder="1" applyAlignment="1">
      <x:alignment horizontal="center" vertical="top" wrapText="1"/>
    </x:xf>
    <x:xf numFmtId="0" fontId="1" fillId="2" borderId="12" xfId="0" applyNumberFormat="1" applyFont="1" applyFill="1" applyBorder="1" applyAlignment="1">
      <x:alignment horizontal="center"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1" fillId="3" borderId="12" xfId="0" applyNumberFormat="1" applyFont="1" applyFill="1" applyBorder="1" applyAlignment="1">
      <x:alignment horizontal="center" vertical="top" wrapText="1"/>
    </x:xf>
    <x:xf numFmtId="0" fontId="1" fillId="3" borderId="13" xfId="0" applyNumberFormat="1" applyFont="1" applyFill="1" applyBorder="1" applyAlignment="1">
      <x:alignment horizontal="center"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200" fontId="0" fillId="0" borderId="6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200" fontId="0" fillId="0" borderId="15" xfId="0" applyNumberFormat="1" applyFont="1" applyFill="1" applyBorder="1" applyAlignment="1">
      <x:alignment vertical="top" wrapText="1"/>
    </x:xf>
    <x:xf numFmtId="200" fontId="0" fillId="0" borderId="18" xfId="0" applyNumberFormat="1" applyFont="1" applyFill="1" applyBorder="1" applyAlignment="1">
      <x:alignment vertical="top" wrapText="1"/>
    </x:xf>
    <x:xf numFmtId="201" fontId="0" fillId="0" borderId="6" xfId="0" applyNumberFormat="1" applyFont="1" applyFill="1" applyBorder="1" applyAlignment="1">
      <x:alignment vertical="top" wrapText="1"/>
    </x:xf>
    <x:xf numFmtId="201" fontId="0" fillId="0" borderId="9" xfId="0" applyNumberFormat="1" applyFont="1" applyFill="1" applyBorder="1" applyAlignment="1">
      <x:alignment vertical="top" wrapText="1"/>
    </x:xf>
    <x:xf numFmtId="201" fontId="0" fillId="0" borderId="15" xfId="0" applyNumberFormat="1" applyFont="1" applyFill="1" applyBorder="1" applyAlignment="1">
      <x:alignment vertical="top" wrapText="1"/>
    </x:xf>
    <x:xf numFmtId="201" fontId="0" fillId="0" borderId="18" xfId="0" applyNumberFormat="1" applyFont="1" applyFill="1" applyBorder="1" applyAlignment="1">
      <x:alignment vertical="top" wrapText="1"/>
    </x:xf>
    <x:xf numFmtId="202" fontId="0" fillId="0" borderId="7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ea43fdc23e449a" /><Relationship Type="http://schemas.openxmlformats.org/officeDocument/2006/relationships/theme" Target="/xl/theme/theme1.xml" Id="R679b3b6b92424701" /><Relationship Type="http://schemas.openxmlformats.org/officeDocument/2006/relationships/sharedStrings" Target="/xl/sharedStrings.xml" Id="R3b3e4ff2abf24e5b" /><Relationship Type="http://schemas.openxmlformats.org/officeDocument/2006/relationships/worksheet" Target="/xl/worksheets/sheet1.xml" Id="Rf54f5bf416e44de1" /></Relationships>
</file>

<file path=xl/tables/table1.xml><?xml version="1.0" encoding="utf-8"?>
<x:table xmlns:x="http://schemas.openxmlformats.org/spreadsheetml/2006/main" id="1" name="AnnotationTable012" displayName="AnnotationTable012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6b712b5fbea4067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12" hidden="0" customWidth="1"/>
    <x:col min="4" max="4" width="44" hidden="0" customWidth="1"/>
    <x:col min="5" max="5" width="44" hidden="0" customWidth="1"/>
    <x:col min="6" max="6" width="14" hidden="0" customWidth="1"/>
    <x:col min="7" max="7" width="16" hidden="0" customWidth="1"/>
    <x:col min="8" max="8" width="14" hidden="0" customWidth="1"/>
    <x:col min="9" max="9" width="18" hidden="0" customWidth="1"/>
    <x:col min="10" max="10" width="48" hidden="0" customWidth="1"/>
    <x:col min="11" max="11" width="18" hidden="0" customWidth="1"/>
    <x:col min="12" max="12" width="40" hidden="0" customWidth="1"/>
    <x:col min="13" max="13" width="3" hidden="0" customWidth="1"/>
    <x:col min="14" max="14" width="18" hidden="0" customWidth="1"/>
    <x:col min="15" max="15" width="14" hidden="0" customWidth="1"/>
  </x:cols>
  <x:sheetData>
    <x:row r="1" ht="28" customHeight="1">
      <x:c r="A1" s="28" t="str">
        <x:v>annotation_id</x:v>
      </x:c>
      <x:c r="B1" s="29" t="str">
        <x:v>sample_id</x:v>
      </x:c>
      <x:c r="C1" s="29" t="str">
        <x:v>date</x:v>
      </x:c>
      <x:c r="D1" s="29" t="str">
        <x:v>text_en</x:v>
      </x:c>
      <x:c r="E1" s="29" t="str">
        <x:v>text_tr</x:v>
      </x:c>
      <x:c r="F1" s="29" t="str">
        <x:v>finbert_label</x:v>
      </x:c>
      <x:c r="G1" s="29" t="str">
        <x:v>finbert_confidence</x:v>
      </x:c>
      <x:c r="H1" s="29" t="str">
        <x:v>chatgpt_label</x:v>
      </x:c>
      <x:c r="I1" s="29" t="str">
        <x:v>chatgpt_confidence</x:v>
      </x:c>
      <x:c r="J1" s="29" t="str">
        <x:v>chatgpt_reason_tr</x:v>
      </x:c>
      <x:c r="K1" s="29" t="str">
        <x:v>finbert_correctness</x:v>
      </x:c>
      <x:c r="L1" s="29" t="str">
        <x:v>finbert_correctness_note</x:v>
      </x:c>
      <x:c r="M1" s="30" t="str"/>
      <x:c r="N1" s="31" t="str">
        <x:v>Özet</x:v>
      </x:c>
      <x:c r="O1" s="32" t="str">
        <x:v>Değer</x:v>
      </x:c>
    </x:row>
    <x:row r="2" ht="58" customHeight="1">
      <x:c r="A2" s="33" t="str">
        <x:v>SP500_ANN_0111</x:v>
      </x:c>
      <x:c r="B2" s="34" t="str">
        <x:v>SP500_HEAD_016547</x:v>
      </x:c>
      <x:c r="C2" s="50" t="n">
        <x:v>45251</x:v>
      </x:c>
      <x:c r="D2" s="34" t="str">
        <x:v>U.S. stocks open lower as S&amp;P 500’s winning streak threatened ahead of Fed minutes</x:v>
      </x:c>
      <x:c r="E2" s="34" t="str">
        <x:v>ABD hisseleri Fed tutanakları öncesinde düşük açıldı; S&amp;P 500'ün kazanç serisi tehdit altında.</x:v>
      </x:c>
      <x:c r="F2" s="34" t="str">
        <x:v>negative</x:v>
      </x:c>
      <x:c r="G2" s="54" t="n">
        <x:v>0.942</x:v>
      </x:c>
      <x:c r="H2" s="34" t="str">
        <x:v>negative</x:v>
      </x:c>
      <x:c r="I2" s="34" t="str">
        <x:v>high</x:v>
      </x:c>
      <x:c r="J2" s="34" t="str">
        <x:v>Düşük açılış ve kazanç serisinin tehdit altında olması negatif piyasa sinyali.</x:v>
      </x:c>
      <x:c r="K2" s="34" t="str">
        <x:v>correct</x:v>
      </x:c>
      <x:c r="L2" s="34" t="str">
        <x:v>FinBERT etiketi final etiket ile aynı.</x:v>
      </x:c>
      <x:c r="M2" s="34" t="str"/>
      <x:c r="N2" s="34" t="str">
        <x:v>Toplam örnek</x:v>
      </x:c>
      <x:c r="O2" s="35" t="n">
        <x:f>COUNTA(A2:A11)</x:f>
        <x:v>10</x:v>
      </x:c>
    </x:row>
    <x:row r="3" ht="58" customHeight="1">
      <x:c r="A3" s="33" t="str">
        <x:v>SP500_ANN_0112</x:v>
      </x:c>
      <x:c r="B3" s="34" t="str">
        <x:v>SP500_HEAD_008060</x:v>
      </x:c>
      <x:c r="C3" s="50" t="n">
        <x:v>44001</x:v>
      </x:c>
      <x:c r="D3" s="34" t="str">
        <x:v>5 Restaurants That Outperformed the S&amp;P 500 in the Past 6 Months</x:v>
      </x:c>
      <x:c r="E3" s="34" t="str">
        <x:v>Son 6 ayda S&amp;P 500'den daha iyi performans gösteren 5 restoran hissesi.</x:v>
      </x:c>
      <x:c r="F3" s="34" t="str">
        <x:v>positive</x:v>
      </x:c>
      <x:c r="G3" s="54" t="n">
        <x:v>0.888</x:v>
      </x:c>
      <x:c r="H3" s="34" t="str">
        <x:v>positive</x:v>
      </x:c>
      <x:c r="I3" s="34" t="str">
        <x:v>high</x:v>
      </x:c>
      <x:c r="J3" s="34" t="str">
        <x:v>Hisselerin S&amp;P 500'ü aşan performansı olumlu yatırım sinyali.</x:v>
      </x:c>
      <x:c r="K3" s="34" t="str">
        <x:v>correct</x:v>
      </x:c>
      <x:c r="L3" s="34" t="str">
        <x:v>FinBERT etiketi final etiket ile aynı.</x:v>
      </x:c>
      <x:c r="M3" s="34" t="str"/>
      <x:c r="N3" s="34" t="str">
        <x:v>FinBERT doğru</x:v>
      </x:c>
      <x:c r="O3" s="35" t="n">
        <x:f>COUNTIF(K2:K11,"correct")</x:f>
        <x:v>8</x:v>
      </x:c>
    </x:row>
    <x:row r="4" ht="58" customHeight="1">
      <x:c r="A4" s="33" t="str">
        <x:v>SP500_ANN_0113</x:v>
      </x:c>
      <x:c r="B4" s="34" t="str">
        <x:v>SP500_HEAD_013524</x:v>
      </x:c>
      <x:c r="C4" s="50" t="n">
        <x:v>45022</x:v>
      </x:c>
      <x:c r="D4" s="34" t="str">
        <x:v>Investor Bill Miller takes on S&amp;P 500 with new ETF</x:v>
      </x:c>
      <x:c r="E4" s="34" t="str">
        <x:v>Yatırımcı Bill Miller yeni ETF ile S&amp;P 500'e meydan okuyor.</x:v>
      </x:c>
      <x:c r="F4" s="34" t="str">
        <x:v>neutral</x:v>
      </x:c>
      <x:c r="G4" s="54" t="n">
        <x:v>0.898</x:v>
      </x:c>
      <x:c r="H4" s="34" t="str">
        <x:v>neutral</x:v>
      </x:c>
      <x:c r="I4" s="34" t="str">
        <x:v>high</x:v>
      </x:c>
      <x:c r="J4" s="34" t="str">
        <x:v>Yeni ETF haberi var ancak piyasada net yükseliş veya düşüş sinyali yok.</x:v>
      </x:c>
      <x:c r="K4" s="34" t="str">
        <x:v>correct</x:v>
      </x:c>
      <x:c r="L4" s="34" t="str">
        <x:v>FinBERT etiketi final etiket ile aynı.</x:v>
      </x:c>
      <x:c r="M4" s="34" t="str"/>
      <x:c r="N4" s="34" t="str">
        <x:v>FinBERT yanlış</x:v>
      </x:c>
      <x:c r="O4" s="35" t="n">
        <x:f>COUNTIF(K2:K11,"wrong")</x:f>
        <x:v>2</x:v>
      </x:c>
    </x:row>
    <x:row r="5" ht="58" customHeight="1">
      <x:c r="A5" s="33" t="str">
        <x:v>SP500_ANN_0114</x:v>
      </x:c>
      <x:c r="B5" s="34" t="str">
        <x:v>SP500_HEAD_005840</x:v>
      </x:c>
      <x:c r="C5" s="50" t="n">
        <x:v>43201</x:v>
      </x:c>
      <x:c r="D5" s="34" t="str">
        <x:v>Warren Buffett's Egregious Hypocrisy On Index Funds</x:v>
      </x:c>
      <x:c r="E5" s="34" t="str">
        <x:v>Warren Buffett'ın endeks fonları konusundaki bariz ikiyüzlülüğü.</x:v>
      </x:c>
      <x:c r="F5" s="34" t="str">
        <x:v>negative</x:v>
      </x:c>
      <x:c r="G5" s="54" t="n">
        <x:v>0.813</x:v>
      </x:c>
      <x:c r="H5" s="34" t="str">
        <x:v>negative</x:v>
      </x:c>
      <x:c r="I5" s="34" t="str">
        <x:v>medium</x:v>
      </x:c>
      <x:c r="J5" s="34" t="str">
        <x:v>Başlık eleştirel ve olumsuz ton taşıyor; finansal ürün algısı açısından negatif.</x:v>
      </x:c>
      <x:c r="K5" s="34" t="str">
        <x:v>correct</x:v>
      </x:c>
      <x:c r="L5" s="34" t="str">
        <x:v>FinBERT etiketi final etiket ile aynı.</x:v>
      </x:c>
      <x:c r="M5" s="34" t="str"/>
      <x:c r="N5" s="34" t="str">
        <x:v>Doğruluk oranı</x:v>
      </x:c>
      <x:c r="O5" s="58" t="n">
        <x:f>O3/O2</x:f>
        <x:v>0.8</x:v>
      </x:c>
    </x:row>
    <x:row r="6" ht="58" customHeight="1">
      <x:c r="A6" s="33" t="str">
        <x:v>SP500_ANN_0115</x:v>
      </x:c>
      <x:c r="B6" s="34" t="str">
        <x:v>SP500_HEAD_004805</x:v>
      </x:c>
      <x:c r="C6" s="50" t="n">
        <x:v>42683</x:v>
      </x:c>
      <x:c r="D6" s="34" t="str">
        <x:v>US Election 2016: Markets meltdown fails to materialise</x:v>
      </x:c>
      <x:c r="E6" s="34" t="str">
        <x:v>2016 ABD seçimi: piyasalarda beklenen çöküş gerçekleşmedi.</x:v>
      </x:c>
      <x:c r="F6" s="34" t="str">
        <x:v>negative</x:v>
      </x:c>
      <x:c r="G6" s="54" t="n">
        <x:v>0.907</x:v>
      </x:c>
      <x:c r="H6" s="34" t="str">
        <x:v>positive</x:v>
      </x:c>
      <x:c r="I6" s="34" t="str">
        <x:v>high</x:v>
      </x:c>
      <x:c r="J6" s="34" t="str">
        <x:v>Beklenen piyasa çöküşünün gerçekleşmemesi piyasa açısından olumlu.</x:v>
      </x:c>
      <x:c r="K6" s="34" t="str">
        <x:v>wrong</x:v>
      </x:c>
      <x:c r="L6" s="34" t="str">
        <x:v>FinBERT negative demiş; final etiket positive.</x:v>
      </x:c>
      <x:c r="M6" s="34" t="str"/>
      <x:c r="N6" s="34"/>
      <x:c r="O6" s="35"/>
    </x:row>
    <x:row r="7" ht="58" customHeight="1">
      <x:c r="A7" s="33" t="str">
        <x:v>SP500_ANN_0116</x:v>
      </x:c>
      <x:c r="B7" s="34" t="str">
        <x:v>SP500_HEAD_006624</x:v>
      </x:c>
      <x:c r="C7" s="50" t="n">
        <x:v>43542</x:v>
      </x:c>
      <x:c r="D7" s="34" t="str">
        <x:v>Why Do Many Once-great Companies Ultimately Stumble?</x:v>
      </x:c>
      <x:c r="E7" s="34" t="str">
        <x:v>Bir zamanların büyük şirketleri neden sonunda tökezler?</x:v>
      </x:c>
      <x:c r="F7" s="34" t="str">
        <x:v>negative</x:v>
      </x:c>
      <x:c r="G7" s="54" t="n">
        <x:v>0.542</x:v>
      </x:c>
      <x:c r="H7" s="34" t="str">
        <x:v>negative</x:v>
      </x:c>
      <x:c r="I7" s="34" t="str">
        <x:v>high</x:v>
      </x:c>
      <x:c r="J7" s="34" t="str">
        <x:v>Şirketlerin başarısızlığa/tökezlemeye gitmesi negatif kurumsal sinyal.</x:v>
      </x:c>
      <x:c r="K7" s="34" t="str">
        <x:v>correct</x:v>
      </x:c>
      <x:c r="L7" s="34" t="str">
        <x:v>FinBERT etiketi final etiket ile aynı.</x:v>
      </x:c>
      <x:c r="M7" s="34" t="str"/>
      <x:c r="N7" s="34"/>
      <x:c r="O7" s="35"/>
    </x:row>
    <x:row r="8" ht="58" customHeight="1">
      <x:c r="A8" s="33" t="str">
        <x:v>SP500_ANN_0117</x:v>
      </x:c>
      <x:c r="B8" s="34" t="str">
        <x:v>SP500_HEAD_009540</x:v>
      </x:c>
      <x:c r="C8" s="50" t="n">
        <x:v>44426</x:v>
      </x:c>
      <x:c r="D8" s="34" t="str">
        <x:v>VOO vs VTI: Vanguard's S&amp;P 500 and Total Stock Market ETFs Compared</x:v>
      </x:c>
      <x:c r="E8" s="34" t="str">
        <x:v>VOO ve VTI: Vanguard'ın S&amp;P 500 ve toplam piyasa ETF'leri karşılaştırılıyor.</x:v>
      </x:c>
      <x:c r="F8" s="34" t="str">
        <x:v>neutral</x:v>
      </x:c>
      <x:c r="G8" s="54" t="n">
        <x:v>0.925</x:v>
      </x:c>
      <x:c r="H8" s="34" t="str">
        <x:v>neutral</x:v>
      </x:c>
      <x:c r="I8" s="34" t="str">
        <x:v>high</x:v>
      </x:c>
      <x:c r="J8" s="34" t="str">
        <x:v>ETF karşılaştırması; net finansal duygu veya yön yok.</x:v>
      </x:c>
      <x:c r="K8" s="34" t="str">
        <x:v>correct</x:v>
      </x:c>
      <x:c r="L8" s="34" t="str">
        <x:v>FinBERT etiketi final etiket ile aynı.</x:v>
      </x:c>
      <x:c r="M8" s="34" t="str"/>
      <x:c r="N8" s="34"/>
      <x:c r="O8" s="35"/>
    </x:row>
    <x:row r="9" ht="58" customHeight="1">
      <x:c r="A9" s="33" t="str">
        <x:v>SP500_ANN_0118</x:v>
      </x:c>
      <x:c r="B9" s="34" t="str">
        <x:v>SP500_HEAD_017734</x:v>
      </x:c>
      <x:c r="C9" s="50" t="n">
        <x:v>45343</x:v>
      </x:c>
      <x:c r="D9" s="34" t="str">
        <x:v>S&amp;P 500 hits record high as Nvidia's blowout earnings keeps bulls marching on</x:v>
      </x:c>
      <x:c r="E9" s="34" t="str">
        <x:v>S&amp;P 500 rekor seviyeye ulaştı; Nvidia'nın güçlü sonuçları boğaları destekliyor.</x:v>
      </x:c>
      <x:c r="F9" s="34" t="str">
        <x:v>negative</x:v>
      </x:c>
      <x:c r="G9" s="54" t="n">
        <x:v>0.567</x:v>
      </x:c>
      <x:c r="H9" s="34" t="str">
        <x:v>positive</x:v>
      </x:c>
      <x:c r="I9" s="34" t="str">
        <x:v>high</x:v>
      </x:c>
      <x:c r="J9" s="34" t="str">
        <x:v>Rekor seviye, güçlü kazançlar ve boğa momentumuna vurgu açık pozitif.</x:v>
      </x:c>
      <x:c r="K9" s="34" t="str">
        <x:v>wrong</x:v>
      </x:c>
      <x:c r="L9" s="34" t="str">
        <x:v>FinBERT negative demiş; final etiket positive.</x:v>
      </x:c>
      <x:c r="M9" s="34" t="str"/>
      <x:c r="N9" s="34"/>
      <x:c r="O9" s="35"/>
    </x:row>
    <x:row r="10" ht="58" customHeight="1">
      <x:c r="A10" s="33" t="str">
        <x:v>SP500_ANN_0119</x:v>
      </x:c>
      <x:c r="B10" s="34" t="str">
        <x:v>SP500_HEAD_010594</x:v>
      </x:c>
      <x:c r="C10" s="50" t="n">
        <x:v>44648</x:v>
      </x:c>
      <x:c r="D10" s="34" t="str">
        <x:v>BofA's Savita Subramanian: Stocks Are in for a Volatile Year</x:v>
      </x:c>
      <x:c r="E10" s="34" t="str">
        <x:v>BofA'dan Savita Subramanian: Hisseleri volatil bir yıl bekliyor.</x:v>
      </x:c>
      <x:c r="F10" s="34" t="str">
        <x:v>negative</x:v>
      </x:c>
      <x:c r="G10" s="54" t="n">
        <x:v>0.954</x:v>
      </x:c>
      <x:c r="H10" s="34" t="str">
        <x:v>negative</x:v>
      </x:c>
      <x:c r="I10" s="34" t="str">
        <x:v>high</x:v>
      </x:c>
      <x:c r="J10" s="34" t="str">
        <x:v>Volatilite beklentisi ve uyarı tonu piyasa açısından negatif.</x:v>
      </x:c>
      <x:c r="K10" s="34" t="str">
        <x:v>correct</x:v>
      </x:c>
      <x:c r="L10" s="34" t="str">
        <x:v>FinBERT etiketi final etiket ile aynı.</x:v>
      </x:c>
      <x:c r="M10" s="34" t="str"/>
      <x:c r="N10" s="34"/>
      <x:c r="O10" s="35"/>
    </x:row>
    <x:row r="11" ht="58" customHeight="1">
      <x:c r="A11" s="36" t="str">
        <x:v>SP500_ANN_0120</x:v>
      </x:c>
      <x:c r="B11" s="37" t="str">
        <x:v>SP500_HEAD_013133</x:v>
      </x:c>
      <x:c r="C11" s="51" t="n">
        <x:v>44993</x:v>
      </x:c>
      <x:c r="D11" s="37" t="str">
        <x:v>Fund of Women-Run Firms Is Beating the S&amp;P 500 Since Launching</x:v>
      </x:c>
      <x:c r="E11" s="37" t="str">
        <x:v>Kadınların yönettiği şirketler fonu, lansmandan bu yana S&amp;P 500'ü geride bırakıyor.</x:v>
      </x:c>
      <x:c r="F11" s="37" t="str">
        <x:v>positive</x:v>
      </x:c>
      <x:c r="G11" s="55" t="n">
        <x:v>0.898</x:v>
      </x:c>
      <x:c r="H11" s="37" t="str">
        <x:v>positive</x:v>
      </x:c>
      <x:c r="I11" s="37" t="str">
        <x:v>high</x:v>
      </x:c>
      <x:c r="J11" s="37" t="str">
        <x:v>Fonun S&amp;P 500'ü yenmesi olumlu performans sinyali.</x:v>
      </x:c>
      <x:c r="K11" s="37" t="str">
        <x:v>correct</x:v>
      </x:c>
      <x:c r="L11" s="37" t="str">
        <x:v>FinBERT etiketi final etiket ile aynı.</x:v>
      </x:c>
      <x:c r="M11" s="37" t="str"/>
      <x:c r="N11" s="37"/>
      <x:c r="O11" s="38"/>
    </x:row>
  </x:sheetData>
  <x:conditionalFormatting sqref="K2:K11">
    <x:cfRule type="expression" dxfId="0" priority="1">
      <x:formula>K2="correct"</x:formula>
    </x:cfRule>
    <x:cfRule type="expression" dxfId="1" priority="2">
      <x:formula>K2="wrong"</x:formula>
    </x:cfRule>
  </x:conditionalFormatting>
  <x:conditionalFormatting sqref="H2:H11">
    <x:cfRule type="expression" dxfId="2" priority="3">
      <x:formula>H2="positive"</x:formula>
    </x:cfRule>
    <x:cfRule type="expression" dxfId="3" priority="4">
      <x:formula>H2="negative"</x:formula>
    </x:cfRule>
    <x:cfRule type="expression" dxfId="4" priority="5">
      <x:formula>H2="neutral"</x:formula>
    </x:cfRule>
  </x:conditionalFormatting>
  <x:dataValidations count="3">
    <x:dataValidation type="list" sqref="H2:H11">
      <x:formula1>"positive,negative,neutral"</x:formula1>
    </x:dataValidation>
    <x:dataValidation type="list" sqref="I2:I11">
      <x:formula1>"high,medium,low"</x:formula1>
    </x:dataValidation>
    <x:dataValidation type="list" sqref="K2:K11">
      <x:formula1>"correct,wrong"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6b712b5fbea4067"/>
  </x:tableParts>
</x:worksheet>
</file>