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43425590b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51ce3b8177bf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4fbea18614a87" /><Relationship Type="http://schemas.openxmlformats.org/officeDocument/2006/relationships/theme" Target="/xl/theme/theme1.xml" Id="Rfa824dad056c4e1c" /><Relationship Type="http://schemas.openxmlformats.org/officeDocument/2006/relationships/sharedStrings" Target="/xl/sharedStrings.xml" Id="R5ecf567166d2477b" /><Relationship Type="http://schemas.openxmlformats.org/officeDocument/2006/relationships/worksheet" Target="/xl/worksheets/sheet1.xml" Id="R51ce3b8177bf47db" /></Relationships>
</file>

<file path=xl/tables/table1.xml><?xml version="1.0" encoding="utf-8"?>
<x:table xmlns:x="http://schemas.openxmlformats.org/spreadsheetml/2006/main" id="1" name="AnnotationTable011" displayName="AnnotationTable011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60381ea8584a0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SP500_ANN_0101</x:v>
      </x:c>
      <x:c r="B2" s="34" t="str">
        <x:v>SP500_HEAD_001521</x:v>
      </x:c>
      <x:c r="C2" s="50" t="n">
        <x:v>41180</x:v>
      </x:c>
      <x:c r="D2" s="34" t="str">
        <x:v>Last-minute giving made easier with Facebook Gifts</x:v>
      </x:c>
      <x:c r="E2" s="34" t="str">
        <x:v>Facebook Gifts ile son dakika bağış yapmak kolaylaştı.</x:v>
      </x:c>
      <x:c r="F2" s="34" t="str">
        <x:v>neutral</x:v>
      </x:c>
      <x:c r="G2" s="54" t="n">
        <x:v>0.88</x:v>
      </x:c>
      <x:c r="H2" s="34" t="str">
        <x:v>neutral</x:v>
      </x:c>
      <x:c r="I2" s="34" t="str">
        <x:v>high</x:v>
      </x:c>
      <x:c r="J2" s="34" t="str">
        <x:v>Finansal piyasa yönü veya şirket performansı hakkında net sinyal yok.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SP500_ANN_0102</x:v>
      </x:c>
      <x:c r="B3" s="34" t="str">
        <x:v>SP500_HEAD_004732</x:v>
      </x:c>
      <x:c r="C3" s="50" t="n">
        <x:v>42653</x:v>
      </x:c>
      <x:c r="D3" s="34" t="str">
        <x:v>The S&amp;P 500 looks eerily similar to right before the 1987 crash</x:v>
      </x:c>
      <x:c r="E3" s="34" t="str">
        <x:v>S&amp;P 500, 1987 çöküşü öncesine ürkütücü derecede benzer görünüyor.</x:v>
      </x:c>
      <x:c r="F3" s="34" t="str">
        <x:v>neutral</x:v>
      </x:c>
      <x:c r="G3" s="54" t="n">
        <x:v>0.738</x:v>
      </x:c>
      <x:c r="H3" s="34" t="str">
        <x:v>negative</x:v>
      </x:c>
      <x:c r="I3" s="34" t="str">
        <x:v>high</x:v>
      </x:c>
      <x:c r="J3" s="34" t="str">
        <x:v>1987 çöküşüne benzetme açık biçimde negatif piyasa riski sinyali veriyor.</x:v>
      </x:c>
      <x:c r="K3" s="34" t="str">
        <x:v>wrong</x:v>
      </x:c>
      <x:c r="L3" s="34" t="str">
        <x:v>FinBERT neutral demiş; final etiket negative.</x:v>
      </x:c>
      <x:c r="M3" s="34" t="str"/>
      <x:c r="N3" s="34" t="str">
        <x:v>FinBERT doğru</x:v>
      </x:c>
      <x:c r="O3" s="35" t="n">
        <x:f>COUNTIF(K2:K11,"correct")</x:f>
        <x:v>5</x:v>
      </x:c>
    </x:row>
    <x:row r="4" ht="58" customHeight="1">
      <x:c r="A4" s="33" t="str">
        <x:v>SP500_ANN_0103</x:v>
      </x:c>
      <x:c r="B4" s="34" t="str">
        <x:v>SP500_HEAD_002134</x:v>
      </x:c>
      <x:c r="C4" s="50" t="n">
        <x:v>41493</x:v>
      </x:c>
      <x:c r="D4" s="34" t="str">
        <x:v>Pfizer Moves Up In Market Cap Rank, Passing IBM</x:v>
      </x:c>
      <x:c r="E4" s="34" t="str">
        <x:v>Pfizer piyasa değeri sıralamasında IBM'i geçerek yükseldi.</x:v>
      </x:c>
      <x:c r="F4" s="34" t="str">
        <x:v>positive</x:v>
      </x:c>
      <x:c r="G4" s="54" t="n">
        <x:v>0.943</x:v>
      </x:c>
      <x:c r="H4" s="34" t="str">
        <x:v>positive</x:v>
      </x:c>
      <x:c r="I4" s="34" t="str">
        <x:v>high</x:v>
      </x:c>
      <x:c r="J4" s="34" t="str">
        <x:v>Pfizer'in piyasa değeri sıralamasında yükselmesi şirket açısından olumlu sinyal.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5</x:v>
      </x:c>
    </x:row>
    <x:row r="5" ht="58" customHeight="1">
      <x:c r="A5" s="33" t="str">
        <x:v>SP500_ANN_0104</x:v>
      </x:c>
      <x:c r="B5" s="34" t="str">
        <x:v>SP500_HEAD_006028</x:v>
      </x:c>
      <x:c r="C5" s="50" t="n">
        <x:v>43299</x:v>
      </x:c>
      <x:c r="D5" s="34" t="str">
        <x:v>Cash gains an edge over S&amp;P 500 dividend yields</x:v>
      </x:c>
      <x:c r="E5" s="34" t="str">
        <x:v>Nakit, S&amp;P 500 temettü getirilerine karşı avantaj kazanıyor.</x:v>
      </x:c>
      <x:c r="F5" s="34" t="str">
        <x:v>positive</x:v>
      </x:c>
      <x:c r="G5" s="54" t="n">
        <x:v>0.922</x:v>
      </x:c>
      <x:c r="H5" s="34" t="str">
        <x:v>negative</x:v>
      </x:c>
      <x:c r="I5" s="34" t="str">
        <x:v>medium</x:v>
      </x:c>
      <x:c r="J5" s="34" t="str">
        <x:v>Nakit getirilerinin S&amp;P 500 temettülerine göre cazip hale gelmesi hisse senetleri için görece olumsuz sinyal.</x:v>
      </x:c>
      <x:c r="K5" s="34" t="str">
        <x:v>wrong</x:v>
      </x:c>
      <x:c r="L5" s="34" t="str">
        <x:v>FinBERT positive demiş; final etiket negative.</x:v>
      </x:c>
      <x:c r="M5" s="34" t="str"/>
      <x:c r="N5" s="34" t="str">
        <x:v>Doğruluk oranı</x:v>
      </x:c>
      <x:c r="O5" s="58" t="n">
        <x:f>O3/O2</x:f>
        <x:v>0.5</x:v>
      </x:c>
    </x:row>
    <x:row r="6" ht="58" customHeight="1">
      <x:c r="A6" s="33" t="str">
        <x:v>SP500_ANN_0105</x:v>
      </x:c>
      <x:c r="B6" s="34" t="str">
        <x:v>SP500_HEAD_013459</x:v>
      </x:c>
      <x:c r="C6" s="50" t="n">
        <x:v>45019</x:v>
      </x:c>
      <x:c r="D6" s="34" t="str">
        <x:v>S&amp;P 500 ends higher as oil stocks rally; Tesla tumbles</x:v>
      </x:c>
      <x:c r="E6" s="34" t="str">
        <x:v>S&amp;P 500 petrol hisselerindeki ralliyle yükselişle kapandı; Tesla düştü.</x:v>
      </x:c>
      <x:c r="F6" s="34" t="str">
        <x:v>negative</x:v>
      </x:c>
      <x:c r="G6" s="54" t="n">
        <x:v>0.516</x:v>
      </x:c>
      <x:c r="H6" s="34" t="str">
        <x:v>positive</x:v>
      </x:c>
      <x:c r="I6" s="34" t="str">
        <x:v>high</x:v>
      </x:c>
      <x:c r="J6" s="34" t="str">
        <x:v>Tesla düşse de S&amp;P 500'ün yükselişle kapanması baskın olumlu piyasa sinyali.</x:v>
      </x:c>
      <x:c r="K6" s="34" t="str">
        <x:v>wrong</x:v>
      </x:c>
      <x:c r="L6" s="34" t="str">
        <x:v>FinBERT negative demiş; final etiket positive.</x:v>
      </x:c>
      <x:c r="M6" s="34" t="str"/>
      <x:c r="N6" s="34"/>
      <x:c r="O6" s="35"/>
    </x:row>
    <x:row r="7" ht="58" customHeight="1">
      <x:c r="A7" s="33" t="str">
        <x:v>SP500_ANN_0106</x:v>
      </x:c>
      <x:c r="B7" s="34" t="str">
        <x:v>SP500_HEAD_000875</x:v>
      </x:c>
      <x:c r="C7" s="50" t="n">
        <x:v>40850</x:v>
      </x:c>
      <x:c r="D7" s="34" t="str">
        <x:v>TSX higher as traders doubt Greek referendum</x:v>
      </x:c>
      <x:c r="E7" s="34" t="str">
        <x:v>TSX, yatırımcıların Yunanistan referandumu konusunda şüphe duymasına rağmen yükseldi.</x:v>
      </x:c>
      <x:c r="F7" s="34" t="str">
        <x:v>negative</x:v>
      </x:c>
      <x:c r="G7" s="54" t="n">
        <x:v>0.518</x:v>
      </x:c>
      <x:c r="H7" s="34" t="str">
        <x:v>positive</x:v>
      </x:c>
      <x:c r="I7" s="34" t="str">
        <x:v>medium</x:v>
      </x:c>
      <x:c r="J7" s="34" t="str">
        <x:v>Başlıkta endeksin yükseldiği belirtiliyor; belirsizlik olsa da piyasa yönü olumlu.</x:v>
      </x:c>
      <x:c r="K7" s="34" t="str">
        <x:v>wrong</x:v>
      </x:c>
      <x:c r="L7" s="34" t="str">
        <x:v>FinBERT negative demiş; final etiket positive.</x:v>
      </x:c>
      <x:c r="M7" s="34" t="str"/>
      <x:c r="N7" s="34"/>
      <x:c r="O7" s="35"/>
    </x:row>
    <x:row r="8" ht="58" customHeight="1">
      <x:c r="A8" s="33" t="str">
        <x:v>SP500_ANN_0107</x:v>
      </x:c>
      <x:c r="B8" s="34" t="str">
        <x:v>SP500_HEAD_008456</x:v>
      </x:c>
      <x:c r="C8" s="50" t="n">
        <x:v>44097</x:v>
      </x:c>
      <x:c r="D8" s="34" t="str">
        <x:v>The Dow Is Sputtering - But One Core Stock Just Got a Major Upgrade</x:v>
      </x:c>
      <x:c r="E8" s="34" t="str">
        <x:v>Dow zorlanıyor; ancak bir çekirdek hisse büyük bir not artırımı aldı.</x:v>
      </x:c>
      <x:c r="F8" s="34" t="str">
        <x:v>negative</x:v>
      </x:c>
      <x:c r="G8" s="54" t="n">
        <x:v>0.685</x:v>
      </x:c>
      <x:c r="H8" s="34" t="str">
        <x:v>neutral</x:v>
      </x:c>
      <x:c r="I8" s="34" t="str">
        <x:v>medium</x:v>
      </x:c>
      <x:c r="J8" s="34" t="str">
        <x:v>Dow tarafında zayıflık ve tekil hisse için olumlu haber birlikte veriliyor; net yön karışık.</x:v>
      </x:c>
      <x:c r="K8" s="34" t="str">
        <x:v>wrong</x:v>
      </x:c>
      <x:c r="L8" s="34" t="str">
        <x:v>FinBERT negative demiş; final etiket neutral.</x:v>
      </x:c>
      <x:c r="M8" s="34" t="str"/>
      <x:c r="N8" s="34"/>
      <x:c r="O8" s="35"/>
    </x:row>
    <x:row r="9" ht="58" customHeight="1">
      <x:c r="A9" s="33" t="str">
        <x:v>SP500_ANN_0108</x:v>
      </x:c>
      <x:c r="B9" s="34" t="str">
        <x:v>SP500_HEAD_014371</x:v>
      </x:c>
      <x:c r="C9" s="50" t="n">
        <x:v>45097</x:v>
      </x:c>
      <x:c r="D9" s="34" t="str">
        <x:v>Generac stock charges higher to pace the S&amp;P 500 gainers after reports of widespread power outages</x:v>
      </x:c>
      <x:c r="E9" s="34" t="str">
        <x:v>Generac hissesi S&amp;P 500 kazananlarına öncülük edecek şekilde yükseldi.</x:v>
      </x:c>
      <x:c r="F9" s="34" t="str">
        <x:v>positive</x:v>
      </x:c>
      <x:c r="G9" s="54" t="n">
        <x:v>0.504</x:v>
      </x:c>
      <x:c r="H9" s="34" t="str">
        <x:v>positive</x:v>
      </x:c>
      <x:c r="I9" s="34" t="str">
        <x:v>high</x:v>
      </x:c>
      <x:c r="J9" s="34" t="str">
        <x:v>Hissenin güçlü yükselişi ve S&amp;P 500 kazananları arasında öne çıkması olumlu.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SP500_ANN_0109</x:v>
      </x:c>
      <x:c r="B10" s="34" t="str">
        <x:v>SP500_HEAD_005934</x:v>
      </x:c>
      <x:c r="C10" s="50" t="n">
        <x:v>43251</x:v>
      </x:c>
      <x:c r="D10" s="34" t="str">
        <x:v>US metal tariffs re-ignite trade war fears as global markets tumble</x:v>
      </x:c>
      <x:c r="E10" s="34" t="str">
        <x:v>ABD metal tarifeleri ticaret savaşı korkularını yeniden alevlendirdi, küresel piyasalar düştü.</x:v>
      </x:c>
      <x:c r="F10" s="34" t="str">
        <x:v>negative</x:v>
      </x:c>
      <x:c r="G10" s="54" t="n">
        <x:v>0.768</x:v>
      </x:c>
      <x:c r="H10" s="34" t="str">
        <x:v>negative</x:v>
      </x:c>
      <x:c r="I10" s="34" t="str">
        <x:v>high</x:v>
      </x:c>
      <x:c r="J10" s="34" t="str">
        <x:v>Ticaret savaşı korkuları ve küresel piyasa düşüşü açık negatif sinyal.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SP500_ANN_0110</x:v>
      </x:c>
      <x:c r="B11" s="37" t="str">
        <x:v>SP500_HEAD_006439</x:v>
      </x:c>
      <x:c r="C11" s="51" t="n">
        <x:v>43468</x:v>
      </x:c>
      <x:c r="D11" s="37" t="str">
        <x:v>S&amp;P 500 Index: Forward P/E Ratio - The Big Picture</x:v>
      </x:c>
      <x:c r="E11" s="37" t="str">
        <x:v>S&amp;P 500 Endeksi: ileriye dönük F/K oranı - büyük resim.</x:v>
      </x:c>
      <x:c r="F11" s="37" t="str">
        <x:v>neutral</x:v>
      </x:c>
      <x:c r="G11" s="55" t="n">
        <x:v>0.896</x:v>
      </x:c>
      <x:c r="H11" s="37" t="str">
        <x:v>neutral</x:v>
      </x:c>
      <x:c r="I11" s="37" t="str">
        <x:v>high</x:v>
      </x:c>
      <x:c r="J11" s="37" t="str">
        <x:v>Değerleme analiz başlığı; net olumlu veya olumsuz piyasa yönü yok.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60381ea8584a0e"/>
  </x:tableParts>
</x:worksheet>
</file>