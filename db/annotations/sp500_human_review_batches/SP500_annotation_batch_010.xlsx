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960975ef8948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010" sheetId="1" r:id="Re9505412e3d244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"/>
    <x:numFmt numFmtId="202" formatCode="0%"/>
  </x:numFmts>
  <x:fonts count="4">
    <x:font>
      <x:sz val="11"/>
      <x:name val="Carlito"/>
    </x:font>
    <x:font>
      <x:b/>
      <x:sz val="11"/>
      <x:color rgb="FFFFFF"/>
      <x:name val="Carlito"/>
    </x:font>
    <x:font>
      <x:sz val="11"/>
      <x:color rgb="000000"/>
      <x:name val="Carlito"/>
    </x:font>
    <x:font>
      <x:b/>
      <x:sz val="11"/>
      <x:color rgb="00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3" borderId="0" xfId="0" applyNumberFormat="1" applyFont="1" applyFill="1" applyBorder="1"/>
    <x:xf numFmtId="202" fontId="0" fillId="3" borderId="0" xfId="0" applyNumberFormat="1" applyFont="1" applyFill="1" applyBorder="1"/>
    <x:xf numFmtId="0" fontId="2" fillId="3" borderId="0" xfId="0" applyNumberFormat="1" applyFont="1" applyFill="1" applyBorder="1"/>
    <x:xf numFmtId="202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202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202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202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202" fontId="0" fillId="3" borderId="1" xfId="0" applyNumberFormat="1" applyFont="1" applyFill="1" applyBorder="1"/>
    <x:xf numFmtId="0" fontId="2" fillId="3" borderId="1" xfId="0" applyNumberFormat="1" applyFont="1" applyFill="1" applyBorder="1"/>
    <x:xf numFmtId="202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202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202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202" fontId="2" fillId="3" borderId="1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2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274E13"/>
      </x:font>
      <x:fill>
        <x:patternFill patternType="solid">
          <x:bgColor rgb="D9EAD3"/>
        </x:patternFill>
      </x:fill>
    </x:dxf>
    <x:dxf>
      <x:font>
        <x:b/>
        <x:color rgb="990000"/>
      </x:font>
      <x:fill>
        <x:patternFill patternType="solid">
          <x:bgColor rgb="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bf6de361ac45ad" /><Relationship Type="http://schemas.openxmlformats.org/officeDocument/2006/relationships/theme" Target="/xl/theme/theme1.xml" Id="R74526603451144a8" /><Relationship Type="http://schemas.openxmlformats.org/officeDocument/2006/relationships/sharedStrings" Target="/xl/sharedStrings.xml" Id="R5e3c9b08c85e465e" /><Relationship Type="http://schemas.openxmlformats.org/officeDocument/2006/relationships/worksheet" Target="/xl/worksheets/sheet1.xml" Id="Re9505412e3d24475" /></Relationships>
</file>

<file path=xl/tables/table1.xml><?xml version="1.0" encoding="utf-8"?>
<x:table xmlns:x="http://schemas.openxmlformats.org/spreadsheetml/2006/main" id="1" name="AnnotationTable010" displayName="AnnotationTable010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43d6045a9e14bf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2" hidden="0" customWidth="1"/>
    <x:col min="4" max="4" width="52" hidden="0" customWidth="1"/>
    <x:col min="5" max="5" width="52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56" hidden="0" customWidth="1"/>
    <x:col min="11" max="11" width="18" hidden="0" customWidth="1"/>
    <x:col min="12" max="12" width="56" hidden="0" customWidth="1"/>
    <x:col min="13" max="13" width="3" hidden="0" customWidth="1"/>
    <x:col min="14" max="14" width="18" hidden="0" customWidth="1"/>
    <x:col min="15" max="15" width="12" hidden="0" customWidth="1"/>
  </x:cols>
  <x:sheetData>
    <x:row r="1" ht="30" customHeight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finbert_label</x:v>
      </x:c>
      <x:c r="G1" s="6" t="str">
        <x:v>finbert_confidence</x:v>
      </x:c>
      <x:c r="H1" s="6" t="str">
        <x:v>chatgpt_label</x:v>
      </x:c>
      <x:c r="I1" s="6" t="str">
        <x:v>chatgpt_confidence</x:v>
      </x:c>
      <x:c r="J1" s="6" t="str">
        <x:v>chatgpt_reason_tr</x:v>
      </x:c>
      <x:c r="K1" s="6" t="str">
        <x:v>finbert_correctness</x:v>
      </x:c>
      <x:c r="L1" s="6" t="str">
        <x:v>finbert_correctness_note</x:v>
      </x:c>
      <x:c r="M1" t="str"/>
      <x:c r="N1" s="6" t="str">
        <x:v>Özet</x:v>
      </x:c>
      <x:c r="O1" s="6" t="str">
        <x:v>Değer</x:v>
      </x:c>
    </x:row>
    <x:row r="2" ht="24" customHeight="1">
      <x:c r="A2" s="14" t="str">
        <x:v>SP500_ANN_0091</x:v>
      </x:c>
      <x:c r="B2" s="14" t="str">
        <x:v>SP500_HEAD_000678</x:v>
      </x:c>
      <x:c r="C2" s="16" t="n">
        <x:v>40746</x:v>
      </x:c>
      <x:c r="D2" s="14" t="str">
        <x:v>Wyoming Ranch Asks $175 Million, Believed to Be Highest for U.S. Ranch | Private Properties</x:v>
      </x:c>
      <x:c r="E2" s="14" t="str">
        <x:v>Wyoming çiftliği 175 milyon dolar istiyor; ABD çiftliği için en yüksek fiyat olduğu düşünülüyor | Özel Mülkler</x:v>
      </x:c>
      <x:c r="F2" s="22" t="str">
        <x:v>positive</x:v>
      </x:c>
      <x:c r="G2" s="18" t="n">
        <x:v>0.7637929320335388</x:v>
      </x:c>
      <x:c r="H2" s="22" t="str">
        <x:v>neutral</x:v>
      </x:c>
      <x:c r="I2" s="22" t="str">
        <x:v>high</x:v>
      </x:c>
      <x:c r="J2" s="14" t="str">
        <x:v>Gayrimenkul haberidir; S&amp;P 500 veya genel piyasa duygu yönü vermiyor.</x:v>
      </x:c>
      <x:c r="K2" s="22" t="str">
        <x:v>wrong</x:v>
      </x:c>
      <x:c r="L2" s="14" t="str">
        <x:v>FinBERT positive demiş; final etiket neutral. Finansal piyasa yönü yok.</x:v>
      </x:c>
      <x:c r="M2" t="str"/>
      <x:c r="N2" s="44" t="str">
        <x:v>Toplam örnek</x:v>
      </x:c>
      <x:c r="O2" s="46" t="n">
        <x:f>COUNTA(A2:A11)</x:f>
        <x:v>10</x:v>
      </x:c>
    </x:row>
    <x:row r="3" ht="24" customHeight="1">
      <x:c r="A3" s="14" t="str">
        <x:v>SP500_ANN_0092</x:v>
      </x:c>
      <x:c r="B3" s="14" t="str">
        <x:v>SP500_HEAD_011562</x:v>
      </x:c>
      <x:c r="C3" s="16" t="n">
        <x:v>44805</x:v>
      </x:c>
      <x:c r="D3" s="14" t="str">
        <x:v>The S&amp;P 500 will tumble another 9% in 2022 even as the bear-market rally propelled a rebound in sentiment on Wall ...</x:v>
      </x:c>
      <x:c r="E3" s="14" t="str">
        <x:v>Ayı piyasası rallisi Wall Street'te duyarlılığı toparlatsa da S&amp;P 500 2022'de %9 daha düşecek.</x:v>
      </x:c>
      <x:c r="F3" s="22" t="str">
        <x:v>negative</x:v>
      </x:c>
      <x:c r="G3" s="18" t="n">
        <x:v>0.7756046652793884</x:v>
      </x:c>
      <x:c r="H3" s="22" t="str">
        <x:v>negative</x:v>
      </x:c>
      <x:c r="I3" s="22" t="str">
        <x:v>high</x:v>
      </x:c>
      <x:c r="J3" s="14" t="str">
        <x:v>S&amp;P 500 için %9 ek düşüş beklentisi açık negatif sinyal.</x:v>
      </x:c>
      <x:c r="K3" s="22" t="str">
        <x:v>correct</x:v>
      </x:c>
      <x:c r="L3" s="14" t="str">
        <x:v>FinBERT etiketi final etiket ile aynı.</x:v>
      </x:c>
      <x:c r="M3" t="str"/>
      <x:c r="N3" s="44" t="str">
        <x:v>FinBERT doğru</x:v>
      </x:c>
      <x:c r="O3" s="46" t="n">
        <x:f>COUNTIF(K2:K11,"correct")</x:f>
        <x:v>6</x:v>
      </x:c>
    </x:row>
    <x:row r="4" ht="24" customHeight="1">
      <x:c r="A4" s="14" t="str">
        <x:v>SP500_ANN_0093</x:v>
      </x:c>
      <x:c r="B4" s="14" t="str">
        <x:v>SP500_HEAD_015454</x:v>
      </x:c>
      <x:c r="C4" s="16" t="n">
        <x:v>45175</x:v>
      </x:c>
      <x:c r="D4" s="14" t="str">
        <x:v>Power failure: Why did SolarEdge’s value plummet by $11 billion in a year?</x:v>
      </x:c>
      <x:c r="E4" s="14" t="str">
        <x:v>Güç kaybı: SolarEdge'in değeri bir yılda neden 11 milyar dolar eridi?</x:v>
      </x:c>
      <x:c r="F4" s="22" t="str">
        <x:v>negative</x:v>
      </x:c>
      <x:c r="G4" s="18" t="n">
        <x:v>0.9286202192306519</x:v>
      </x:c>
      <x:c r="H4" s="22" t="str">
        <x:v>negative</x:v>
      </x:c>
      <x:c r="I4" s="22" t="str">
        <x:v>high</x:v>
      </x:c>
      <x:c r="J4" s="14" t="str">
        <x:v>Şirket değerinin 11 milyar dolar düşmesi net negatif şirket/hisse sinyali.</x:v>
      </x:c>
      <x:c r="K4" s="22" t="str">
        <x:v>correct</x:v>
      </x:c>
      <x:c r="L4" s="14" t="str">
        <x:v>FinBERT etiketi final etiket ile aynı.</x:v>
      </x:c>
      <x:c r="M4" t="str"/>
      <x:c r="N4" s="44" t="str">
        <x:v>FinBERT yanlış</x:v>
      </x:c>
      <x:c r="O4" s="46" t="n">
        <x:f>COUNTIF(K2:K11,"wrong")</x:f>
        <x:v>4</x:v>
      </x:c>
    </x:row>
    <x:row r="5" ht="24" customHeight="1">
      <x:c r="A5" s="14" t="str">
        <x:v>SP500_ANN_0094</x:v>
      </x:c>
      <x:c r="B5" s="14" t="str">
        <x:v>SP500_HEAD_012776</x:v>
      </x:c>
      <x:c r="C5" s="16" t="n">
        <x:v>44963</x:v>
      </x:c>
      <x:c r="D5" s="14" t="str">
        <x:v>Analysts Making Larger Cuts Than Average to EPS Estimates for S&amp;P 500 Companies for Q1</x:v>
      </x:c>
      <x:c r="E5" s="14" t="str">
        <x:v>Analistler S&amp;P 500 şirketlerinin 1. çeyrek EPS tahminlerinde ortalamadan daha büyük kesintiler yapıyor.</x:v>
      </x:c>
      <x:c r="F5" s="22" t="str">
        <x:v>positive</x:v>
      </x:c>
      <x:c r="G5" s="18" t="n">
        <x:v>0.47800111770629883</x:v>
      </x:c>
      <x:c r="H5" s="22" t="str">
        <x:v>negative</x:v>
      </x:c>
      <x:c r="I5" s="22" t="str">
        <x:v>high</x:v>
      </x:c>
      <x:c r="J5" s="14" t="str">
        <x:v>Kâr tahminlerinde normalden büyük kesintiler şirketler/endeks için negatif sinyal.</x:v>
      </x:c>
      <x:c r="K5" s="22" t="str">
        <x:v>wrong</x:v>
      </x:c>
      <x:c r="L5" s="14" t="str">
        <x:v>FinBERT positive demiş; final etiket negative. 'cuts to EPS estimates' ifadesini yanlış yorumlamış.</x:v>
      </x:c>
      <x:c r="M5" t="str"/>
      <x:c r="N5" s="44" t="str">
        <x:v>Doğruluk oranı</x:v>
      </x:c>
      <x:c r="O5" s="47" t="n">
        <x:f>O3/O2</x:f>
        <x:v>0.6</x:v>
      </x:c>
    </x:row>
    <x:row r="6" ht="90" customHeight="1">
      <x:c r="A6" s="14" t="str">
        <x:v>SP500_ANN_0095</x:v>
      </x:c>
      <x:c r="B6" s="14" t="str">
        <x:v>SP500_HEAD_004349</x:v>
      </x:c>
      <x:c r="C6" s="16" t="n">
        <x:v>42473</x:v>
      </x:c>
      <x:c r="D6" s="14" t="str">
        <x:v>U.S. Stocks Little Changed Amid Global Rally as Commodities Drop</x:v>
      </x:c>
      <x:c r="E6" s="14" t="str">
        <x:v>Küresel ralliye rağmen ABD hisseleri çok az değişti, emtialar düştü.</x:v>
      </x:c>
      <x:c r="F6" s="22" t="str">
        <x:v>positive</x:v>
      </x:c>
      <x:c r="G6" s="18" t="n">
        <x:v>0.3736230134963989</x:v>
      </x:c>
      <x:c r="H6" s="22" t="str">
        <x:v>neutral</x:v>
      </x:c>
      <x:c r="I6" s="22" t="str">
        <x:v>medium</x:v>
      </x:c>
      <x:c r="J6" s="14" t="str">
        <x:v>ABD hisseleri az değişmiş; küresel ralli ve emtia düşüşü karışık, net yön yok.</x:v>
      </x:c>
      <x:c r="K6" s="22" t="str">
        <x:v>wrong</x:v>
      </x:c>
      <x:c r="L6" s="14" t="str">
        <x:v>FinBERT positive demiş; final etiket neutral. 'global rally' olumlu olsa da ana piyasa sinyali yatay.</x:v>
      </x:c>
      <x:c r="M6" t="str"/>
      <x:c r="N6" t="str"/>
      <x:c r="O6" t="str"/>
    </x:row>
    <x:row r="7" ht="90" customHeight="1">
      <x:c r="A7" s="14" t="str">
        <x:v>SP500_ANN_0096</x:v>
      </x:c>
      <x:c r="B7" s="14" t="str">
        <x:v>SP500_HEAD_007788</x:v>
      </x:c>
      <x:c r="C7" s="16" t="n">
        <x:v>43922</x:v>
      </x:c>
      <x:c r="D7" s="14" t="str">
        <x:v>Markets Plunge as a Global Recession Appears Almost Inevitable (Published 2020)</x:v>
      </x:c>
      <x:c r="E7" s="14" t="str">
        <x:v>Küresel resesyon neredeyse kaçınılmaz görünürken piyasalar çakıldı. (2020'de yayımlandı)</x:v>
      </x:c>
      <x:c r="F7" s="22" t="str">
        <x:v>negative</x:v>
      </x:c>
      <x:c r="G7" s="18" t="n">
        <x:v>0.8110544681549072</x:v>
      </x:c>
      <x:c r="H7" s="22" t="str">
        <x:v>negative</x:v>
      </x:c>
      <x:c r="I7" s="22" t="str">
        <x:v>high</x:v>
      </x:c>
      <x:c r="J7" s="14" t="str">
        <x:v>Piyasaların çakılması ve resesyonun kaçınılmaz görünmesi açık negatif sinyal.</x:v>
      </x:c>
      <x:c r="K7" s="22" t="str">
        <x:v>correct</x:v>
      </x:c>
      <x:c r="L7" s="14" t="str">
        <x:v>FinBERT etiketi final etiket ile aynı.</x:v>
      </x:c>
      <x:c r="M7" t="str"/>
      <x:c r="N7" t="str"/>
      <x:c r="O7" t="str"/>
    </x:row>
    <x:row r="8" ht="90" customHeight="1">
      <x:c r="A8" s="14" t="str">
        <x:v>SP500_ANN_0097</x:v>
      </x:c>
      <x:c r="B8" s="14" t="str">
        <x:v>SP500_HEAD_008235</x:v>
      </x:c>
      <x:c r="C8" s="16" t="n">
        <x:v>44054</x:v>
      </x:c>
      <x:c r="D8" s="14" t="str">
        <x:v>S&amp;P 500 rallies, closes just shy of its record closing high</x:v>
      </x:c>
      <x:c r="E8" s="14" t="str">
        <x:v>S&amp;P 500 yükseldi ve rekor kapanış zirvesinin hemen altında kapandı.</x:v>
      </x:c>
      <x:c r="F8" s="22" t="str">
        <x:v>negative</x:v>
      </x:c>
      <x:c r="G8" s="18" t="n">
        <x:v>0.7715038657188416</x:v>
      </x:c>
      <x:c r="H8" s="22" t="str">
        <x:v>positive</x:v>
      </x:c>
      <x:c r="I8" s="22" t="str">
        <x:v>high</x:v>
      </x:c>
      <x:c r="J8" s="14" t="str">
        <x:v>Ralli ve rekor zirveye yakın kapanış açık pozitif piyasa sinyali.</x:v>
      </x:c>
      <x:c r="K8" s="22" t="str">
        <x:v>wrong</x:v>
      </x:c>
      <x:c r="L8" s="14" t="str">
        <x:v>FinBERT negative demiş; final etiket positive. Muhtemelen bağlamı yanlış sınıflandırdı.</x:v>
      </x:c>
      <x:c r="M8" t="str"/>
      <x:c r="N8" t="str"/>
      <x:c r="O8" t="str"/>
    </x:row>
    <x:row r="9" ht="90" customHeight="1">
      <x:c r="A9" s="14" t="str">
        <x:v>SP500_ANN_0098</x:v>
      </x:c>
      <x:c r="B9" s="14" t="str">
        <x:v>SP500_HEAD_013164</x:v>
      </x:c>
      <x:c r="C9" s="16" t="n">
        <x:v>44995</x:v>
      </x:c>
      <x:c r="D9" s="14" t="str">
        <x:v>S&amp;P 500 Weekly Price Forecast – Stock Market Has a Tough Week Again</x:v>
      </x:c>
      <x:c r="E9" s="14" t="str">
        <x:v>S&amp;P 500 haftalık fiyat tahmini: Borsa yine zor bir hafta geçirdi.</x:v>
      </x:c>
      <x:c r="F9" s="22" t="str">
        <x:v>negative</x:v>
      </x:c>
      <x:c r="G9" s="18" t="n">
        <x:v>0.9487410187721252</x:v>
      </x:c>
      <x:c r="H9" s="22" t="str">
        <x:v>negative</x:v>
      </x:c>
      <x:c r="I9" s="22" t="str">
        <x:v>high</x:v>
      </x:c>
      <x:c r="J9" s="14" t="str">
        <x:v>Zor hafta ifadesi ve zayıf piyasa görünümü negatif sinyal verir.</x:v>
      </x:c>
      <x:c r="K9" s="22" t="str">
        <x:v>correct</x:v>
      </x:c>
      <x:c r="L9" s="14" t="str">
        <x:v>FinBERT etiketi final etiket ile aynı.</x:v>
      </x:c>
      <x:c r="M9" t="str"/>
      <x:c r="N9" t="str"/>
      <x:c r="O9" t="str"/>
    </x:row>
    <x:row r="10" ht="90" customHeight="1">
      <x:c r="A10" s="14" t="str">
        <x:v>SP500_ANN_0099</x:v>
      </x:c>
      <x:c r="B10" s="14" t="str">
        <x:v>SP500_HEAD_009906</x:v>
      </x:c>
      <x:c r="C10" s="16" t="n">
        <x:v>44522</x:v>
      </x:c>
      <x:c r="D10" s="14" t="str">
        <x:v>Monster Beverage (MNST) Stock Up 107,060% Over 20 Years; Top Performer in SPX</x:v>
      </x:c>
      <x:c r="E10" s="14" t="str">
        <x:v>Monster Beverage (MNST) hissesi 20 yılda %107.060 yükseldi; SPX'in en iyi performans göstereni.</x:v>
      </x:c>
      <x:c r="F10" s="22" t="str">
        <x:v>positive</x:v>
      </x:c>
      <x:c r="G10" s="18" t="n">
        <x:v>0.9411019086837769</x:v>
      </x:c>
      <x:c r="H10" s="22" t="str">
        <x:v>positive</x:v>
      </x:c>
      <x:c r="I10" s="22" t="str">
        <x:v>high</x:v>
      </x:c>
      <x:c r="J10" s="14" t="str">
        <x:v>Çok güçlü getiri ve en iyi performans ifadesi açık olumlu hisse sinyali.</x:v>
      </x:c>
      <x:c r="K10" s="22" t="str">
        <x:v>correct</x:v>
      </x:c>
      <x:c r="L10" s="14" t="str">
        <x:v>FinBERT etiketi final etiket ile aynı.</x:v>
      </x:c>
      <x:c r="M10" t="str"/>
      <x:c r="N10" t="str"/>
      <x:c r="O10" t="str"/>
    </x:row>
    <x:row r="11" ht="90" customHeight="1">
      <x:c r="A11" s="14" t="str">
        <x:v>SP500_ANN_0100</x:v>
      </x:c>
      <x:c r="B11" s="14" t="str">
        <x:v>SP500_HEAD_015673</x:v>
      </x:c>
      <x:c r="C11" s="16" t="n">
        <x:v>45190</x:v>
      </x:c>
      <x:c r="D11" s="14" t="str">
        <x:v>NightDragon, Diligent Report Finds Gap in Cyber Experience in S&amp;P500 Board Rooms</x:v>
      </x:c>
      <x:c r="E11" s="14" t="str">
        <x:v>NightDragon ve Diligent raporu S&amp;P 500 yönetim kurullarında siber deneyim açığı buldu.</x:v>
      </x:c>
      <x:c r="F11" s="22" t="str">
        <x:v>negative</x:v>
      </x:c>
      <x:c r="G11" s="18" t="n">
        <x:v>0.9269317388534546</x:v>
      </x:c>
      <x:c r="H11" s="22" t="str">
        <x:v>negative</x:v>
      </x:c>
      <x:c r="I11" s="22" t="str">
        <x:v>medium</x:v>
      </x:c>
      <x:c r="J11" s="14" t="str">
        <x:v>Yönetim kurullarında siber deneyim açığı kurumsal risk ve zayıflık ima ediyor.</x:v>
      </x:c>
      <x:c r="K11" s="22" t="str">
        <x:v>correct</x:v>
      </x:c>
      <x:c r="L11" s="14" t="str">
        <x:v>FinBERT etiketi final etiket ile aynı.</x:v>
      </x:c>
      <x:c r="M11" t="str"/>
      <x:c r="N11" t="str"/>
      <x:c r="O11" t="str"/>
    </x:row>
  </x:sheetData>
  <x:conditionalFormatting sqref="K2:K11">
    <x:cfRule type="expression" dxfId="0" priority="1">
      <x:formula>K2="correct"</x:formula>
    </x:cfRule>
    <x:cfRule type="expression" dxfId="1" priority="2">
      <x:formula>K2="wrong"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43d6045a9e14bf3"/>
  </x:tableParts>
</x:worksheet>
</file>