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7fd28a63b0412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tch_104" sheetId="1" r:id="R3786317bbf884e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yyyy-mm-dd"/>
    <x:numFmt numFmtId="201" formatCode="0.000"/>
    <x:numFmt numFmtId="202" formatCode="0.00%"/>
    <x:numFmt numFmtId="203" formatCode="0"/>
    <x:numFmt numFmtId="204" formatCode="0%"/>
  </x:numFmts>
  <x:fonts count="4">
    <x:font>
      <x:sz val="11"/>
      <x:name val="Carlito"/>
    </x:font>
    <x:font>
      <x:b/>
      <x:sz val="11"/>
      <x:color rgb="FFFFFF"/>
      <x:name val="Carlito"/>
    </x:font>
    <x:font>
      <x:sz val="10"/>
      <x:name val="Carlito"/>
    </x:font>
    <x:font>
      <x:b/>
      <x:sz val="10"/>
      <x:color rgb="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8"/>
      </x:patternFill>
    </x:fill>
    <x:fill>
      <x:patternFill patternType="solid">
        <x:fgColor rgb="7030A0"/>
      </x:patternFill>
    </x:fill>
    <x:fill>
      <x:patternFill patternType="solid">
        <x:fgColor rgb="EDE7F6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200" fontId="2" fillId="0" borderId="0" xfId="0" applyNumberFormat="1" applyFont="1" applyFill="1" applyBorder="1" applyAlignment="1">
      <x:alignment vertical="top" wrapText="1"/>
    </x:xf>
    <x:xf numFmtId="200" fontId="2" fillId="0" borderId="1" xfId="0" applyNumberFormat="1" applyFont="1" applyFill="1" applyBorder="1" applyAlignment="1">
      <x:alignment vertical="top" wrapText="1"/>
    </x:xf>
    <x:xf numFmtId="201" fontId="2" fillId="0" borderId="0" xfId="0" applyNumberFormat="1" applyFont="1" applyFill="1" applyBorder="1" applyAlignment="1">
      <x:alignment vertical="top" wrapText="1"/>
    </x:xf>
    <x:xf numFmtId="201" fontId="2" fillId="0" borderId="1" xfId="0" applyNumberFormat="1" applyFont="1" applyFill="1" applyBorder="1" applyAlignment="1">
      <x:alignment vertical="top" wrapText="1"/>
    </x:xf>
    <x:xf numFmtId="202" fontId="2" fillId="0" borderId="0" xfId="0" applyNumberFormat="1" applyFont="1" applyFill="1" applyBorder="1" applyAlignment="1">
      <x:alignment vertical="top" wrapText="1"/>
    </x:xf>
    <x:xf numFmtId="202" fontId="2" fillId="0" borderId="1" xfId="0" applyNumberFormat="1" applyFont="1" applyFill="1" applyBorder="1" applyAlignment="1">
      <x:alignment vertical="top" wrapText="1"/>
    </x:xf>
    <x:xf numFmtId="203" fontId="2" fillId="0" borderId="0" xfId="0" applyNumberFormat="1" applyFont="1" applyFill="1" applyBorder="1" applyAlignment="1">
      <x:alignment vertical="top" wrapText="1"/>
    </x:xf>
    <x:xf numFmtId="203" fontId="2" fillId="0" borderId="1" xfId="0" applyNumberFormat="1" applyFont="1" applyFill="1" applyBorder="1" applyAlignment="1">
      <x:alignment vertical="top" wrapText="1"/>
    </x:xf>
    <x:xf numFmtId="204" fontId="2" fillId="0" borderId="0" xfId="0" applyNumberFormat="1" applyFont="1" applyFill="1" applyBorder="1" applyAlignment="1">
      <x:alignment vertical="top" wrapText="1"/>
    </x:xf>
    <x:xf numFmtId="204" fontId="2" fillId="0" borderId="1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horizontal="center" vertical="center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202" fontId="2" fillId="4" borderId="0" xfId="0" applyNumberFormat="1" applyFont="1" applyFill="1" applyBorder="1" applyAlignment="1">
      <x:alignment vertical="top" wrapText="1"/>
    </x:xf>
    <x:xf numFmtId="203" fontId="2" fillId="4" borderId="0" xfId="0" applyNumberFormat="1" applyFont="1" applyFill="1" applyBorder="1" applyAlignment="1">
      <x:alignment vertical="top" wrapText="1"/>
    </x:xf>
    <x:xf numFmtId="204" fontId="2" fillId="4" borderId="0" xfId="0" applyNumberFormat="1" applyFont="1" applyFill="1" applyBorder="1" applyAlignment="1">
      <x:alignment vertical="top" wrapText="1"/>
    </x:xf>
    <x:xf numFmtId="202" fontId="3" fillId="4" borderId="0" xfId="0" applyNumberFormat="1" applyFont="1" applyFill="1" applyBorder="1" applyAlignment="1">
      <x:alignment vertical="top" wrapText="1"/>
    </x:xf>
    <x:xf numFmtId="203" fontId="3" fillId="4" borderId="0" xfId="0" applyNumberFormat="1" applyFont="1" applyFill="1" applyBorder="1" applyAlignment="1">
      <x:alignment vertical="top" wrapText="1"/>
    </x:xf>
    <x:xf numFmtId="204" fontId="3" fillId="4" borderId="0" xfId="0" applyNumberFormat="1" applyFont="1" applyFill="1" applyBorder="1" applyAlignment="1">
      <x:alignment vertical="top" wrapText="1"/>
    </x:xf>
    <x:xf numFmtId="202" fontId="3" fillId="4" borderId="0" xfId="0" applyNumberFormat="1" applyFont="1" applyFill="1" applyBorder="1" applyAlignment="1">
      <x:alignment horizontal="left" vertical="top" wrapText="1"/>
    </x:xf>
    <x:xf numFmtId="203" fontId="3" fillId="4" borderId="0" xfId="0" applyNumberFormat="1" applyFont="1" applyFill="1" applyBorder="1" applyAlignment="1">
      <x:alignment horizontal="left" vertical="top" wrapText="1"/>
    </x:xf>
    <x:xf numFmtId="204" fontId="3" fillId="4" borderId="0" xfId="0" applyNumberFormat="1" applyFont="1" applyFill="1" applyBorder="1" applyAlignment="1">
      <x:alignment horizontal="left" vertical="top" wrapText="1"/>
    </x:xf>
    <x:xf numFmtId="202" fontId="3" fillId="4" borderId="0" xfId="0" applyNumberFormat="1" applyFont="1" applyFill="1" applyBorder="1" applyAlignment="1">
      <x:alignment horizontal="left" vertical="center" wrapText="1"/>
    </x:xf>
    <x:xf numFmtId="203" fontId="3" fillId="4" borderId="0" xfId="0" applyNumberFormat="1" applyFont="1" applyFill="1" applyBorder="1" applyAlignment="1">
      <x:alignment horizontal="left" vertical="center" wrapText="1"/>
    </x:xf>
    <x:xf numFmtId="204" fontId="3" fillId="4" borderId="0" xfId="0" applyNumberFormat="1" applyFont="1" applyFill="1" applyBorder="1" applyAlignment="1">
      <x:alignment horizontal="left" vertical="center" wrapText="1"/>
    </x:xf>
    <x:xf numFmtId="202" fontId="2" fillId="4" borderId="1" xfId="0" applyNumberFormat="1" applyFont="1" applyFill="1" applyBorder="1" applyAlignment="1">
      <x:alignment vertical="top" wrapText="1"/>
    </x:xf>
    <x:xf numFmtId="203" fontId="2" fillId="4" borderId="1" xfId="0" applyNumberFormat="1" applyFont="1" applyFill="1" applyBorder="1" applyAlignment="1">
      <x:alignment vertical="top" wrapText="1"/>
    </x:xf>
    <x:xf numFmtId="204" fontId="2" fillId="4" borderId="1" xfId="0" applyNumberFormat="1" applyFont="1" applyFill="1" applyBorder="1" applyAlignment="1">
      <x:alignment vertical="top" wrapText="1"/>
    </x:xf>
    <x:xf numFmtId="202" fontId="3" fillId="4" borderId="1" xfId="0" applyNumberFormat="1" applyFont="1" applyFill="1" applyBorder="1" applyAlignment="1">
      <x:alignment vertical="top" wrapText="1"/>
    </x:xf>
    <x:xf numFmtId="203" fontId="3" fillId="4" borderId="1" xfId="0" applyNumberFormat="1" applyFont="1" applyFill="1" applyBorder="1" applyAlignment="1">
      <x:alignment vertical="top" wrapText="1"/>
    </x:xf>
    <x:xf numFmtId="204" fontId="3" fillId="4" borderId="1" xfId="0" applyNumberFormat="1" applyFont="1" applyFill="1" applyBorder="1" applyAlignment="1">
      <x:alignment vertical="top" wrapText="1"/>
    </x:xf>
    <x:xf numFmtId="202" fontId="3" fillId="4" borderId="1" xfId="0" applyNumberFormat="1" applyFont="1" applyFill="1" applyBorder="1" applyAlignment="1">
      <x:alignment horizontal="left" vertical="top" wrapText="1"/>
    </x:xf>
    <x:xf numFmtId="203" fontId="3" fillId="4" borderId="1" xfId="0" applyNumberFormat="1" applyFont="1" applyFill="1" applyBorder="1" applyAlignment="1">
      <x:alignment horizontal="left" vertical="top" wrapText="1"/>
    </x:xf>
    <x:xf numFmtId="204" fontId="3" fillId="4" borderId="1" xfId="0" applyNumberFormat="1" applyFont="1" applyFill="1" applyBorder="1" applyAlignment="1">
      <x:alignment horizontal="left" vertical="top" wrapText="1"/>
    </x:xf>
    <x:xf numFmtId="202" fontId="3" fillId="4" borderId="1" xfId="0" applyNumberFormat="1" applyFont="1" applyFill="1" applyBorder="1" applyAlignment="1">
      <x:alignment horizontal="left" vertical="center" wrapText="1"/>
    </x:xf>
    <x:xf numFmtId="203" fontId="3" fillId="4" borderId="1" xfId="0" applyNumberFormat="1" applyFont="1" applyFill="1" applyBorder="1" applyAlignment="1">
      <x:alignment horizontal="left" vertical="center" wrapText="1"/>
    </x:xf>
    <x:xf numFmtId="204" fontId="3" fillId="4" borderId="1" xfId="0" applyNumberFormat="1" applyFont="1" applyFill="1" applyBorder="1" applyAlignment="1">
      <x:alignment horizontal="left" vertical="center" wrapText="1"/>
    </x:xf>
    <x:xf numFmtId="203" fontId="3" fillId="4" borderId="0" xfId="0" applyNumberFormat="1" applyFont="1" applyFill="1" applyBorder="1" applyAlignment="1">
      <x:alignment horizontal="center" vertical="center" wrapText="1"/>
    </x:xf>
    <x:xf numFmtId="204" fontId="3" fillId="4" borderId="0" xfId="0" applyNumberFormat="1" applyFont="1" applyFill="1" applyBorder="1" applyAlignment="1">
      <x:alignment horizontal="center" vertical="center" wrapText="1"/>
    </x:xf>
    <x:xf numFmtId="203" fontId="3" fillId="4" borderId="1" xfId="0" applyNumberFormat="1" applyFont="1" applyFill="1" applyBorder="1" applyAlignment="1">
      <x:alignment horizontal="center" vertical="center" wrapText="1"/>
    </x:xf>
    <x:xf numFmtId="204" fontId="3" fillId="4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5">
    <x:dxf>
      <x:font>
        <x:b/>
        <x:color rgb="990000"/>
      </x:font>
      <x:fill>
        <x:patternFill patternType="solid">
          <x:bgColor rgb="F4CCCC"/>
        </x:patternFill>
      </x:fill>
    </x:dxf>
    <x:dxf>
      <x:font>
        <x:b/>
        <x:color rgb="274E13"/>
      </x:font>
      <x:fill>
        <x:patternFill patternType="solid">
          <x:bgColor rgb="D9EAD3"/>
        </x:patternFill>
      </x:fill>
    </x:dxf>
    <x:dxf>
      <x:fill>
        <x:patternFill patternType="solid">
          <x:bgColor rgb="D9EAD3"/>
        </x:patternFill>
      </x:fill>
    </x:dxf>
    <x:dxf>
      <x:fill>
        <x:patternFill patternType="solid">
          <x:bgColor rgb="F4CCCC"/>
        </x:patternFill>
      </x:fill>
    </x:dxf>
    <x:dxf>
      <x:fill>
        <x:patternFill patternType="solid">
          <x:bgColor rgb="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bbace9a0dfb46db" /><Relationship Type="http://schemas.openxmlformats.org/officeDocument/2006/relationships/theme" Target="/xl/theme/theme1.xml" Id="R0ae9454967334966" /><Relationship Type="http://schemas.openxmlformats.org/officeDocument/2006/relationships/sharedStrings" Target="/xl/sharedStrings.xml" Id="Rb56772007df74204" /><Relationship Type="http://schemas.openxmlformats.org/officeDocument/2006/relationships/worksheet" Target="/xl/worksheets/sheet1.xml" Id="R3786317bbf884e65" /></Relationships>
</file>

<file path=xl/tables/table1.xml><?xml version="1.0" encoding="utf-8"?>
<x:table xmlns:x="http://schemas.openxmlformats.org/spreadsheetml/2006/main" id="1" name="Batch104Annotations" displayName="Batch104Annotations" ref="A1:L11" headerRowCount="1">
  <x:tableColumns count="12">
    <x:tableColumn id="1" name="annotation_id"/>
    <x:tableColumn id="2" name="sample_id"/>
    <x:tableColumn id="3" name="date"/>
    <x:tableColumn id="4" name="text_en"/>
    <x:tableColumn id="5" name="text_tr"/>
    <x:tableColumn id="6" name="finbert_label"/>
    <x:tableColumn id="7" name="finbert_confidence"/>
    <x:tableColumn id="8" name="chatgpt_label"/>
    <x:tableColumn id="9" name="chatgpt_confidence"/>
    <x:tableColumn id="10" name="chatgpt_reason_tr"/>
    <x:tableColumn id="11" name="finbert_correctness"/>
    <x:tableColumn id="12" name="finbert_correctness_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a09720143c43a0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2" hidden="0" customWidth="1"/>
    <x:col min="4" max="4" width="45" hidden="0" customWidth="1"/>
    <x:col min="5" max="5" width="45" hidden="0" customWidth="1"/>
    <x:col min="6" max="6" width="14" hidden="0" customWidth="1"/>
    <x:col min="7" max="7" width="16" hidden="0" customWidth="1"/>
    <x:col min="8" max="8" width="14" hidden="0" customWidth="1"/>
    <x:col min="9" max="9" width="18" hidden="0" customWidth="1"/>
    <x:col min="10" max="10" width="45" hidden="0" customWidth="1"/>
    <x:col min="11" max="11" width="18" hidden="0" customWidth="1"/>
    <x:col min="12" max="12" width="45" hidden="0" customWidth="1"/>
    <x:col min="13" max="13" width="3" hidden="0" customWidth="1"/>
    <x:col min="14" max="14" width="18" hidden="0" customWidth="1"/>
    <x:col min="15" max="15" width="14" hidden="0" customWidth="1"/>
  </x:cols>
  <x:sheetData>
    <x:row r="1" ht="30" customHeight="1">
      <x:c r="A1" s="6" t="str">
        <x:v>annotation_id</x:v>
      </x:c>
      <x:c r="B1" s="6" t="str">
        <x:v>sample_id</x:v>
      </x:c>
      <x:c r="C1" s="6" t="str">
        <x:v>date</x:v>
      </x:c>
      <x:c r="D1" s="6" t="str">
        <x:v>text_en</x:v>
      </x:c>
      <x:c r="E1" s="6" t="str">
        <x:v>text_tr</x:v>
      </x:c>
      <x:c r="F1" s="6" t="str">
        <x:v>finbert_label</x:v>
      </x:c>
      <x:c r="G1" s="6" t="str">
        <x:v>finbert_confidence</x:v>
      </x:c>
      <x:c r="H1" s="6" t="str">
        <x:v>chatgpt_label</x:v>
      </x:c>
      <x:c r="I1" s="6" t="str">
        <x:v>chatgpt_confidence</x:v>
      </x:c>
      <x:c r="J1" s="6" t="str">
        <x:v>chatgpt_reason_tr</x:v>
      </x:c>
      <x:c r="K1" s="6" t="str">
        <x:v>finbert_correctness</x:v>
      </x:c>
      <x:c r="L1" s="6" t="str">
        <x:v>finbert_correctness_note</x:v>
      </x:c>
      <x:c r="M1" s="6" t="str"/>
      <x:c r="N1" s="28" t="str">
        <x:v>Özet</x:v>
      </x:c>
      <x:c r="O1" s="28" t="str">
        <x:v>Değer</x:v>
      </x:c>
    </x:row>
    <x:row r="2">
      <x:c r="A2" s="16" t="str">
        <x:v>SP500_ANN_1031</x:v>
      </x:c>
      <x:c r="B2" s="16" t="str">
        <x:v>SP500_HEAD_014521</x:v>
      </x:c>
      <x:c r="C2" s="18" t="str">
        <x:v>2023-06-30</x:v>
      </x:c>
      <x:c r="D2" s="16" t="str">
        <x:v>Apple is now worth $3 trillion, boosted by the Nasdaq’s best start in 40 years</x:v>
      </x:c>
      <x:c r="E2" s="16" t="str">
        <x:v>Apple artık 3 trilyon dolar değerinde; Nasdaq’ın 40 yılın en iyi başlangıcıyla desteklendi.</x:v>
      </x:c>
      <x:c r="F2" s="16" t="str">
        <x:v>positive</x:v>
      </x:c>
      <x:c r="G2" s="20" t="n">
        <x:v>0.925</x:v>
      </x:c>
      <x:c r="H2" s="16" t="str">
        <x:v>positive</x:v>
      </x:c>
      <x:c r="I2" s="16" t="str">
        <x:v>high</x:v>
      </x:c>
      <x:c r="J2" s="16" t="str">
        <x:v>Apple’ın değerinin 3 trilyon dolara ulaşması ve güçlü Nasdaq başlangıcı açık olumlu sinyal.</x:v>
      </x:c>
      <x:c r="K2" s="16" t="str">
        <x:v>correct</x:v>
      </x:c>
      <x:c r="L2" s="16" t="str">
        <x:v>FinBERT etiketi final etiket ile aynı.</x:v>
      </x:c>
      <x:c r="M2" s="16" t="str"/>
      <x:c r="N2" s="39" t="str">
        <x:v>Toplam örnek</x:v>
      </x:c>
      <x:c r="O2" s="54" t="n">
        <x:f>COUNTA(A2:A11)</x:f>
        <x:v>10</x:v>
      </x:c>
    </x:row>
    <x:row r="3">
      <x:c r="A3" s="16" t="str">
        <x:v>SP500_ANN_1032</x:v>
      </x:c>
      <x:c r="B3" s="16" t="str">
        <x:v>SP500_HEAD_003910</x:v>
      </x:c>
      <x:c r="C3" s="18" t="str">
        <x:v>2015-09-24</x:v>
      </x:c>
      <x:c r="D3" s="16" t="str">
        <x:v>5 Warren Buffett Stocks the Pope Would Love, Too</x:v>
      </x:c>
      <x:c r="E3" s="16" t="str">
        <x:v>Papa’nın da sevebileceği 5 Warren Buffett hissesi.</x:v>
      </x:c>
      <x:c r="F3" s="16" t="str">
        <x:v>neutral</x:v>
      </x:c>
      <x:c r="G3" s="20" t="n">
        <x:v>0.89</x:v>
      </x:c>
      <x:c r="H3" s="16" t="str">
        <x:v>neutral</x:v>
      </x:c>
      <x:c r="I3" s="16" t="str">
        <x:v>high</x:v>
      </x:c>
      <x:c r="J3" s="16" t="str">
        <x:v>Liste/öneri başlığı; net piyasa yönü veya açık olumlu-olumsuz fiyat sinyali yok.</x:v>
      </x:c>
      <x:c r="K3" s="16" t="str">
        <x:v>correct</x:v>
      </x:c>
      <x:c r="L3" s="16" t="str">
        <x:v>FinBERT etiketi final etiket ile aynı.</x:v>
      </x:c>
      <x:c r="M3" s="16" t="str"/>
      <x:c r="N3" s="39" t="str">
        <x:v>FinBERT doğru</x:v>
      </x:c>
      <x:c r="O3" s="54" t="n">
        <x:f>COUNTIF(K2:K11,"correct")</x:f>
        <x:v>8</x:v>
      </x:c>
    </x:row>
    <x:row r="4">
      <x:c r="A4" s="16" t="str">
        <x:v>SP500_ANN_1033</x:v>
      </x:c>
      <x:c r="B4" s="16" t="str">
        <x:v>SP500_HEAD_001496</x:v>
      </x:c>
      <x:c r="C4" s="18" t="str">
        <x:v>2012-09-20</x:v>
      </x:c>
      <x:c r="D4" s="16" t="str">
        <x:v>Afghan grandmother, mom and kids addicted to opium</x:v>
      </x:c>
      <x:c r="E4" s="16" t="str">
        <x:v>Afgan büyükanne, anne ve çocuklar afyon bağımlısı.</x:v>
      </x:c>
      <x:c r="F4" s="16" t="str">
        <x:v>neutral</x:v>
      </x:c>
      <x:c r="G4" s="20" t="n">
        <x:v>0.921</x:v>
      </x:c>
      <x:c r="H4" s="16" t="str">
        <x:v>neutral</x:v>
      </x:c>
      <x:c r="I4" s="16" t="str">
        <x:v>high</x:v>
      </x:c>
      <x:c r="J4" s="16" t="str">
        <x:v>Finansal piyasa veya şirket performansı ile ilgili yönlü bir sinyal yok.</x:v>
      </x:c>
      <x:c r="K4" s="16" t="str">
        <x:v>correct</x:v>
      </x:c>
      <x:c r="L4" s="16" t="str">
        <x:v>FinBERT etiketi final etiket ile aynı.</x:v>
      </x:c>
      <x:c r="M4" s="16" t="str"/>
      <x:c r="N4" s="39" t="str">
        <x:v>FinBERT yanlış</x:v>
      </x:c>
      <x:c r="O4" s="54" t="n">
        <x:f>COUNTIF(K2:K11,"wrong")</x:f>
        <x:v>2</x:v>
      </x:c>
    </x:row>
    <x:row r="5">
      <x:c r="A5" s="16" t="str">
        <x:v>SP500_ANN_1034</x:v>
      </x:c>
      <x:c r="B5" s="16" t="str">
        <x:v>SP500_HEAD_015291</x:v>
      </x:c>
      <x:c r="C5" s="18" t="str">
        <x:v>2023-08-24</x:v>
      </x:c>
      <x:c r="D5" s="16" t="str">
        <x:v>Major indexes fall 1%, focus shifts to upcoming Powell speech</x:v>
      </x:c>
      <x:c r="E5" s="16" t="str">
        <x:v>Başlıca endeksler %1 düştü; odak yaklaşan Powell konuşmasına kaydı.</x:v>
      </x:c>
      <x:c r="F5" s="16" t="str">
        <x:v>negative</x:v>
      </x:c>
      <x:c r="G5" s="20" t="n">
        <x:v>0.938</x:v>
      </x:c>
      <x:c r="H5" s="16" t="str">
        <x:v>negative</x:v>
      </x:c>
      <x:c r="I5" s="16" t="str">
        <x:v>high</x:v>
      </x:c>
      <x:c r="J5" s="16" t="str">
        <x:v>Başlıca endekslerin %1 düşmesi açık negatif piyasa sinyali.</x:v>
      </x:c>
      <x:c r="K5" s="16" t="str">
        <x:v>correct</x:v>
      </x:c>
      <x:c r="L5" s="16" t="str">
        <x:v>FinBERT etiketi final etiket ile aynı.</x:v>
      </x:c>
      <x:c r="M5" s="16" t="str"/>
      <x:c r="N5" s="39" t="str">
        <x:v>Doğruluk oranı</x:v>
      </x:c>
      <x:c r="O5" s="55" t="n">
        <x:f>O3/O2</x:f>
        <x:v>0.8</x:v>
      </x:c>
    </x:row>
    <x:row r="6">
      <x:c r="A6" s="16" t="str">
        <x:v>SP500_ANN_1035</x:v>
      </x:c>
      <x:c r="B6" s="16" t="str">
        <x:v>SP500_HEAD_009418</x:v>
      </x:c>
      <x:c r="C6" s="18" t="str">
        <x:v>2021-07-07</x:v>
      </x:c>
      <x:c r="D6" s="16" t="str">
        <x:v>Equal-Weight ETFs Are Still Smart Beta Winners</x:v>
      </x:c>
      <x:c r="E6" s="16" t="str">
        <x:v>Eşit ağırlıklı ETF’ler hâlâ smart beta kazananları.</x:v>
      </x:c>
      <x:c r="F6" s="16" t="str">
        <x:v>neutral</x:v>
      </x:c>
      <x:c r="G6" s="20" t="n">
        <x:v>0.722</x:v>
      </x:c>
      <x:c r="H6" s="16" t="str">
        <x:v>positive</x:v>
      </x:c>
      <x:c r="I6" s="16" t="str">
        <x:v>medium</x:v>
      </x:c>
      <x:c r="J6" s="16" t="str">
        <x:v>“Winners” ifadesi ve eşit ağırlıklı ETF’lerin başarılı gösterilmesi olumlu yatırım sinyali veriyor.</x:v>
      </x:c>
      <x:c r="K6" s="16" t="str">
        <x:v>wrong</x:v>
      </x:c>
      <x:c r="L6" s="16" t="str">
        <x:v>FinBERT neutral demiş; final etiket positive. Başlıktaki başarı/kazanan vurgusunu kaçırmış.</x:v>
      </x:c>
      <x:c r="M6" s="16" t="str"/>
      <x:c r="N6" s="16" t="str"/>
      <x:c r="O6" s="16"/>
    </x:row>
    <x:row r="7">
      <x:c r="A7" s="16" t="str">
        <x:v>SP500_ANN_1036</x:v>
      </x:c>
      <x:c r="B7" s="16" t="str">
        <x:v>SP500_HEAD_009027</x:v>
      </x:c>
      <x:c r="C7" s="18" t="str">
        <x:v>2021-03-05</x:v>
      </x:c>
      <x:c r="D7" s="16" t="str">
        <x:v>FTSE 100 firms trailing behind peers on sexual harassment policies</x:v>
      </x:c>
      <x:c r="E7" s="16" t="str">
        <x:v>FTSE 100 şirketleri cinsel taciz politikalarında benzerlerinin gerisinde kalıyor.</x:v>
      </x:c>
      <x:c r="F7" s="16" t="str">
        <x:v>negative</x:v>
      </x:c>
      <x:c r="G7" s="20" t="n">
        <x:v>0.885</x:v>
      </x:c>
      <x:c r="H7" s="16" t="str">
        <x:v>negative</x:v>
      </x:c>
      <x:c r="I7" s="16" t="str">
        <x:v>high</x:v>
      </x:c>
      <x:c r="J7" s="16" t="str">
        <x:v>Şirketlerin politika performansında geride kalması itibar ve yönetişim açısından negatif.</x:v>
      </x:c>
      <x:c r="K7" s="16" t="str">
        <x:v>correct</x:v>
      </x:c>
      <x:c r="L7" s="16" t="str">
        <x:v>FinBERT etiketi final etiket ile aynı.</x:v>
      </x:c>
      <x:c r="M7" s="16" t="str"/>
      <x:c r="N7" s="16" t="str"/>
      <x:c r="O7" s="16"/>
    </x:row>
    <x:row r="8">
      <x:c r="A8" s="16" t="str">
        <x:v>SP500_ANN_1037</x:v>
      </x:c>
      <x:c r="B8" s="16" t="str">
        <x:v>SP500_HEAD_002414</x:v>
      </x:c>
      <x:c r="C8" s="18" t="str">
        <x:v>2013-11-27</x:v>
      </x:c>
      <x:c r="D8" s="16" t="str">
        <x:v>South Africa since apartheid: Boom or bust?</x:v>
      </x:c>
      <x:c r="E8" s="16" t="str">
        <x:v>Apartheid sonrası Güney Afrika: Patlama mı çöküş mü?</x:v>
      </x:c>
      <x:c r="F8" s="16" t="str">
        <x:v>neutral</x:v>
      </x:c>
      <x:c r="G8" s="20" t="n">
        <x:v>0.872</x:v>
      </x:c>
      <x:c r="H8" s="16" t="str">
        <x:v>neutral</x:v>
      </x:c>
      <x:c r="I8" s="16" t="str">
        <x:v>high</x:v>
      </x:c>
      <x:c r="J8" s="16" t="str">
        <x:v>Soru/analiz başlığı; net finansal duygu veya piyasa yönü yok.</x:v>
      </x:c>
      <x:c r="K8" s="16" t="str">
        <x:v>correct</x:v>
      </x:c>
      <x:c r="L8" s="16" t="str">
        <x:v>FinBERT etiketi final etiket ile aynı.</x:v>
      </x:c>
      <x:c r="M8" s="16" t="str"/>
      <x:c r="N8" s="16" t="str"/>
      <x:c r="O8" s="16"/>
    </x:row>
    <x:row r="9">
      <x:c r="A9" s="16" t="str">
        <x:v>SP500_ANN_1038</x:v>
      </x:c>
      <x:c r="B9" s="16" t="str">
        <x:v>SP500_HEAD_013761</x:v>
      </x:c>
      <x:c r="C9" s="18" t="str">
        <x:v>2023-05-04</x:v>
      </x:c>
      <x:c r="D9" s="16" t="str">
        <x:v>Dow Jones, S&amp;P 500, Nasdaq 100 Sink after Fed, Powell, PacWest Woes Crush Sentiment</x:v>
      </x:c>
      <x:c r="E9" s="16" t="str">
        <x:v>Fed, Powell ve PacWest endişeleri duyarlılığı ezerken Dow Jones, S&amp;P 500 ve Nasdaq 100 düştü.</x:v>
      </x:c>
      <x:c r="F9" s="16" t="str">
        <x:v>neutral</x:v>
      </x:c>
      <x:c r="G9" s="20" t="n">
        <x:v>0.466</x:v>
      </x:c>
      <x:c r="H9" s="16" t="str">
        <x:v>negative</x:v>
      </x:c>
      <x:c r="I9" s="16" t="str">
        <x:v>high</x:v>
      </x:c>
      <x:c r="J9" s="16" t="str">
        <x:v>Endekslerin düşmesi ve duyarlılığın ezilmesi açık negatif piyasa sinyali.</x:v>
      </x:c>
      <x:c r="K9" s="16" t="str">
        <x:v>wrong</x:v>
      </x:c>
      <x:c r="L9" s="16" t="str">
        <x:v>FinBERT neutral demiş; final etiket negative. ‘Sink’ ve ‘crush sentiment’ ifadeleri güçlü negatif sinyal.</x:v>
      </x:c>
      <x:c r="M9" s="16" t="str"/>
      <x:c r="N9" s="16" t="str"/>
      <x:c r="O9" s="16"/>
    </x:row>
    <x:row r="10">
      <x:c r="A10" s="16" t="str">
        <x:v>SP500_ANN_1039</x:v>
      </x:c>
      <x:c r="B10" s="16" t="str">
        <x:v>SP500_HEAD_015305</x:v>
      </x:c>
      <x:c r="C10" s="18" t="str">
        <x:v>2023-08-25</x:v>
      </x:c>
      <x:c r="D10" s="16" t="str">
        <x:v>US Markets: Dow, S&amp;P 500, and Nasdaq End Higher Amid Volatility on Friday</x:v>
      </x:c>
      <x:c r="E10" s="16" t="str">
        <x:v>ABD piyasaları: Dow, S&amp;P 500 ve Nasdaq cuma günü volatiliteye rağmen yükselişle kapandı.</x:v>
      </x:c>
      <x:c r="F10" s="16" t="str">
        <x:v>positive</x:v>
      </x:c>
      <x:c r="G10" s="20" t="n">
        <x:v>0.916</x:v>
      </x:c>
      <x:c r="H10" s="16" t="str">
        <x:v>positive</x:v>
      </x:c>
      <x:c r="I10" s="16" t="str">
        <x:v>high</x:v>
      </x:c>
      <x:c r="J10" s="16" t="str">
        <x:v>Endekslerin volatiliteye rağmen yükselişle kapanması olumlu piyasa sinyali.</x:v>
      </x:c>
      <x:c r="K10" s="16" t="str">
        <x:v>correct</x:v>
      </x:c>
      <x:c r="L10" s="16" t="str">
        <x:v>FinBERT etiketi final etiket ile aynı.</x:v>
      </x:c>
      <x:c r="M10" s="16" t="str"/>
      <x:c r="N10" s="16" t="str"/>
      <x:c r="O10" s="16"/>
    </x:row>
    <x:row r="11">
      <x:c r="A11" s="16" t="str">
        <x:v>SP500_ANN_1040</x:v>
      </x:c>
      <x:c r="B11" s="16" t="str">
        <x:v>SP500_HEAD_002453</x:v>
      </x:c>
      <x:c r="C11" s="18" t="str">
        <x:v>2013-12-19</x:v>
      </x:c>
      <x:c r="D11" s="16" t="str">
        <x:v>Facebook, Zuckerberg Selling 70 Million Shares In Secondary Offering</x:v>
      </x:c>
      <x:c r="E11" s="16" t="str">
        <x:v>Facebook ve Zuckerberg ikincil arzda 70 milyon hisse satıyor.</x:v>
      </x:c>
      <x:c r="F11" s="16" t="str">
        <x:v>neutral</x:v>
      </x:c>
      <x:c r="G11" s="20" t="n">
        <x:v>0.943</x:v>
      </x:c>
      <x:c r="H11" s="16" t="str">
        <x:v>neutral</x:v>
      </x:c>
      <x:c r="I11" s="16" t="str">
        <x:v>medium</x:v>
      </x:c>
      <x:c r="J11" s="16" t="str">
        <x:v>İkincil arz/hisse satışı bilgisi veriliyor; başlıkta net fiyat yönü veya yatırımcı tepkisi yok.</x:v>
      </x:c>
      <x:c r="K11" s="16" t="str">
        <x:v>correct</x:v>
      </x:c>
      <x:c r="L11" s="16" t="str">
        <x:v>FinBERT etiketi final etiket ile aynı.</x:v>
      </x:c>
      <x:c r="M11" s="16" t="str"/>
      <x:c r="N11" s="16" t="str"/>
      <x:c r="O11" s="16"/>
    </x:row>
  </x:sheetData>
  <x:conditionalFormatting sqref="K2:K11">
    <x:cfRule type="expression" dxfId="0" priority="1">
      <x:formula>K2="wrong"</x:formula>
    </x:cfRule>
    <x:cfRule type="expression" dxfId="1" priority="2">
      <x:formula>K2="correct"</x:formula>
    </x:cfRule>
  </x:conditionalFormatting>
  <x:conditionalFormatting sqref="H2:H11">
    <x:cfRule type="expression" dxfId="2" priority="3">
      <x:formula>H2="positive"</x:formula>
    </x:cfRule>
    <x:cfRule type="expression" dxfId="3" priority="4">
      <x:formula>H2="negative"</x:formula>
    </x:cfRule>
    <x:cfRule type="expression" dxfId="4" priority="5">
      <x:formula>H2="neutral"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ca09720143c43a0"/>
  </x:tableParts>
</x:worksheet>
</file>