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632044283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22" sheetId="1" r:id="R578dcd7a9e77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8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  <x:font>
      <x:b/>
      <x:sz val="10"/>
      <x:color rgb="FFFFFF"/>
      <x:name val="Calibri"/>
    </x:font>
    <x:font>
      <x:sz val="10"/>
      <x:name val="Calibri"/>
    </x:font>
    <x:font>
      <x:b/>
      <x:sz val="10"/>
      <x:color rgb="000000"/>
      <x:name val="Calibri"/>
    </x:font>
    <x:font>
      <x:sz val="10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2" fontId="7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274E13"/>
      </x:font>
      <x:fill>
        <x:patternFill patternType="solid">
          <x:bgColor rgb="D9EAD3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26b7706c64a01" /><Relationship Type="http://schemas.openxmlformats.org/officeDocument/2006/relationships/theme" Target="/xl/theme/theme1.xml" Id="R59c2ac96ce3e46f1" /><Relationship Type="http://schemas.openxmlformats.org/officeDocument/2006/relationships/sharedStrings" Target="/xl/sharedStrings.xml" Id="R7ea409f472644f16" /><Relationship Type="http://schemas.openxmlformats.org/officeDocument/2006/relationships/worksheet" Target="/xl/worksheets/sheet1.xml" Id="R578dcd7a9e774ddd" /></Relationships>
</file>

<file path=xl/tables/table1.xml><?xml version="1.0" encoding="utf-8"?>
<x:table xmlns:x="http://schemas.openxmlformats.org/spreadsheetml/2006/main" id="1" name="AnnTable_022" displayName="AnnTable_022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ab6d12a2be4ae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60" hidden="0" customWidth="1"/>
    <x:col min="5" max="5" width="60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60" hidden="0" customWidth="1"/>
    <x:col min="11" max="11" width="18" hidden="0" customWidth="1"/>
    <x:col min="12" max="12" width="50" hidden="0" customWidth="1"/>
    <x:col min="13" max="13" width="4" hidden="0" customWidth="1"/>
    <x:col min="14" max="14" width="20" hidden="0" customWidth="1"/>
    <x:col min="15" max="15" width="16" hidden="0" customWidth="1"/>
  </x:cols>
  <x:sheetData>
    <x:row r="1" ht="28" customHeight="1">
      <x:c r="A1" s="30" t="str">
        <x:v>annotation_id</x:v>
      </x:c>
      <x:c r="B1" s="30" t="str">
        <x:v>sample_id</x:v>
      </x:c>
      <x:c r="C1" s="30" t="str">
        <x:v>date</x:v>
      </x:c>
      <x:c r="D1" s="30" t="str">
        <x:v>text_en</x:v>
      </x:c>
      <x:c r="E1" s="30" t="str">
        <x:v>text_tr</x:v>
      </x:c>
      <x:c r="F1" s="30" t="str">
        <x:v>finbert_label</x:v>
      </x:c>
      <x:c r="G1" s="30" t="str">
        <x:v>finbert_confidence</x:v>
      </x:c>
      <x:c r="H1" s="30" t="str">
        <x:v>chatgpt_label</x:v>
      </x:c>
      <x:c r="I1" s="30" t="str">
        <x:v>chatgpt_confidence</x:v>
      </x:c>
      <x:c r="J1" s="30" t="str">
        <x:v>chatgpt_reason_tr</x:v>
      </x:c>
      <x:c r="K1" s="30" t="str">
        <x:v>finbert_correctness</x:v>
      </x:c>
      <x:c r="L1" s="30" t="str">
        <x:v>finbert_correctness_note</x:v>
      </x:c>
      <x:c r="M1" s="40" t="str"/>
      <x:c r="N1" s="30" t="str">
        <x:v>Özet</x:v>
      </x:c>
      <x:c r="O1" s="30" t="str">
        <x:v>Değer</x:v>
      </x:c>
    </x:row>
    <x:row r="2" ht="58" customHeight="1">
      <x:c r="A2" s="32" t="str">
        <x:v>SP500_ANN_0211</x:v>
      </x:c>
      <x:c r="B2" s="32" t="str">
        <x:v>SP500_HEAD_010656</x:v>
      </x:c>
      <x:c r="C2" s="42" t="n">
        <x:v>44657</x:v>
      </x:c>
      <x:c r="D2" s="32" t="str">
        <x:v>Stock Market Today: Dow Jones, S&amp;P 500 Opens Lower On Hawkish Fed Remarks; Tilray Up On Strong Earnings</x:v>
      </x:c>
      <x:c r="E2" s="32" t="str">
        <x:v>Şahin Fed açıklamaları sonrası Dow Jones ve S&amp;P 500 düşük açıldı; Tilray güçlü bilanço ile yükseldi.</x:v>
      </x:c>
      <x:c r="F2" s="32" t="str">
        <x:v>negative</x:v>
      </x:c>
      <x:c r="G2" s="44" t="n">
        <x:v>0.726</x:v>
      </x:c>
      <x:c r="H2" s="32" t="str">
        <x:v>negative</x:v>
      </x:c>
      <x:c r="I2" s="32" t="str">
        <x:v>high</x:v>
      </x:c>
      <x:c r="J2" s="32" t="str">
        <x:v>Endekslerin düşük açılması ve şahin Fed vurgusu negatif baskın.</x:v>
      </x:c>
      <x:c r="K2" s="32" t="str">
        <x:v>correct</x:v>
      </x:c>
      <x:c r="L2" s="32" t="str">
        <x:v>FinBERT etiketi final etiket ile aynı.</x:v>
      </x:c>
      <x:c r="M2" s="31" t="str"/>
      <x:c r="N2" s="33" t="str">
        <x:v>Toplam örnek</x:v>
      </x:c>
      <x:c r="O2" s="34" t="n">
        <x:f>COUNTA(A2:A11)</x:f>
        <x:v>10</x:v>
      </x:c>
    </x:row>
    <x:row r="3" ht="58" customHeight="1">
      <x:c r="A3" s="32" t="str">
        <x:v>SP500_ANN_0212</x:v>
      </x:c>
      <x:c r="B3" s="32" t="str">
        <x:v>SP500_HEAD_010542</x:v>
      </x:c>
      <x:c r="C3" s="42" t="n">
        <x:v>44636</x:v>
      </x:c>
      <x:c r="D3" s="32" t="str">
        <x:v>History shows stocks can weather rate hike cycle</x:v>
      </x:c>
      <x:c r="E3" s="32" t="str">
        <x:v>Tarih, hisselerin faiz artırımı döngüsüne dayanabildiğini gösteriyor.</x:v>
      </x:c>
      <x:c r="F3" s="32" t="str">
        <x:v>positive</x:v>
      </x:c>
      <x:c r="G3" s="44" t="n">
        <x:v>0.808</x:v>
      </x:c>
      <x:c r="H3" s="32" t="str">
        <x:v>positive</x:v>
      </x:c>
      <x:c r="I3" s="32" t="str">
        <x:v>high</x:v>
      </x:c>
      <x:c r="J3" s="32" t="str">
        <x:v>Hisselerin faiz artışlarına dayanabileceği mesajı olumlu.</x:v>
      </x:c>
      <x:c r="K3" s="32" t="str">
        <x:v>correct</x:v>
      </x:c>
      <x:c r="L3" s="32" t="str">
        <x:v>FinBERT etiketi final etiket ile aynı.</x:v>
      </x:c>
      <x:c r="M3" s="31" t="str"/>
      <x:c r="N3" s="33" t="str">
        <x:v>FinBERT doğru</x:v>
      </x:c>
      <x:c r="O3" s="34" t="n">
        <x:f>COUNTIF(K2:K11,"correct")</x:f>
        <x:v>9</x:v>
      </x:c>
    </x:row>
    <x:row r="4" ht="58" customHeight="1">
      <x:c r="A4" s="32" t="str">
        <x:v>SP500_ANN_0213</x:v>
      </x:c>
      <x:c r="B4" s="32" t="str">
        <x:v>SP500_HEAD_000925</x:v>
      </x:c>
      <x:c r="C4" s="42" t="n">
        <x:v>40878</x:v>
      </x:c>
      <x:c r="D4" s="32" t="str">
        <x:v>Goldman's Top Strategist Sets His S&amp;P 500 Target For 2012</x:v>
      </x:c>
      <x:c r="E4" s="32" t="str">
        <x:v>Goldman'ın baş stratejisti 2012 için S&amp;P 500 hedefini belirledi.</x:v>
      </x:c>
      <x:c r="F4" s="32" t="str">
        <x:v>neutral</x:v>
      </x:c>
      <x:c r="G4" s="44" t="n">
        <x:v>0.935</x:v>
      </x:c>
      <x:c r="H4" s="32" t="str">
        <x:v>neutral</x:v>
      </x:c>
      <x:c r="I4" s="32" t="str">
        <x:v>high</x:v>
      </x:c>
      <x:c r="J4" s="32" t="str">
        <x:v>Hedefin yönü verilmemiş; başlık tek başına nötr.</x:v>
      </x:c>
      <x:c r="K4" s="32" t="str">
        <x:v>correct</x:v>
      </x:c>
      <x:c r="L4" s="32" t="str">
        <x:v>FinBERT etiketi final etiket ile aynı.</x:v>
      </x:c>
      <x:c r="M4" s="31" t="str"/>
      <x:c r="N4" s="33" t="str">
        <x:v>FinBERT yanlış</x:v>
      </x:c>
      <x:c r="O4" s="34" t="n">
        <x:f>COUNTIF(K2:K11,"wrong")</x:f>
        <x:v>1</x:v>
      </x:c>
    </x:row>
    <x:row r="5" ht="58" customHeight="1">
      <x:c r="A5" s="32" t="str">
        <x:v>SP500_ANN_0214</x:v>
      </x:c>
      <x:c r="B5" s="32" t="str">
        <x:v>SP500_HEAD_014064</x:v>
      </x:c>
      <x:c r="C5" s="42" t="n">
        <x:v>45072</x:v>
      </x:c>
      <x:c r="D5" s="32" t="str">
        <x:v>US stock market: Wall Street ends higher as Nvidia sparks rush for AI stocks</x:v>
      </x:c>
      <x:c r="E5" s="32" t="str">
        <x:v>Nvidia yapay zeka hisselerine hücumu tetiklerken Wall Street yükselişle kapandı.</x:v>
      </x:c>
      <x:c r="F5" s="32" t="str">
        <x:v>positive</x:v>
      </x:c>
      <x:c r="G5" s="44" t="n">
        <x:v>0.921</x:v>
      </x:c>
      <x:c r="H5" s="32" t="str">
        <x:v>positive</x:v>
      </x:c>
      <x:c r="I5" s="32" t="str">
        <x:v>high</x:v>
      </x:c>
      <x:c r="J5" s="32" t="str">
        <x:v>Piyasanın yüksek kapanması ve AI alımı olumlu.</x:v>
      </x:c>
      <x:c r="K5" s="32" t="str">
        <x:v>correct</x:v>
      </x:c>
      <x:c r="L5" s="32" t="str">
        <x:v>FinBERT etiketi final etiket ile aynı.</x:v>
      </x:c>
      <x:c r="M5" s="31" t="str"/>
      <x:c r="N5" s="33" t="str">
        <x:v>Doğruluk oranı</x:v>
      </x:c>
      <x:c r="O5" s="46" t="n">
        <x:f>O3/O2</x:f>
        <x:v>0.9</x:v>
      </x:c>
    </x:row>
    <x:row r="6" ht="58" customHeight="1">
      <x:c r="A6" s="32" t="str">
        <x:v>SP500_ANN_0215</x:v>
      </x:c>
      <x:c r="B6" s="32" t="str">
        <x:v>SP500_HEAD_013876</x:v>
      </x:c>
      <x:c r="C6" s="42" t="n">
        <x:v>45058</x:v>
      </x:c>
      <x:c r="D6" s="32" t="str">
        <x:v>Dow Jones Today: Index Drops on Consumer Concern</x:v>
      </x:c>
      <x:c r="E6" s="32" t="str">
        <x:v>Dow Jones bugün: Endeks tüketici endişesiyle düştü.</x:v>
      </x:c>
      <x:c r="F6" s="32" t="str">
        <x:v>negative</x:v>
      </x:c>
      <x:c r="G6" s="44" t="n">
        <x:v>0.965</x:v>
      </x:c>
      <x:c r="H6" s="32" t="str">
        <x:v>negative</x:v>
      </x:c>
      <x:c r="I6" s="32" t="str">
        <x:v>high</x:v>
      </x:c>
      <x:c r="J6" s="32" t="str">
        <x:v>Endeks düşüşü ve tüketici endişesi net negatif.</x:v>
      </x:c>
      <x:c r="K6" s="32" t="str">
        <x:v>correct</x:v>
      </x:c>
      <x:c r="L6" s="32" t="str">
        <x:v>FinBERT etiketi final etiket ile aynı.</x:v>
      </x:c>
      <x:c r="M6" s="31" t="str"/>
      <x:c r="N6" s="31" t="str"/>
      <x:c r="O6" s="31" t="str"/>
    </x:row>
    <x:row r="7" ht="58" customHeight="1">
      <x:c r="A7" s="32" t="str">
        <x:v>SP500_ANN_0216</x:v>
      </x:c>
      <x:c r="B7" s="32" t="str">
        <x:v>SP500_HEAD_012480</x:v>
      </x:c>
      <x:c r="C7" s="42" t="n">
        <x:v>44935</x:v>
      </x:c>
      <x:c r="D7" s="32" t="str">
        <x:v>Nancy Pelosi's Portfolio Plunged 20% in 2022 Stock Market Crash</x:v>
      </x:c>
      <x:c r="E7" s="32" t="str">
        <x:v>Nancy Pelosi'nin portföyü 2022 borsa çöküşünde %20 düştü.</x:v>
      </x:c>
      <x:c r="F7" s="32" t="str">
        <x:v>negative</x:v>
      </x:c>
      <x:c r="G7" s="44" t="n">
        <x:v>0.972</x:v>
      </x:c>
      <x:c r="H7" s="32" t="str">
        <x:v>negative</x:v>
      </x:c>
      <x:c r="I7" s="32" t="str">
        <x:v>high</x:v>
      </x:c>
      <x:c r="J7" s="32" t="str">
        <x:v>Portföy düşüşü ve borsa çöküşü vurgusu negatif.</x:v>
      </x:c>
      <x:c r="K7" s="32" t="str">
        <x:v>correct</x:v>
      </x:c>
      <x:c r="L7" s="32" t="str">
        <x:v>FinBERT etiketi final etiket ile aynı.</x:v>
      </x:c>
      <x:c r="M7" s="31" t="str"/>
      <x:c r="N7" s="31" t="str"/>
      <x:c r="O7" s="31" t="str"/>
    </x:row>
    <x:row r="8" ht="58" customHeight="1">
      <x:c r="A8" s="32" t="str">
        <x:v>SP500_ANN_0217</x:v>
      </x:c>
      <x:c r="B8" s="32" t="str">
        <x:v>SP500_HEAD_005689</x:v>
      </x:c>
      <x:c r="C8" s="42" t="n">
        <x:v>43133</x:v>
      </x:c>
      <x:c r="D8" s="32" t="str">
        <x:v>S&amp;P 500's Risk-Adjusted Return Was Close to World-Best in 2017</x:v>
      </x:c>
      <x:c r="E8" s="32" t="str">
        <x:v>S&amp;P 500'ün risk ayarlı getirisi 2017'de dünyanın en iyilerine yakındı.</x:v>
      </x:c>
      <x:c r="F8" s="32" t="str">
        <x:v>positive</x:v>
      </x:c>
      <x:c r="G8" s="44" t="n">
        <x:v>0.931</x:v>
      </x:c>
      <x:c r="H8" s="32" t="str">
        <x:v>positive</x:v>
      </x:c>
      <x:c r="I8" s="32" t="str">
        <x:v>high</x:v>
      </x:c>
      <x:c r="J8" s="32" t="str">
        <x:v>S&amp;P 500 performansının güçlü olduğu belirtiliyor.</x:v>
      </x:c>
      <x:c r="K8" s="32" t="str">
        <x:v>correct</x:v>
      </x:c>
      <x:c r="L8" s="32" t="str">
        <x:v>FinBERT etiketi final etiket ile aynı.</x:v>
      </x:c>
      <x:c r="M8" s="31" t="str"/>
      <x:c r="N8" s="31" t="str"/>
      <x:c r="O8" s="31" t="str"/>
    </x:row>
    <x:row r="9" ht="58" customHeight="1">
      <x:c r="A9" s="32" t="str">
        <x:v>SP500_ANN_0218</x:v>
      </x:c>
      <x:c r="B9" s="32" t="str">
        <x:v>SP500_HEAD_015114</x:v>
      </x:c>
      <x:c r="C9" s="42" t="n">
        <x:v>45148</x:v>
      </x:c>
      <x:c r="D9" s="32" t="str">
        <x:v>Dow, S&amp;P 500 and Nasdaq eke out gains, but close below session highs after July's inflation report</x:v>
      </x:c>
      <x:c r="E9" s="32" t="str">
        <x:v>Dow, S&amp;P 500 ve Nasdaq sınırlı yükseldi ancak Temmuz enflasyon raporu sonrası seans zirvelerinin altında kapandı.</x:v>
      </x:c>
      <x:c r="F9" s="32" t="str">
        <x:v>negative</x:v>
      </x:c>
      <x:c r="G9" s="44" t="n">
        <x:v>0.95</x:v>
      </x:c>
      <x:c r="H9" s="32" t="str">
        <x:v>positive</x:v>
      </x:c>
      <x:c r="I9" s="32" t="str">
        <x:v>medium</x:v>
      </x:c>
      <x:c r="J9" s="32" t="str">
        <x:v>Olumsuz detay olsa da ana sonuç endekslerin kazançla kapanması.</x:v>
      </x:c>
      <x:c r="K9" s="32" t="str">
        <x:v>wrong</x:v>
      </x:c>
      <x:c r="L9" s="32" t="str">
        <x:v>FinBERT negative demiş; final etiket positive.</x:v>
      </x:c>
      <x:c r="M9" s="31" t="str"/>
      <x:c r="N9" s="31" t="str"/>
      <x:c r="O9" s="31" t="str"/>
    </x:row>
    <x:row r="10" ht="58" customHeight="1">
      <x:c r="A10" s="32" t="str">
        <x:v>SP500_ANN_0219</x:v>
      </x:c>
      <x:c r="B10" s="32" t="str">
        <x:v>SP500_HEAD_007159</x:v>
      </x:c>
      <x:c r="C10" s="42" t="n">
        <x:v>43768</x:v>
      </x:c>
      <x:c r="D10" s="32" t="str">
        <x:v>Defensive Equities Are Leading the S&amp;P 500 to Its Record Highs</x:v>
      </x:c>
      <x:c r="E10" s="32" t="str">
        <x:v>Defansif hisseler S&amp;P 500'ü rekor zirvelere taşıyor.</x:v>
      </x:c>
      <x:c r="F10" s="32" t="str">
        <x:v>positive</x:v>
      </x:c>
      <x:c r="G10" s="44" t="n">
        <x:v>0.907</x:v>
      </x:c>
      <x:c r="H10" s="32" t="str">
        <x:v>positive</x:v>
      </x:c>
      <x:c r="I10" s="32" t="str">
        <x:v>high</x:v>
      </x:c>
      <x:c r="J10" s="32" t="str">
        <x:v>Rekor zirveler ve liderlik olumlu piyasa sinyali.</x:v>
      </x:c>
      <x:c r="K10" s="32" t="str">
        <x:v>correct</x:v>
      </x:c>
      <x:c r="L10" s="32" t="str">
        <x:v>FinBERT etiketi final etiket ile aynı.</x:v>
      </x:c>
      <x:c r="M10" s="31" t="str"/>
      <x:c r="N10" s="31" t="str"/>
      <x:c r="O10" s="31" t="str"/>
    </x:row>
    <x:row r="11" ht="58" customHeight="1">
      <x:c r="A11" s="32" t="str">
        <x:v>SP500_ANN_0220</x:v>
      </x:c>
      <x:c r="B11" s="32" t="str">
        <x:v>SP500_HEAD_011618</x:v>
      </x:c>
      <x:c r="C11" s="42" t="n">
        <x:v>44816</x:v>
      </x:c>
      <x:c r="D11" s="32" t="str">
        <x:v>Credit Calculus Turns Against Stocks With Yield Edge Over Bonds Vanishing</x:v>
      </x:c>
      <x:c r="E11" s="32" t="str">
        <x:v>Tahvil karşısında getiri avantajı kaybolurken kredi hesabı hisselerin aleyhine dönüyor.</x:v>
      </x:c>
      <x:c r="F11" s="32" t="str">
        <x:v>negative</x:v>
      </x:c>
      <x:c r="G11" s="44" t="n">
        <x:v>0.503</x:v>
      </x:c>
      <x:c r="H11" s="32" t="str">
        <x:v>negative</x:v>
      </x:c>
      <x:c r="I11" s="32" t="str">
        <x:v>high</x:v>
      </x:c>
      <x:c r="J11" s="32" t="str">
        <x:v>Hisselerin aleyhine dönen koşullar açık negatif.</x:v>
      </x:c>
      <x:c r="K11" s="32" t="str">
        <x:v>correct</x:v>
      </x:c>
      <x:c r="L11" s="32" t="str">
        <x:v>FinBERT etiketi final etiket ile aynı.</x:v>
      </x:c>
      <x:c r="M11" s="31" t="str"/>
      <x:c r="N11" s="31" t="str"/>
      <x:c r="O11" s="31" t="str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ab6d12a2be4ae4"/>
  </x:tableParts>
</x:worksheet>
</file>