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1ff2214e2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01" sheetId="1" r:id="R1d2f6afe115a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2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202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202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202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778e2ad244ccd" /><Relationship Type="http://schemas.openxmlformats.org/officeDocument/2006/relationships/theme" Target="/xl/theme/theme1.xml" Id="R3ba6d326b4f9461c" /><Relationship Type="http://schemas.openxmlformats.org/officeDocument/2006/relationships/sharedStrings" Target="/xl/sharedStrings.xml" Id="Re4cfe8b8b7f042bb" /><Relationship Type="http://schemas.openxmlformats.org/officeDocument/2006/relationships/worksheet" Target="/xl/worksheets/sheet1.xml" Id="R1d2f6afe115a4382" /></Relationships>
</file>

<file path=xl/tables/table1.xml><?xml version="1.0" encoding="utf-8"?>
<x:table xmlns:x="http://schemas.openxmlformats.org/spreadsheetml/2006/main" id="1" name="Batch101Table" displayName="Batch101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2835dc5af7404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50" hidden="0" customWidth="1"/>
    <x:col min="5" max="5" width="5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50" hidden="0" customWidth="1"/>
    <x:col min="11" max="11" width="16" hidden="0" customWidth="1"/>
    <x:col min="12" max="12" width="45" hidden="0" customWidth="1"/>
    <x:col min="13" max="13" width="3" hidden="0" customWidth="1"/>
    <x:col min="14" max="14" width="18" hidden="0" customWidth="1"/>
    <x:col min="15" max="15" width="18" hidden="0" customWidth="1"/>
  </x:cols>
  <x:sheetData>
    <x:row r="1" ht="30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72" customHeight="1">
      <x:c r="A2" s="16" t="str">
        <x:v>SP500_ANN_1001</x:v>
      </x:c>
      <x:c r="B2" s="16" t="str">
        <x:v>SP500_HEAD_005400</x:v>
      </x:c>
      <x:c r="C2" s="20" t="n">
        <x:v>42986</x:v>
      </x:c>
      <x:c r="D2" s="16" t="str">
        <x:v>The growth imperative for medical-device companies</x:v>
      </x:c>
      <x:c r="E2" s="16" t="str">
        <x:v>Tıbbi cihaz şirketleri için büyüme zorunluluğu.</x:v>
      </x:c>
      <x:c r="F2" s="16" t="str">
        <x:v>neutral</x:v>
      </x:c>
      <x:c r="G2" s="22" t="n">
        <x:v>0.775</x:v>
      </x:c>
      <x:c r="H2" s="16" t="str">
        <x:v>neutral</x:v>
      </x:c>
      <x:c r="I2" s="16" t="str">
        <x:v>high</x:v>
      </x:c>
      <x:c r="J2" s="16" t="str">
        <x:v>Genel sektör/strateji başlığı; net olumlu veya olumsuz piyasa yönü yok.</x:v>
      </x:c>
      <x:c r="K2" s="16" t="str">
        <x:v>correct</x:v>
      </x:c>
      <x:c r="L2" s="16" t="str">
        <x:v>FinBERT etiketi final etiket ile aynı.</x:v>
      </x:c>
      <x:c r="M2" s="16" t="str"/>
      <x:c r="N2" s="38" t="str">
        <x:v>Toplam örnek</x:v>
      </x:c>
      <x:c r="O2" s="30" t="n">
        <x:f>COUNTA(A2:A11)</x:f>
        <x:v>10</x:v>
      </x:c>
    </x:row>
    <x:row r="3" ht="72" customHeight="1">
      <x:c r="A3" s="16" t="str">
        <x:v>SP500_ANN_1002</x:v>
      </x:c>
      <x:c r="B3" s="16" t="str">
        <x:v>SP500_HEAD_002527</x:v>
      </x:c>
      <x:c r="C3" s="20" t="n">
        <x:v>41663</x:v>
      </x:c>
      <x:c r="D3" s="16" t="str">
        <x:v>LNG Stock Chart: 3 Stocks Crushing the S&amp;P 500</x:v>
      </x:c>
      <x:c r="E3" s="16" t="str">
        <x:v>LNG hisse grafiği: S&amp;P 500’ü ezici biçimde geride bırakan 3 hisse.</x:v>
      </x:c>
      <x:c r="F3" s="16" t="str">
        <x:v>neutral</x:v>
      </x:c>
      <x:c r="G3" s="22" t="n">
        <x:v>0.9</x:v>
      </x:c>
      <x:c r="H3" s="16" t="str">
        <x:v>positive</x:v>
      </x:c>
      <x:c r="I3" s="16" t="str">
        <x:v>high</x:v>
      </x:c>
      <x:c r="J3" s="16" t="str">
        <x:v>S&amp;P 500’ü güçlü biçimde geride bırakan hisselerden bahsediyor; olumlu performans sinyali var.</x:v>
      </x:c>
      <x:c r="K3" s="16" t="str">
        <x:v>wrong</x:v>
      </x:c>
      <x:c r="L3" s="16" t="str">
        <x:v>FinBERT neutral demiş; final etiket positive. 'Crushing the S&amp;P 500' açık üstün performans ifadesi.</x:v>
      </x:c>
      <x:c r="M3" s="16" t="str"/>
      <x:c r="N3" s="38" t="str">
        <x:v>FinBERT doğru</x:v>
      </x:c>
      <x:c r="O3" s="30" t="n">
        <x:f>COUNTIF(K2:K11,"correct")</x:f>
        <x:v>5</x:v>
      </x:c>
    </x:row>
    <x:row r="4" ht="72" customHeight="1">
      <x:c r="A4" s="16" t="str">
        <x:v>SP500_ANN_1003</x:v>
      </x:c>
      <x:c r="B4" s="16" t="str">
        <x:v>SP500_HEAD_002514</x:v>
      </x:c>
      <x:c r="C4" s="20" t="n">
        <x:v>41661</x:v>
      </x:c>
      <x:c r="D4" s="16" t="str">
        <x:v>South Korea spending $1.5 billion for ‘5G’ network</x:v>
      </x:c>
      <x:c r="E4" s="16" t="str">
        <x:v>Güney Kore ‘5G’ ağı için 1,5 milyar dolar harcıyor.</x:v>
      </x:c>
      <x:c r="F4" s="16" t="str">
        <x:v>positive</x:v>
      </x:c>
      <x:c r="G4" s="22" t="n">
        <x:v>0.724</x:v>
      </x:c>
      <x:c r="H4" s="16" t="str">
        <x:v>positive</x:v>
      </x:c>
      <x:c r="I4" s="16" t="str">
        <x:v>medium</x:v>
      </x:c>
      <x:c r="J4" s="16" t="str">
        <x:v>Büyük teknoloji/altyapı yatırımı ekonomik ve sektörel açıdan olumlu sinyal veriyor.</x:v>
      </x:c>
      <x:c r="K4" s="16" t="str">
        <x:v>correct</x:v>
      </x:c>
      <x:c r="L4" s="16" t="str">
        <x:v>FinBERT etiketi final etiket ile aynı.</x:v>
      </x:c>
      <x:c r="M4" s="16" t="str"/>
      <x:c r="N4" s="38" t="str">
        <x:v>FinBERT yanlış</x:v>
      </x:c>
      <x:c r="O4" s="30" t="n">
        <x:f>COUNTIF(K2:K11,"wrong")</x:f>
        <x:v>5</x:v>
      </x:c>
    </x:row>
    <x:row r="5" ht="72" customHeight="1">
      <x:c r="A5" s="16" t="str">
        <x:v>SP500_ANN_1004</x:v>
      </x:c>
      <x:c r="B5" s="16" t="str">
        <x:v>SP500_HEAD_009619</x:v>
      </x:c>
      <x:c r="C5" s="20" t="n">
        <x:v>44453</x:v>
      </x:c>
      <x:c r="D5" s="16" t="str">
        <x:v>Dow closes more than 200 points higher, S&amp;P 500 rebounds to stave off September slide</x:v>
      </x:c>
      <x:c r="E5" s="16" t="str">
        <x:v>Dow 200 puandan fazla yükselişle kapandı, S&amp;P 500 Eylül düşüşünü engellemek için toparlandı.</x:v>
      </x:c>
      <x:c r="F5" s="16" t="str">
        <x:v>negative</x:v>
      </x:c>
      <x:c r="G5" s="22" t="n">
        <x:v>0.477</x:v>
      </x:c>
      <x:c r="H5" s="16" t="str">
        <x:v>positive</x:v>
      </x:c>
      <x:c r="I5" s="16" t="str">
        <x:v>high</x:v>
      </x:c>
      <x:c r="J5" s="16" t="str">
        <x:v>Dow yükseliyor ve S&amp;P 500 toparlanıyor; başlık piyasa açısından olumlu.</x:v>
      </x:c>
      <x:c r="K5" s="16" t="str">
        <x:v>wrong</x:v>
      </x:c>
      <x:c r="L5" s="16" t="str">
        <x:v>FinBERT negative demiş; final etiket positive. Muhtemelen 'September slide' ifadesine fazla ağırlık verdi.</x:v>
      </x:c>
      <x:c r="M5" s="16" t="str"/>
      <x:c r="N5" s="38" t="str">
        <x:v>Doğruluk oranı</x:v>
      </x:c>
      <x:c r="O5" s="31" t="n">
        <x:f>O3/O2</x:f>
        <x:v>0.5</x:v>
      </x:c>
    </x:row>
    <x:row r="6" ht="72" customHeight="1">
      <x:c r="A6" s="16" t="str">
        <x:v>SP500_ANN_1005</x:v>
      </x:c>
      <x:c r="B6" s="16" t="str">
        <x:v>SP500_HEAD_007448</x:v>
      </x:c>
      <x:c r="C6" s="20" t="n">
        <x:v>43866</x:v>
      </x:c>
      <x:c r="D6" s="16" t="str">
        <x:v>Dow jumps 480 points, S&amp;P 500 closes at record as market shakes off coronavirus fears</x:v>
      </x:c>
      <x:c r="E6" s="16" t="str">
        <x:v>Dow 480 puan sıçradı, S&amp;P 500 koronavirüs korkularını üzerinden atarak rekor seviyede kapandı.</x:v>
      </x:c>
      <x:c r="F6" s="16" t="str">
        <x:v>negative</x:v>
      </x:c>
      <x:c r="G6" s="22" t="n">
        <x:v>0.608</x:v>
      </x:c>
      <x:c r="H6" s="16" t="str">
        <x:v>positive</x:v>
      </x:c>
      <x:c r="I6" s="16" t="str">
        <x:v>high</x:v>
      </x:c>
      <x:c r="J6" s="16" t="str">
        <x:v>Dow sert yükseliyor, S&amp;P 500 rekor kapanış yapıyor ve korkular azalıyor; açık olumlu piyasa sinyali.</x:v>
      </x:c>
      <x:c r="K6" s="16" t="str">
        <x:v>wrong</x:v>
      </x:c>
      <x:c r="L6" s="16" t="str">
        <x:v>FinBERT negative demiş; final etiket positive. 'coronavirus fears' kısmına fazla ağırlık vermiş olabilir.</x:v>
      </x:c>
      <x:c r="M6" s="16" t="str"/>
      <x:c r="N6" s="16" t="str"/>
      <x:c r="O6" s="16" t="str"/>
    </x:row>
    <x:row r="7" ht="72" customHeight="1">
      <x:c r="A7" s="16" t="str">
        <x:v>SP500_ANN_1006</x:v>
      </x:c>
      <x:c r="B7" s="16" t="str">
        <x:v>SP500_HEAD_002185</x:v>
      </x:c>
      <x:c r="C7" s="20" t="n">
        <x:v>41514</x:v>
      </x:c>
      <x:c r="D7" s="16" t="str">
        <x:v>Threat of military strike sends ripples through global oil market</x:v>
      </x:c>
      <x:c r="E7" s="16" t="str">
        <x:v>Askeri saldırı tehdidi küresel petrol piyasasında dalgalanma yaratıyor.</x:v>
      </x:c>
      <x:c r="F7" s="16" t="str">
        <x:v>negative</x:v>
      </x:c>
      <x:c r="G7" s="22" t="n">
        <x:v>0.727</x:v>
      </x:c>
      <x:c r="H7" s="16" t="str">
        <x:v>negative</x:v>
      </x:c>
      <x:c r="I7" s="16" t="str">
        <x:v>high</x:v>
      </x:c>
      <x:c r="J7" s="16" t="str">
        <x:v>Askeri saldırı tehdidi ve piyasa dalgalanması risk/olumsuzluk içeriyor.</x:v>
      </x:c>
      <x:c r="K7" s="16" t="str">
        <x:v>correct</x:v>
      </x:c>
      <x:c r="L7" s="16" t="str">
        <x:v>FinBERT etiketi final etiket ile aynı.</x:v>
      </x:c>
      <x:c r="M7" s="16" t="str"/>
      <x:c r="N7" s="16" t="str"/>
      <x:c r="O7" s="16" t="str"/>
    </x:row>
    <x:row r="8" ht="72" customHeight="1">
      <x:c r="A8" s="16" t="str">
        <x:v>SP500_ANN_1007</x:v>
      </x:c>
      <x:c r="B8" s="16" t="str">
        <x:v>SP500_HEAD_005075</x:v>
      </x:c>
      <x:c r="C8" s="20" t="n">
        <x:v>42823</x:v>
      </x:c>
      <x:c r="D8" s="16" t="str">
        <x:v>Computer Sciences To Join S&amp;P 500, Stock Jumps</x:v>
      </x:c>
      <x:c r="E8" s="16" t="str">
        <x:v>Computer Sciences S&amp;P 500’e katılacak, hisse sıçradı.</x:v>
      </x:c>
      <x:c r="F8" s="16" t="str">
        <x:v>neutral</x:v>
      </x:c>
      <x:c r="G8" s="22" t="n">
        <x:v>0.87</x:v>
      </x:c>
      <x:c r="H8" s="16" t="str">
        <x:v>positive</x:v>
      </x:c>
      <x:c r="I8" s="16" t="str">
        <x:v>high</x:v>
      </x:c>
      <x:c r="J8" s="16" t="str">
        <x:v>Endekse katılım ve hissenin sıçraması şirket açısından açık olumlu sinyal.</x:v>
      </x:c>
      <x:c r="K8" s="16" t="str">
        <x:v>wrong</x:v>
      </x:c>
      <x:c r="L8" s="16" t="str">
        <x:v>FinBERT neutral demiş; final etiket positive. 'Stock jumps' ifadesi pozitif.</x:v>
      </x:c>
      <x:c r="M8" s="16" t="str"/>
      <x:c r="N8" s="16" t="str"/>
      <x:c r="O8" s="16" t="str"/>
    </x:row>
    <x:row r="9" ht="72" customHeight="1">
      <x:c r="A9" s="16" t="str">
        <x:v>SP500_ANN_1008</x:v>
      </x:c>
      <x:c r="B9" s="16" t="str">
        <x:v>SP500_HEAD_006431</x:v>
      </x:c>
      <x:c r="C9" s="20" t="n">
        <x:v>43465</x:v>
      </x:c>
      <x:c r="D9" s="16" t="str">
        <x:v>Stocks are down after a volatile year, but that's not the whole picture</x:v>
      </x:c>
      <x:c r="E9" s="16" t="str">
        <x:v>Hisseler dalgalı bir yılın ardından düşüşte, ancak tablo bundan ibaret değil.</x:v>
      </x:c>
      <x:c r="F9" s="16" t="str">
        <x:v>negative</x:v>
      </x:c>
      <x:c r="G9" s="22" t="n">
        <x:v>0.923</x:v>
      </x:c>
      <x:c r="H9" s="16" t="str">
        <x:v>negative</x:v>
      </x:c>
      <x:c r="I9" s="16" t="str">
        <x:v>medium</x:v>
      </x:c>
      <x:c r="J9" s="16" t="str">
        <x:v>Ana piyasa sinyali hisselerin düşüşte olması; ikinci kısım tonu yumuşatsa da negatif baskın.</x:v>
      </x:c>
      <x:c r="K9" s="16" t="str">
        <x:v>correct</x:v>
      </x:c>
      <x:c r="L9" s="16" t="str">
        <x:v>FinBERT etiketi final etiket ile aynı.</x:v>
      </x:c>
      <x:c r="M9" s="16" t="str"/>
      <x:c r="N9" s="16" t="str"/>
      <x:c r="O9" s="16" t="str"/>
    </x:row>
    <x:row r="10" ht="72" customHeight="1">
      <x:c r="A10" s="16" t="str">
        <x:v>SP500_ANN_1009</x:v>
      </x:c>
      <x:c r="B10" s="16" t="str">
        <x:v>SP500_HEAD_008399</x:v>
      </x:c>
      <x:c r="C10" s="20" t="n">
        <x:v>44092</x:v>
      </x:c>
      <x:c r="D10" s="16" t="str">
        <x:v>Stock picking has a terrible track record, and it’s getting worse</x:v>
      </x:c>
      <x:c r="E10" s="16" t="str">
        <x:v>Hisse seçiminin çok kötü bir geçmiş performansı var ve durum daha da kötüleşiyor.</x:v>
      </x:c>
      <x:c r="F10" s="16" t="str">
        <x:v>negative</x:v>
      </x:c>
      <x:c r="G10" s="22" t="n">
        <x:v>0.961</x:v>
      </x:c>
      <x:c r="H10" s="16" t="str">
        <x:v>negative</x:v>
      </x:c>
      <x:c r="I10" s="16" t="str">
        <x:v>high</x:v>
      </x:c>
      <x:c r="J10" s="16" t="str">
        <x:v>Kötü geçmiş performans ve kötüleşme ifadesi açık negatif finansal sinyal.</x:v>
      </x:c>
      <x:c r="K10" s="16" t="str">
        <x:v>correct</x:v>
      </x:c>
      <x:c r="L10" s="16" t="str">
        <x:v>FinBERT etiketi final etiket ile aynı.</x:v>
      </x:c>
      <x:c r="M10" s="16" t="str"/>
      <x:c r="N10" s="16" t="str"/>
      <x:c r="O10" s="16" t="str"/>
    </x:row>
    <x:row r="11" ht="72" customHeight="1">
      <x:c r="A11" s="16" t="str">
        <x:v>SP500_ANN_1010</x:v>
      </x:c>
      <x:c r="B11" s="16" t="str">
        <x:v>SP500_HEAD_017109</x:v>
      </x:c>
      <x:c r="C11" s="20" t="n">
        <x:v>45289</x:v>
      </x:c>
      <x:c r="D11" s="16" t="str">
        <x:v>Stock Market Today: S&amp;P 500 ends slightly lower but posts 24% 2023 gain</x:v>
      </x:c>
      <x:c r="E11" s="16" t="str">
        <x:v>Borsa bugün: S&amp;P 500 hafif düşüşle kapandı ancak 2023’te %24 kazanç yazdı.</x:v>
      </x:c>
      <x:c r="F11" s="16" t="str">
        <x:v>negative</x:v>
      </x:c>
      <x:c r="G11" s="22" t="n">
        <x:v>0.967</x:v>
      </x:c>
      <x:c r="H11" s="16" t="str">
        <x:v>positive</x:v>
      </x:c>
      <x:c r="I11" s="16" t="str">
        <x:v>medium</x:v>
      </x:c>
      <x:c r="J11" s="16" t="str">
        <x:v>Günlük hafif düşüş var ama başlığın baskın bilgisi yıl genelinde %24 güçlü kazanç; genel sinyal olumlu.</x:v>
      </x:c>
      <x:c r="K11" s="16" t="str">
        <x:v>wrong</x:v>
      </x:c>
      <x:c r="L11" s="16" t="str">
        <x:v>FinBERT negative demiş; final etiket positive. Günlük 'slightly lower' kısmına fazla ağırlık vermiş olabilir.</x:v>
      </x:c>
      <x:c r="M11" s="16" t="str"/>
      <x:c r="N11" s="16" t="str"/>
      <x:c r="O11" s="16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2835dc5af7404b"/>
  </x:tableParts>
</x:worksheet>
</file>