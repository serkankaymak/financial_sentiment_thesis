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c359a5c0a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1534fe0ee9d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0d6dcb5234029" /><Relationship Type="http://schemas.openxmlformats.org/officeDocument/2006/relationships/theme" Target="/xl/theme/theme1.xml" Id="Rf1e7bce0fdf147ac" /><Relationship Type="http://schemas.openxmlformats.org/officeDocument/2006/relationships/sharedStrings" Target="/xl/sharedStrings.xml" Id="R058cd376646a4966" /><Relationship Type="http://schemas.openxmlformats.org/officeDocument/2006/relationships/worksheet" Target="/xl/worksheets/sheet1.xml" Id="Rd1534fe0ee9d40fa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93eebeb81645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SP500_ANN_0781</x:v>
      </x:c>
      <x:c r="B2" s="15" t="str">
        <x:v>SP500_HEAD_001535</x:v>
      </x:c>
      <x:c r="C2" s="15" t="str">
        <x:v>2012-10-05</x:v>
      </x:c>
      <x:c r="D2" s="15" t="str">
        <x:v>Mazda hit by anti-Japan protests in China</x:v>
      </x:c>
      <x:c r="E2" s="15" t="str">
        <x:v>Mazda, Çin'deki Japonya karşıtı protestolardan etkilendi.</x:v>
      </x:c>
      <x:c r="F2" s="15" t="str">
        <x:v>negative</x:v>
      </x:c>
      <x:c r="G2" s="18" t="n">
        <x:v>0.928</x:v>
      </x:c>
      <x:c r="H2" s="15" t="str">
        <x:v>negative</x:v>
      </x:c>
      <x:c r="I2" s="15" t="str">
        <x:v>high</x:v>
      </x:c>
      <x:c r="J2" s="15" t="str">
        <x:v>Protestoların şirketi etkilemesi negatif.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SP500_ANN_0782</x:v>
      </x:c>
      <x:c r="B3" s="15" t="str">
        <x:v>SP500_HEAD_011530</x:v>
      </x:c>
      <x:c r="C3" s="15" t="str">
        <x:v>2022-08-29</x:v>
      </x:c>
      <x:c r="D3" s="15" t="str">
        <x:v>The 8 Most Profitable U.S. Companies Practically Print Money</x:v>
      </x:c>
      <x:c r="E3" s="15" t="str">
        <x:v>En kârlı 8 ABD şirketi adeta para basıyor.</x:v>
      </x:c>
      <x:c r="F3" s="15" t="str">
        <x:v>neutral</x:v>
      </x:c>
      <x:c r="G3" s="18" t="n">
        <x:v>0.886</x:v>
      </x:c>
      <x:c r="H3" s="15" t="str">
        <x:v>positive</x:v>
      </x:c>
      <x:c r="I3" s="15" t="str">
        <x:v>high</x:v>
      </x:c>
      <x:c r="J3" s="15" t="str">
        <x:v>Yüksek kârlılık açık olumlu finansal sinyal.</x:v>
      </x:c>
      <x:c r="K3" s="15" t="str">
        <x:v>wrong</x:v>
      </x:c>
      <x:c r="L3" s="15" t="str">
        <x:v>FinBERT neutral demiş; final etiket positive. Başlıktaki baskın finansal sinyali farklı yorumlamış.</x:v>
      </x:c>
      <x:c r="N3" s="15" t="str">
        <x:v>FinBERT doğru</x:v>
      </x:c>
      <x:c r="O3" s="15" t="n">
        <x:f>COUNTIF(K2:K11,"correct")</x:f>
        <x:v>8</x:v>
      </x:c>
    </x:row>
    <x:row r="4" ht="24" customHeight="1">
      <x:c r="A4" s="15" t="str">
        <x:v>SP500_ANN_0783</x:v>
      </x:c>
      <x:c r="B4" s="15" t="str">
        <x:v>SP500_HEAD_010445</x:v>
      </x:c>
      <x:c r="C4" s="15" t="str">
        <x:v>2022-02-25</x:v>
      </x:c>
      <x:c r="D4" s="15" t="str">
        <x:v>S&amp;P 500 Forward P/E Ratio Falls Below Five-Year Average for First Time Since Q2 2020</x:v>
      </x:c>
      <x:c r="E4" s="15" t="str">
        <x:v>S&amp;P 500 ileri F/K oranı 2020 ikinci çeyreğinden beri ilk kez beş yıllık ortalamanın altına indi.</x:v>
      </x:c>
      <x:c r="F4" s="15" t="str">
        <x:v>negative</x:v>
      </x:c>
      <x:c r="G4" s="18" t="n">
        <x:v>0.937</x:v>
      </x:c>
      <x:c r="H4" s="15" t="str">
        <x:v>negative</x:v>
      </x:c>
      <x:c r="I4" s="15" t="str">
        <x:v>medium</x:v>
      </x:c>
      <x:c r="J4" s="15" t="str">
        <x:v>Değerleme/ileri beklentilerde düşüş vurgusu negatif tonlu.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2</x:v>
      </x:c>
    </x:row>
    <x:row r="5" ht="24" customHeight="1">
      <x:c r="A5" s="15" t="str">
        <x:v>SP500_ANN_0784</x:v>
      </x:c>
      <x:c r="B5" s="15" t="str">
        <x:v>SP500_HEAD_015910</x:v>
      </x:c>
      <x:c r="C5" s="15" t="str">
        <x:v>2023-10-10</x:v>
      </x:c>
      <x:c r="D5" s="15" t="str">
        <x:v>U.S. stocks rise as Treasury yields fall on hopes of end to Fed rate hikes</x:v>
      </x:c>
      <x:c r="E5" s="15" t="str">
        <x:v>Fed faiz artışlarının biteceği umuduyla getiriler düşerken ABD hisseleri yükseldi.</x:v>
      </x:c>
      <x:c r="F5" s="15" t="str">
        <x:v>negative</x:v>
      </x:c>
      <x:c r="G5" s="18" t="n">
        <x:v>0.782</x:v>
      </x:c>
      <x:c r="H5" s="15" t="str">
        <x:v>positive</x:v>
      </x:c>
      <x:c r="I5" s="15" t="str">
        <x:v>high</x:v>
      </x:c>
      <x:c r="J5" s="15" t="str">
        <x:v>Hisseler yükseliyor ve faiz baskısı azalıyor.</x:v>
      </x:c>
      <x:c r="K5" s="15" t="str">
        <x:v>wrong</x:v>
      </x:c>
      <x:c r="L5" s="15" t="str">
        <x:v>FinBERT negative demiş; final etiket positive. Başlıktaki baskın finansal sinyali farklı yorumlamış.</x:v>
      </x:c>
      <x:c r="N5" s="15" t="str">
        <x:v>Doğruluk oranı</x:v>
      </x:c>
      <x:c r="O5" s="20" t="n">
        <x:f>IFERROR(O3/O2,0)</x:f>
        <x:v>0.8</x:v>
      </x:c>
    </x:row>
    <x:row r="6" ht="42" customHeight="1">
      <x:c r="A6" s="15" t="str">
        <x:v>SP500_ANN_0785</x:v>
      </x:c>
      <x:c r="B6" s="15" t="str">
        <x:v>SP500_HEAD_002775</x:v>
      </x:c>
      <x:c r="C6" s="15" t="str">
        <x:v>2014-05-14</x:v>
      </x:c>
      <x:c r="D6" s="15" t="str">
        <x:v>Microsoft to sell $399 Xbox One without Kinect</x:v>
      </x:c>
      <x:c r="E6" s="15" t="str">
        <x:v>Microsoft, Kinect'siz 399 dolarlık Xbox One satacak.</x:v>
      </x:c>
      <x:c r="F6" s="15" t="str">
        <x:v>neutral</x:v>
      </x:c>
      <x:c r="G6" s="18" t="n">
        <x:v>0.844</x:v>
      </x:c>
      <x:c r="H6" s="15" t="str">
        <x:v>neutral</x:v>
      </x:c>
      <x:c r="I6" s="15" t="str">
        <x:v>high</x:v>
      </x:c>
      <x:c r="J6" s="15" t="str">
        <x:v>Tüketici ürünü haberi; piyasa yönü yok.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SP500_ANN_0786</x:v>
      </x:c>
      <x:c r="B7" s="15" t="str">
        <x:v>SP500_HEAD_007914</x:v>
      </x:c>
      <x:c r="C7" s="15" t="str">
        <x:v>2020-05-12</x:v>
      </x:c>
      <x:c r="D7" s="15" t="str">
        <x:v>COVID-19 Stock Market Crash: Why I Always Prefer The S&amp;P 500 Over The Straits Times Index</x:v>
      </x:c>
      <x:c r="E7" s="15" t="str">
        <x:v>COVID-19 çöküşünde neden S&amp;P 500'ü Straits Times'a tercih ediyorum.</x:v>
      </x:c>
      <x:c r="F7" s="15" t="str">
        <x:v>neutral</x:v>
      </x:c>
      <x:c r="G7" s="18" t="n">
        <x:v>0.892</x:v>
      </x:c>
      <x:c r="H7" s="15" t="str">
        <x:v>neutral</x:v>
      </x:c>
      <x:c r="I7" s="15" t="str">
        <x:v>medium</x:v>
      </x:c>
      <x:c r="J7" s="15" t="str">
        <x:v>Tercih/analiz yazısı; net kısa vadeli yön yok.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SP500_ANN_0787</x:v>
      </x:c>
      <x:c r="B8" s="15" t="str">
        <x:v>SP500_HEAD_008958</x:v>
      </x:c>
      <x:c r="C8" s="15" t="str">
        <x:v>2021-02-09</x:v>
      </x:c>
      <x:c r="D8" s="15" t="str">
        <x:v>BofA's Savita Subramanian explains why she's neutral on the S&amp;P 500</x:v>
      </x:c>
      <x:c r="E8" s="15" t="str">
        <x:v>BofA'dan Savita Subramanian neden S&amp;P 500 için nötr olduğunu açıklıyor.</x:v>
      </x:c>
      <x:c r="F8" s="15" t="str">
        <x:v>neutral</x:v>
      </x:c>
      <x:c r="G8" s="18" t="n">
        <x:v>0.925</x:v>
      </x:c>
      <x:c r="H8" s="15" t="str">
        <x:v>neutral</x:v>
      </x:c>
      <x:c r="I8" s="15" t="str">
        <x:v>high</x:v>
      </x:c>
      <x:c r="J8" s="15" t="str">
        <x:v>Başlık doğrudan nötr görüş bildiriyor.</x:v>
      </x:c>
      <x:c r="K8" s="15" t="str">
        <x:v>correct</x:v>
      </x:c>
      <x:c r="L8" s="15" t="str">
        <x:v>FinBERT etiketi final etiket ile aynı.</x:v>
      </x:c>
    </x:row>
    <x:row r="9" ht="42" customHeight="1">
      <x:c r="A9" s="15" t="str">
        <x:v>SP500_ANN_0788</x:v>
      </x:c>
      <x:c r="B9" s="15" t="str">
        <x:v>SP500_HEAD_008169</x:v>
      </x:c>
      <x:c r="C9" s="15" t="str">
        <x:v>2020-07-23</x:v>
      </x:c>
      <x:c r="D9" s="15" t="str">
        <x:v>Motoring: Tesla's profit sets up S&amp;P 500 entry, while Musk pushes for growth</x:v>
      </x:c>
      <x:c r="E9" s="15" t="str">
        <x:v>Tesla'nın kârı S&amp;P 500'e giriş zemini hazırlarken Musk büyümeyi zorluyor.</x:v>
      </x:c>
      <x:c r="F9" s="15" t="str">
        <x:v>positive</x:v>
      </x:c>
      <x:c r="G9" s="18" t="n">
        <x:v>0.777</x:v>
      </x:c>
      <x:c r="H9" s="15" t="str">
        <x:v>positive</x:v>
      </x:c>
      <x:c r="I9" s="15" t="str">
        <x:v>medium</x:v>
      </x:c>
      <x:c r="J9" s="15" t="str">
        <x:v>Kâr ve endekse giriş olasılığı olumlu.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SP500_ANN_0789</x:v>
      </x:c>
      <x:c r="B10" s="15" t="str">
        <x:v>SP500_HEAD_012760</x:v>
      </x:c>
      <x:c r="C10" s="15" t="str">
        <x:v>2023-02-06</x:v>
      </x:c>
      <x:c r="D10" s="15" t="str">
        <x:v>Markets Drop for Second-Straight Day on Fed Hike Fears</x:v>
      </x:c>
      <x:c r="E10" s="15" t="str">
        <x:v>Fed faiz artışı korkularıyla piyasalar ikinci gün de düştü.</x:v>
      </x:c>
      <x:c r="F10" s="15" t="str">
        <x:v>negative</x:v>
      </x:c>
      <x:c r="G10" s="18" t="n">
        <x:v>0.953</x:v>
      </x:c>
      <x:c r="H10" s="15" t="str">
        <x:v>negative</x:v>
      </x:c>
      <x:c r="I10" s="15" t="str">
        <x:v>high</x:v>
      </x:c>
      <x:c r="J10" s="15" t="str">
        <x:v>Piyasaların üst üste düşmesi negatif.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SP500_ANN_0790</x:v>
      </x:c>
      <x:c r="B11" s="15" t="str">
        <x:v>SP500_HEAD_016512</x:v>
      </x:c>
      <x:c r="C11" s="15" t="str">
        <x:v>2023-11-20</x:v>
      </x:c>
      <x:c r="D11" s="15" t="str">
        <x:v>These 'Perfect 10' Stocks Drive 87% Of World's Stock Gains</x:v>
      </x:c>
      <x:c r="E11" s="15" t="str">
        <x:v>Bu 'mükemmel 10' hisse dünya borsa kazançlarının %87'sini sağlıyor.</x:v>
      </x:c>
      <x:c r="F11" s="15" t="str">
        <x:v>neutral</x:v>
      </x:c>
      <x:c r="G11" s="18" t="n">
        <x:v>0.874</x:v>
      </x:c>
      <x:c r="H11" s="15" t="str">
        <x:v>neutral</x:v>
      </x:c>
      <x:c r="I11" s="15" t="str">
        <x:v>medium</x:v>
      </x:c>
      <x:c r="J11" s="15" t="str">
        <x:v>Bilgilendirici/konsantrasyon başlığı; net yön yok.</x:v>
      </x:c>
      <x:c r="K11" s="15" t="str">
        <x:v>correct</x:v>
      </x:c>
      <x:c r="L11" s="15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93eebeb81645c8"/>
  </x:tableParts>
</x:worksheet>
</file>