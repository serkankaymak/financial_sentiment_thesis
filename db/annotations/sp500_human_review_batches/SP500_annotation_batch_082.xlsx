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a8bc8002964a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082" sheetId="1" r:id="R83ad731ca95342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sz val="11"/>
      <x:color rgb="375623"/>
      <x:name val="Carlito"/>
    </x:font>
    <x:font>
      <x:sz val="11"/>
      <x:color rgb="9C000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70AD47"/>
      </x:patternFill>
    </x:fill>
    <x:fill>
      <x:patternFill patternType="solid">
        <x:fgColor rgb="E2F0D9"/>
      </x:patternFill>
    </x:fill>
    <x:fill>
      <x:patternFill patternType="solid">
        <x:fgColor rgb="FCE4D6"/>
      </x:patternFill>
    </x:fill>
    <x:fill>
      <x:patternFill patternType="solid">
        <x:fgColor rgb="F2F2F2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wrapText="1"/>
    </x:xf>
    <x:xf numFmtId="201" fontId="0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c04b46a5db43e7" /><Relationship Type="http://schemas.openxmlformats.org/officeDocument/2006/relationships/theme" Target="/xl/theme/theme1.xml" Id="Rcfc149a6827e4a9b" /><Relationship Type="http://schemas.openxmlformats.org/officeDocument/2006/relationships/sharedStrings" Target="/xl/sharedStrings.xml" Id="Reb8d38a903e448f6" /><Relationship Type="http://schemas.openxmlformats.org/officeDocument/2006/relationships/worksheet" Target="/xl/worksheets/sheet1.xml" Id="R83ad731ca95342b0" /></Relationships>
</file>

<file path=xl/tables/table1.xml><?xml version="1.0" encoding="utf-8"?>
<x:table xmlns:x="http://schemas.openxmlformats.org/spreadsheetml/2006/main" id="1" name="AnnotationTable_082" displayName="AnnotationTable_082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02282fa915f4599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12" hidden="0" customWidth="1"/>
    <x:col min="4" max="4" width="48" hidden="0" customWidth="1"/>
    <x:col min="5" max="5" width="48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48" hidden="0" customWidth="1"/>
    <x:col min="11" max="11" width="18" hidden="0" customWidth="1"/>
    <x:col min="12" max="12" width="42" hidden="0" customWidth="1"/>
    <x:col min="14" max="14" width="18" hidden="0" customWidth="1"/>
    <x:col min="15" max="15" width="14" hidden="0" customWidth="1"/>
  </x:cols>
  <x:sheetData>
    <x:row r="1" ht="28" customHeight="1">
      <x:c r="A1" s="16" t="str">
        <x:v>annotation_id</x:v>
      </x:c>
      <x:c r="B1" s="16" t="str">
        <x:v>sample_id</x:v>
      </x:c>
      <x:c r="C1" s="16" t="str">
        <x:v>date</x:v>
      </x:c>
      <x:c r="D1" s="16" t="str">
        <x:v>text_en</x:v>
      </x:c>
      <x:c r="E1" s="16" t="str">
        <x:v>text_tr</x:v>
      </x:c>
      <x:c r="F1" s="16" t="str">
        <x:v>finbert_label</x:v>
      </x:c>
      <x:c r="G1" s="16" t="str">
        <x:v>finbert_confidence</x:v>
      </x:c>
      <x:c r="H1" s="16" t="str">
        <x:v>chatgpt_label</x:v>
      </x:c>
      <x:c r="I1" s="16" t="str">
        <x:v>chatgpt_confidence</x:v>
      </x:c>
      <x:c r="J1" s="16" t="str">
        <x:v>chatgpt_reason_tr</x:v>
      </x:c>
      <x:c r="K1" s="16" t="str">
        <x:v>finbert_correctness</x:v>
      </x:c>
      <x:c r="L1" s="16" t="str">
        <x:v>finbert_correctness_note</x:v>
      </x:c>
      <x:c r="M1" s="17"/>
      <x:c r="N1" s="18" t="str">
        <x:v>Özet</x:v>
      </x:c>
      <x:c r="O1" s="18" t="str">
        <x:v>Değer</x:v>
      </x:c>
    </x:row>
    <x:row r="2" ht="72" customHeight="1">
      <x:c r="A2" s="17" t="str">
        <x:v>SP500_ANN_0811</x:v>
      </x:c>
      <x:c r="B2" s="17" t="str">
        <x:v>SP500_HEAD_017824</x:v>
      </x:c>
      <x:c r="C2" s="17" t="str">
        <x:v>2024-02-28</x:v>
      </x:c>
      <x:c r="D2" s="17" t="str">
        <x:v>Nasdaq 100, Dow Jones, S&amp;P 500 News: Wall Street Indexes Dip Ahead of Inflation Data</x:v>
      </x:c>
      <x:c r="E2" s="17" t="str">
        <x:v>Wall Street endeksleri enflasyon verisi öncesi geriliyor.</x:v>
      </x:c>
      <x:c r="F2" s="17" t="str">
        <x:v>negative</x:v>
      </x:c>
      <x:c r="G2" s="17" t="n">
        <x:v>0.943</x:v>
      </x:c>
      <x:c r="H2" s="17" t="str">
        <x:v>negative</x:v>
      </x:c>
      <x:c r="I2" s="17" t="str">
        <x:v>high</x:v>
      </x:c>
      <x:c r="J2" s="17" t="str">
        <x:v>Endekslerin düşmesi açık negatif piyasa sinyali.</x:v>
      </x:c>
      <x:c r="K2" s="27" t="str">
        <x:v>correct</x:v>
      </x:c>
      <x:c r="L2" s="17" t="str">
        <x:v>FinBERT etiketi final etiket ile aynı.</x:v>
      </x:c>
      <x:c r="M2" s="17"/>
      <x:c r="N2" s="34" t="str">
        <x:v>Toplam örnek</x:v>
      </x:c>
      <x:c r="O2" s="35" t="n">
        <x:f>COUNTA(A2:A11)</x:f>
        <x:v>10</x:v>
      </x:c>
    </x:row>
    <x:row r="3" ht="72" customHeight="1">
      <x:c r="A3" s="17" t="str">
        <x:v>SP500_ANN_0812</x:v>
      </x:c>
      <x:c r="B3" s="17" t="str">
        <x:v>SP500_HEAD_015874</x:v>
      </x:c>
      <x:c r="C3" s="17" t="str">
        <x:v>2023-10-06</x:v>
      </x:c>
      <x:c r="D3" s="17" t="str">
        <x:v>FTSE 100, S&amp;P 500 and Russell 2000 Hover Above Support Ahead of US NFP</x:v>
      </x:c>
      <x:c r="E3" s="17" t="str">
        <x:v>FTSE 100, S&amp;P 500 ve Russell 2000 ABD istihdam verisi öncesi destek üzerinde tutunuyor.</x:v>
      </x:c>
      <x:c r="F3" s="17" t="str">
        <x:v>positive</x:v>
      </x:c>
      <x:c r="G3" s="17" t="n">
        <x:v>0.707</x:v>
      </x:c>
      <x:c r="H3" s="17" t="str">
        <x:v>neutral</x:v>
      </x:c>
      <x:c r="I3" s="17" t="str">
        <x:v>medium</x:v>
      </x:c>
      <x:c r="J3" s="17" t="str">
        <x:v>Destek üstünde kalma olumluya yakın olsa da veri öncesi yön net değil.</x:v>
      </x:c>
      <x:c r="K3" s="31" t="str">
        <x:v>wrong</x:v>
      </x:c>
      <x:c r="L3" s="17" t="str">
        <x:v>FinBERT positive demiş; final etiket neutral. Başlıktaki baskın sinyal farklı yorumlanmalı.</x:v>
      </x:c>
      <x:c r="M3" s="17"/>
      <x:c r="N3" s="34" t="str">
        <x:v>FinBERT doğru</x:v>
      </x:c>
      <x:c r="O3" s="35" t="n">
        <x:f>COUNTIF(K2:K11,"correct")</x:f>
        <x:v>6</x:v>
      </x:c>
    </x:row>
    <x:row r="4" ht="72" customHeight="1">
      <x:c r="A4" s="17" t="str">
        <x:v>SP500_ANN_0813</x:v>
      </x:c>
      <x:c r="B4" s="17" t="str">
        <x:v>SP500_HEAD_011902</x:v>
      </x:c>
      <x:c r="C4" s="17" t="str">
        <x:v>2022-10-19</x:v>
      </x:c>
      <x:c r="D4" s="17" t="str">
        <x:v>U.S. stocks price in recession risk more than other assets, says Citi</x:v>
      </x:c>
      <x:c r="E4" s="17" t="str">
        <x:v>Citi’ye göre ABD hisseleri resesyon riskini diğer varlıklardan daha fazla fiyatlıyor.</x:v>
      </x:c>
      <x:c r="F4" s="17" t="str">
        <x:v>negative</x:v>
      </x:c>
      <x:c r="G4" s="17" t="n">
        <x:v>0.59</x:v>
      </x:c>
      <x:c r="H4" s="17" t="str">
        <x:v>negative</x:v>
      </x:c>
      <x:c r="I4" s="17" t="str">
        <x:v>high</x:v>
      </x:c>
      <x:c r="J4" s="17" t="str">
        <x:v>Resesyon riskinin fiyatlanması negatif piyasa sinyali.</x:v>
      </x:c>
      <x:c r="K4" s="27" t="str">
        <x:v>correct</x:v>
      </x:c>
      <x:c r="L4" s="17" t="str">
        <x:v>FinBERT etiketi final etiket ile aynı.</x:v>
      </x:c>
      <x:c r="M4" s="17"/>
      <x:c r="N4" s="34" t="str">
        <x:v>FinBERT yanlış</x:v>
      </x:c>
      <x:c r="O4" s="35" t="n">
        <x:f>COUNTIF(K2:K11,"wrong")</x:f>
        <x:v>4</x:v>
      </x:c>
    </x:row>
    <x:row r="5" ht="72" customHeight="1">
      <x:c r="A5" s="17" t="str">
        <x:v>SP500_ANN_0814</x:v>
      </x:c>
      <x:c r="B5" s="17" t="str">
        <x:v>SP500_HEAD_017639</x:v>
      </x:c>
      <x:c r="C5" s="17" t="str">
        <x:v>2024-02-14</x:v>
      </x:c>
      <x:c r="D5" s="17" t="str">
        <x:v>S&amp;P 500 futures edge higher after hot inflation sell-off</x:v>
      </x:c>
      <x:c r="E5" s="17" t="str">
        <x:v>S&amp;P 500 vadeli işlemleri sıcak enflasyon satışının ardından hafif yükseliyor.</x:v>
      </x:c>
      <x:c r="F5" s="17" t="str">
        <x:v>positive</x:v>
      </x:c>
      <x:c r="G5" s="17" t="n">
        <x:v>0.584</x:v>
      </x:c>
      <x:c r="H5" s="17" t="str">
        <x:v>positive</x:v>
      </x:c>
      <x:c r="I5" s="17" t="str">
        <x:v>medium</x:v>
      </x:c>
      <x:c r="J5" s="17" t="str">
        <x:v>Satış sonrası vadeli işlemlerde yükseliş var; olumlu fakat sınırlı.</x:v>
      </x:c>
      <x:c r="K5" s="27" t="str">
        <x:v>correct</x:v>
      </x:c>
      <x:c r="L5" s="17" t="str">
        <x:v>FinBERT etiketi final etiket ile aynı.</x:v>
      </x:c>
      <x:c r="M5" s="17"/>
      <x:c r="N5" s="34" t="str">
        <x:v>Doğruluk oranı</x:v>
      </x:c>
      <x:c r="O5" s="36" t="n">
        <x:f>O3/O2</x:f>
        <x:v>0.6</x:v>
      </x:c>
    </x:row>
    <x:row r="6" ht="72" customHeight="1">
      <x:c r="A6" s="17" t="str">
        <x:v>SP500_ANN_0815</x:v>
      </x:c>
      <x:c r="B6" s="17" t="str">
        <x:v>SP500_HEAD_001042</x:v>
      </x:c>
      <x:c r="C6" s="17" t="str">
        <x:v>2012-01-31</x:v>
      </x:c>
      <x:c r="D6" s="17" t="str">
        <x:v>Should you feel guilty for buying your iPhone?</x:v>
      </x:c>
      <x:c r="E6" s="17" t="str">
        <x:v>iPhone aldığınız için suçlu hissetmeli misiniz?</x:v>
      </x:c>
      <x:c r="F6" s="17" t="str">
        <x:v>negative</x:v>
      </x:c>
      <x:c r="G6" s="17" t="n">
        <x:v>0.654</x:v>
      </x:c>
      <x:c r="H6" s="17" t="str">
        <x:v>neutral</x:v>
      </x:c>
      <x:c r="I6" s="17" t="str">
        <x:v>high</x:v>
      </x:c>
      <x:c r="J6" s="17" t="str">
        <x:v>Genel tüketici/etik içerik; finansal piyasa yönü yok.</x:v>
      </x:c>
      <x:c r="K6" s="31" t="str">
        <x:v>wrong</x:v>
      </x:c>
      <x:c r="L6" s="17" t="str">
        <x:v>FinBERT negative demiş; final etiket neutral. Başlıktaki baskın sinyal farklı yorumlanmalı.</x:v>
      </x:c>
      <x:c r="M6" s="17"/>
      <x:c r="N6" s="17"/>
      <x:c r="O6" s="17"/>
    </x:row>
    <x:row r="7" ht="72" customHeight="1">
      <x:c r="A7" s="17" t="str">
        <x:v>SP500_ANN_0816</x:v>
      </x:c>
      <x:c r="B7" s="17" t="str">
        <x:v>SP500_HEAD_016984</x:v>
      </x:c>
      <x:c r="C7" s="17" t="str">
        <x:v>2023-12-21</x:v>
      </x:c>
      <x:c r="D7" s="17" t="str">
        <x:v>Tesla underperforms S&amp;P 500 since joining index in 2020</x:v>
      </x:c>
      <x:c r="E7" s="17" t="str">
        <x:v>Tesla, 2020’de endekse katıldığından beri S&amp;P 500’ün gerisinde kaldı.</x:v>
      </x:c>
      <x:c r="F7" s="17" t="str">
        <x:v>positive</x:v>
      </x:c>
      <x:c r="G7" s="17" t="n">
        <x:v>0.869</x:v>
      </x:c>
      <x:c r="H7" s="17" t="str">
        <x:v>negative</x:v>
      </x:c>
      <x:c r="I7" s="17" t="str">
        <x:v>high</x:v>
      </x:c>
      <x:c r="J7" s="17" t="str">
        <x:v>Tesla’nın endeksin gerisinde kalması şirket açısından negatif.</x:v>
      </x:c>
      <x:c r="K7" s="31" t="str">
        <x:v>wrong</x:v>
      </x:c>
      <x:c r="L7" s="17" t="str">
        <x:v>FinBERT positive demiş; final etiket negative. Başlıktaki baskın sinyal farklı yorumlanmalı.</x:v>
      </x:c>
      <x:c r="M7" s="17"/>
      <x:c r="N7" s="17"/>
      <x:c r="O7" s="17"/>
    </x:row>
    <x:row r="8" ht="72" customHeight="1">
      <x:c r="A8" s="17" t="str">
        <x:v>SP500_ANN_0817</x:v>
      </x:c>
      <x:c r="B8" s="17" t="str">
        <x:v>SP500_HEAD_007599</x:v>
      </x:c>
      <x:c r="C8" s="17" t="str">
        <x:v>2020-03-09</x:v>
      </x:c>
      <x:c r="D8" s="17" t="str">
        <x:v>Stock Market Closes More Than 7.5% Down in Worst Day on Wall Street Since 2008</x:v>
      </x:c>
      <x:c r="E8" s="17" t="str">
        <x:v>Borsa 2008’den beri Wall Street’in en kötü gününde %7,5’ten fazla düştü.</x:v>
      </x:c>
      <x:c r="F8" s="17" t="str">
        <x:v>negative</x:v>
      </x:c>
      <x:c r="G8" s="17" t="n">
        <x:v>0.968</x:v>
      </x:c>
      <x:c r="H8" s="17" t="str">
        <x:v>negative</x:v>
      </x:c>
      <x:c r="I8" s="17" t="str">
        <x:v>high</x:v>
      </x:c>
      <x:c r="J8" s="17" t="str">
        <x:v>Sert düşüş ve en kötü gün vurgusu açık negatif.</x:v>
      </x:c>
      <x:c r="K8" s="27" t="str">
        <x:v>correct</x:v>
      </x:c>
      <x:c r="L8" s="17" t="str">
        <x:v>FinBERT etiketi final etiket ile aynı.</x:v>
      </x:c>
      <x:c r="M8" s="17"/>
      <x:c r="N8" s="17"/>
      <x:c r="O8" s="17"/>
    </x:row>
    <x:row r="9" ht="72" customHeight="1">
      <x:c r="A9" s="17" t="str">
        <x:v>SP500_ANN_0818</x:v>
      </x:c>
      <x:c r="B9" s="17" t="str">
        <x:v>SP500_HEAD_016856</x:v>
      </x:c>
      <x:c r="C9" s="17" t="str">
        <x:v>2023-12-12</x:v>
      </x:c>
      <x:c r="D9" s="17" t="str">
        <x:v>Wall St hits fresh 2023 highs after inflation data; Fed on deck</x:v>
      </x:c>
      <x:c r="E9" s="17" t="str">
        <x:v>Wall Street enflasyon verisi sonrası 2023’ün yeni zirvelerine ulaştı; Fed sırada.</x:v>
      </x:c>
      <x:c r="F9" s="17" t="str">
        <x:v>positive</x:v>
      </x:c>
      <x:c r="G9" s="17" t="n">
        <x:v>0.579</x:v>
      </x:c>
      <x:c r="H9" s="17" t="str">
        <x:v>positive</x:v>
      </x:c>
      <x:c r="I9" s="17" t="str">
        <x:v>high</x:v>
      </x:c>
      <x:c r="J9" s="17" t="str">
        <x:v>Yeni zirveler piyasa açısından olumlu.</x:v>
      </x:c>
      <x:c r="K9" s="27" t="str">
        <x:v>correct</x:v>
      </x:c>
      <x:c r="L9" s="17" t="str">
        <x:v>FinBERT etiketi final etiket ile aynı.</x:v>
      </x:c>
      <x:c r="M9" s="17"/>
      <x:c r="N9" s="17"/>
      <x:c r="O9" s="17"/>
    </x:row>
    <x:row r="10" ht="72" customHeight="1">
      <x:c r="A10" s="17" t="str">
        <x:v>SP500_ANN_0819</x:v>
      </x:c>
      <x:c r="B10" s="17" t="str">
        <x:v>SP500_HEAD_012326</x:v>
      </x:c>
      <x:c r="C10" s="17" t="str">
        <x:v>2022-12-21</x:v>
      </x:c>
      <x:c r="D10" s="17" t="str">
        <x:v>Bitcoin Is Leading Indicator for S&amp;P 500, Past Data Shows</x:v>
      </x:c>
      <x:c r="E10" s="17" t="str">
        <x:v>Geçmiş verilere göre Bitcoin S&amp;P 500 için öncü gösterge.</x:v>
      </x:c>
      <x:c r="F10" s="17" t="str">
        <x:v>positive</x:v>
      </x:c>
      <x:c r="G10" s="17" t="n">
        <x:v>0.592</x:v>
      </x:c>
      <x:c r="H10" s="17" t="str">
        <x:v>neutral</x:v>
      </x:c>
      <x:c r="I10" s="17" t="str">
        <x:v>high</x:v>
      </x:c>
      <x:c r="J10" s="17" t="str">
        <x:v>İlişki/analiz başlığı; yönlü duygu vermiyor.</x:v>
      </x:c>
      <x:c r="K10" s="31" t="str">
        <x:v>wrong</x:v>
      </x:c>
      <x:c r="L10" s="17" t="str">
        <x:v>FinBERT positive demiş; final etiket neutral. Başlıktaki baskın sinyal farklı yorumlanmalı.</x:v>
      </x:c>
      <x:c r="M10" s="17"/>
      <x:c r="N10" s="17"/>
      <x:c r="O10" s="17"/>
    </x:row>
    <x:row r="11" ht="72" customHeight="1">
      <x:c r="A11" s="17" t="str">
        <x:v>SP500_ANN_0820</x:v>
      </x:c>
      <x:c r="B11" s="17" t="str">
        <x:v>SP500_HEAD_012375</x:v>
      </x:c>
      <x:c r="C11" s="17" t="str">
        <x:v>2022-12-28</x:v>
      </x:c>
      <x:c r="D11" s="17" t="str">
        <x:v>There's A New World Order As 4 Big Stocks Like Tesla Fall To Pieces</x:v>
      </x:c>
      <x:c r="E11" s="17" t="str">
        <x:v>Tesla gibi büyük hisseler dağılırken yeni bir dünya düzeni oluşuyor.</x:v>
      </x:c>
      <x:c r="F11" s="17" t="str">
        <x:v>negative</x:v>
      </x:c>
      <x:c r="G11" s="17" t="n">
        <x:v>0.644</x:v>
      </x:c>
      <x:c r="H11" s="17" t="str">
        <x:v>negative</x:v>
      </x:c>
      <x:c r="I11" s="17" t="str">
        <x:v>high</x:v>
      </x:c>
      <x:c r="J11" s="17" t="str">
        <x:v>Büyük hisselerin sert bozulması negatif sinyal.</x:v>
      </x:c>
      <x:c r="K11" s="27" t="str">
        <x:v>correct</x:v>
      </x:c>
      <x:c r="L11" s="17" t="str">
        <x:v>FinBERT etiketi final etiket ile aynı.</x:v>
      </x:c>
      <x:c r="M11" s="17"/>
      <x:c r="N11" s="17"/>
      <x:c r="O11" s="17"/>
    </x:row>
  </x:sheetData>
  <x:pageMargins left="0.7" right="0.7" top="0.75" bottom="0.75" header="0.3" footer="0.3"/>
  <x:tableParts count="1">
    <x:tablePart xmlns:r="http://schemas.openxmlformats.org/officeDocument/2006/relationships" r:id="R302282fa915f4599"/>
  </x:tableParts>
</x:worksheet>
</file>