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d3a213d90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21" sheetId="1" r:id="Ree0fb8a0f127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8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0"/>
      <x:color rgb="000000"/>
      <x:name val="Calibri"/>
    </x:font>
    <x:font>
      <x:sz val="10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7d62137934e68" /><Relationship Type="http://schemas.openxmlformats.org/officeDocument/2006/relationships/theme" Target="/xl/theme/theme1.xml" Id="Rc4f3a089559447f4" /><Relationship Type="http://schemas.openxmlformats.org/officeDocument/2006/relationships/sharedStrings" Target="/xl/sharedStrings.xml" Id="Ra87818f41b9045bd" /><Relationship Type="http://schemas.openxmlformats.org/officeDocument/2006/relationships/worksheet" Target="/xl/worksheets/sheet1.xml" Id="Ree0fb8a0f12741f2" /></Relationships>
</file>

<file path=xl/tables/table1.xml><?xml version="1.0" encoding="utf-8"?>
<x:table xmlns:x="http://schemas.openxmlformats.org/spreadsheetml/2006/main" id="1" name="AnnTable_021" displayName="AnnTable_021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9b80b6f4f1469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60" hidden="0" customWidth="1"/>
    <x:col min="5" max="5" width="6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  <x:col min="11" max="11" width="18" hidden="0" customWidth="1"/>
    <x:col min="12" max="12" width="50" hidden="0" customWidth="1"/>
    <x:col min="13" max="13" width="4" hidden="0" customWidth="1"/>
    <x:col min="14" max="14" width="20" hidden="0" customWidth="1"/>
    <x:col min="15" max="15" width="16" hidden="0" customWidth="1"/>
  </x:cols>
  <x:sheetData>
    <x:row r="1" ht="28" customHeight="1">
      <x:c r="A1" s="30" t="str">
        <x:v>annotation_id</x:v>
      </x:c>
      <x:c r="B1" s="30" t="str">
        <x:v>sample_id</x:v>
      </x:c>
      <x:c r="C1" s="30" t="str">
        <x:v>date</x:v>
      </x:c>
      <x:c r="D1" s="30" t="str">
        <x:v>text_en</x:v>
      </x:c>
      <x:c r="E1" s="30" t="str">
        <x:v>text_tr</x:v>
      </x:c>
      <x:c r="F1" s="30" t="str">
        <x:v>finbert_label</x:v>
      </x:c>
      <x:c r="G1" s="30" t="str">
        <x:v>finbert_confidence</x:v>
      </x:c>
      <x:c r="H1" s="30" t="str">
        <x:v>chatgpt_label</x:v>
      </x:c>
      <x:c r="I1" s="30" t="str">
        <x:v>chatgpt_confidence</x:v>
      </x:c>
      <x:c r="J1" s="30" t="str">
        <x:v>chatgpt_reason_tr</x:v>
      </x:c>
      <x:c r="K1" s="30" t="str">
        <x:v>finbert_correctness</x:v>
      </x:c>
      <x:c r="L1" s="30" t="str">
        <x:v>finbert_correctness_note</x:v>
      </x:c>
      <x:c r="M1" s="40" t="str"/>
      <x:c r="N1" s="30" t="str">
        <x:v>Özet</x:v>
      </x:c>
      <x:c r="O1" s="30" t="str">
        <x:v>Değer</x:v>
      </x:c>
    </x:row>
    <x:row r="2" ht="58" customHeight="1">
      <x:c r="A2" s="32" t="str">
        <x:v>SP500_ANN_0201</x:v>
      </x:c>
      <x:c r="B2" s="32" t="str">
        <x:v>SP500_HEAD_001453</x:v>
      </x:c>
      <x:c r="C2" s="42" t="n">
        <x:v>41148</x:v>
      </x:c>
      <x:c r="D2" s="32" t="str">
        <x:v>Stocks for the Long Run: Honeywell vs. the S&amp;P 500</x:v>
      </x:c>
      <x:c r="E2" s="32" t="str">
        <x:v>S&amp;P 500 karşısında uzun vadeli hisse karşılaştırması.</x:v>
      </x:c>
      <x:c r="F2" s="32" t="str">
        <x:v>neutral</x:v>
      </x:c>
      <x:c r="G2" s="44" t="n">
        <x:v>0.842</x:v>
      </x:c>
      <x:c r="H2" s="32" t="str">
        <x:v>neutral</x:v>
      </x:c>
      <x:c r="I2" s="32" t="str">
        <x:v>high</x:v>
      </x:c>
      <x:c r="J2" s="32" t="str">
        <x:v>Karşılaştırma başlığı; net yükseliş/düşüş veya duygu yönü vermiyor.</x:v>
      </x:c>
      <x:c r="K2" s="32" t="str">
        <x:v>correct</x:v>
      </x:c>
      <x:c r="L2" s="32" t="str">
        <x:v>FinBERT etiketi final etiket ile aynı.</x:v>
      </x:c>
      <x:c r="M2" s="31" t="str"/>
      <x:c r="N2" s="33" t="str">
        <x:v>Toplam örnek</x:v>
      </x:c>
      <x:c r="O2" s="34" t="n">
        <x:f>COUNTA(A2:A11)</x:f>
        <x:v>10</x:v>
      </x:c>
    </x:row>
    <x:row r="3" ht="58" customHeight="1">
      <x:c r="A3" s="32" t="str">
        <x:v>SP500_ANN_0202</x:v>
      </x:c>
      <x:c r="B3" s="32" t="str">
        <x:v>SP500_HEAD_013604</x:v>
      </x:c>
      <x:c r="C3" s="42" t="n">
        <x:v>45030</x:v>
      </x:c>
      <x:c r="D3" s="32" t="str">
        <x:v>What Is The VIX Volatility Index? – Forbes Advisor Australia</x:v>
      </x:c>
      <x:c r="E3" s="32" t="str">
        <x:v>VIX volatilite endeksi nedir? Forbes Advisor Australia.</x:v>
      </x:c>
      <x:c r="F3" s="32" t="str">
        <x:v>neutral</x:v>
      </x:c>
      <x:c r="G3" s="44" t="n">
        <x:v>0.934</x:v>
      </x:c>
      <x:c r="H3" s="32" t="str">
        <x:v>neutral</x:v>
      </x:c>
      <x:c r="I3" s="32" t="str">
        <x:v>high</x:v>
      </x:c>
      <x:c r="J3" s="32" t="str">
        <x:v>Eğitici/açıklayıcı başlık; piyasa yönü yok.</x:v>
      </x:c>
      <x:c r="K3" s="32" t="str">
        <x:v>correct</x:v>
      </x:c>
      <x:c r="L3" s="32" t="str">
        <x:v>FinBERT etiketi final etiket ile aynı.</x:v>
      </x:c>
      <x:c r="M3" s="31" t="str"/>
      <x:c r="N3" s="33" t="str">
        <x:v>FinBERT doğru</x:v>
      </x:c>
      <x:c r="O3" s="34" t="n">
        <x:f>COUNTIF(K2:K11,"correct")</x:f>
        <x:v>8</x:v>
      </x:c>
    </x:row>
    <x:row r="4" ht="58" customHeight="1">
      <x:c r="A4" s="32" t="str">
        <x:v>SP500_ANN_0203</x:v>
      </x:c>
      <x:c r="B4" s="32" t="str">
        <x:v>SP500_HEAD_006131</x:v>
      </x:c>
      <x:c r="C4" s="42" t="n">
        <x:v>43341</x:v>
      </x:c>
      <x:c r="D4" s="32" t="str">
        <x:v>Why a trend divergence in the S&amp;P 500 and the VIX may spell trouble for stocks</x:v>
      </x:c>
      <x:c r="E4" s="32" t="str">
        <x:v>S&amp;P 500 ile VIX arasındaki trend ayrışması hisseler için sorun sinyali verebilir.</x:v>
      </x:c>
      <x:c r="F4" s="32" t="str">
        <x:v>negative</x:v>
      </x:c>
      <x:c r="G4" s="44" t="n">
        <x:v>0.942</x:v>
      </x:c>
      <x:c r="H4" s="32" t="str">
        <x:v>negative</x:v>
      </x:c>
      <x:c r="I4" s="32" t="str">
        <x:v>high</x:v>
      </x:c>
      <x:c r="J4" s="32" t="str">
        <x:v>Trend ayrışmasının hisse senetleri için sorun yaratabileceği belirtiliyor.</x:v>
      </x:c>
      <x:c r="K4" s="32" t="str">
        <x:v>correct</x:v>
      </x:c>
      <x:c r="L4" s="32" t="str">
        <x:v>FinBERT etiketi final etiket ile aynı.</x:v>
      </x:c>
      <x:c r="M4" s="31" t="str"/>
      <x:c r="N4" s="33" t="str">
        <x:v>FinBERT yanlış</x:v>
      </x:c>
      <x:c r="O4" s="34" t="n">
        <x:f>COUNTIF(K2:K11,"wrong")</x:f>
        <x:v>2</x:v>
      </x:c>
    </x:row>
    <x:row r="5" ht="58" customHeight="1">
      <x:c r="A5" s="32" t="str">
        <x:v>SP500_ANN_0204</x:v>
      </x:c>
      <x:c r="B5" s="32" t="str">
        <x:v>SP500_HEAD_017899</x:v>
      </x:c>
      <x:c r="C5" s="42" t="n">
        <x:v>45355</x:v>
      </x:c>
      <x:c r="D5" s="32" t="str">
        <x:v>S&amp;P 500's P/E Is Actually Lower Than Official Number, BofA Says | Chief Investment Officer</x:v>
      </x:c>
      <x:c r="E5" s="32" t="str">
        <x:v>BofA'ya göre S&amp;P 500'ün F/K oranı resmi rakamdan aslında daha düşük.</x:v>
      </x:c>
      <x:c r="F5" s="32" t="str">
        <x:v>negative</x:v>
      </x:c>
      <x:c r="G5" s="44" t="n">
        <x:v>0.931</x:v>
      </x:c>
      <x:c r="H5" s="32" t="str">
        <x:v>positive</x:v>
      </x:c>
      <x:c r="I5" s="32" t="str">
        <x:v>medium</x:v>
      </x:c>
      <x:c r="J5" s="32" t="str">
        <x:v>Değerlemenin sanılandan düşük olması S&amp;P 500 için göreli olumlu yorumlanabilir.</x:v>
      </x:c>
      <x:c r="K5" s="32" t="str">
        <x:v>wrong</x:v>
      </x:c>
      <x:c r="L5" s="32" t="str">
        <x:v>FinBERT negative demiş; final etiket positive.</x:v>
      </x:c>
      <x:c r="M5" s="31" t="str"/>
      <x:c r="N5" s="33" t="str">
        <x:v>Doğruluk oranı</x:v>
      </x:c>
      <x:c r="O5" s="46" t="n">
        <x:f>O3/O2</x:f>
        <x:v>0.8</x:v>
      </x:c>
    </x:row>
    <x:row r="6" ht="58" customHeight="1">
      <x:c r="A6" s="32" t="str">
        <x:v>SP500_ANN_0205</x:v>
      </x:c>
      <x:c r="B6" s="32" t="str">
        <x:v>SP500_HEAD_006106</x:v>
      </x:c>
      <x:c r="C6" s="42" t="n">
        <x:v>43333</x:v>
      </x:c>
      <x:c r="D6" s="32" t="str">
        <x:v>U.S. stocks reach new high ahead of record bull market</x:v>
      </x:c>
      <x:c r="E6" s="32" t="str">
        <x:v>ABD hisseleri rekor boğa piyasası öncesinde yeni zirveye ulaştı.</x:v>
      </x:c>
      <x:c r="F6" s="32" t="str">
        <x:v>positive</x:v>
      </x:c>
      <x:c r="G6" s="44" t="n">
        <x:v>0.871</x:v>
      </x:c>
      <x:c r="H6" s="32" t="str">
        <x:v>positive</x:v>
      </x:c>
      <x:c r="I6" s="32" t="str">
        <x:v>high</x:v>
      </x:c>
      <x:c r="J6" s="32" t="str">
        <x:v>Yeni zirve ve boğa piyasası vurgusu açık olumlu sinyal.</x:v>
      </x:c>
      <x:c r="K6" s="32" t="str">
        <x:v>correct</x:v>
      </x:c>
      <x:c r="L6" s="32" t="str">
        <x:v>FinBERT etiketi final etiket ile aynı.</x:v>
      </x:c>
      <x:c r="M6" s="31" t="str"/>
      <x:c r="N6" s="31" t="str"/>
      <x:c r="O6" s="31" t="str"/>
    </x:row>
    <x:row r="7" ht="58" customHeight="1">
      <x:c r="A7" s="32" t="str">
        <x:v>SP500_ANN_0206</x:v>
      </x:c>
      <x:c r="B7" s="32" t="str">
        <x:v>SP500_HEAD_003335</x:v>
      </x:c>
      <x:c r="C7" s="42" t="n">
        <x:v>42013</x:v>
      </x:c>
      <x:c r="D7" s="32" t="str">
        <x:v>Oil tycoon’s ex accepts $975 million after all</x:v>
      </x:c>
      <x:c r="E7" s="32" t="str">
        <x:v>Petrol zengininin eski eşi sonunda 975 milyon doları kabul etti.</x:v>
      </x:c>
      <x:c r="F7" s="32" t="str">
        <x:v>neutral</x:v>
      </x:c>
      <x:c r="G7" s="44" t="n">
        <x:v>0.838</x:v>
      </x:c>
      <x:c r="H7" s="32" t="str">
        <x:v>neutral</x:v>
      </x:c>
      <x:c r="I7" s="32" t="str">
        <x:v>high</x:v>
      </x:c>
      <x:c r="J7" s="32" t="str">
        <x:v>Finansal piyasa yönüyle ilgili değil; haber nötr.</x:v>
      </x:c>
      <x:c r="K7" s="32" t="str">
        <x:v>correct</x:v>
      </x:c>
      <x:c r="L7" s="32" t="str">
        <x:v>FinBERT etiketi final etiket ile aynı.</x:v>
      </x:c>
      <x:c r="M7" s="31" t="str"/>
      <x:c r="N7" s="31" t="str"/>
      <x:c r="O7" s="31" t="str"/>
    </x:row>
    <x:row r="8" ht="58" customHeight="1">
      <x:c r="A8" s="32" t="str">
        <x:v>SP500_ANN_0207</x:v>
      </x:c>
      <x:c r="B8" s="32" t="str">
        <x:v>SP500_HEAD_013512</x:v>
      </x:c>
      <x:c r="C8" s="42" t="n">
        <x:v>45021</x:v>
      </x:c>
      <x:c r="D8" s="32" t="str">
        <x:v>Nasdaq 100, Dow Jones, S&amp;P 500: Weaker-Than-Expected Private Payrolls Data Raises Recession Concerns</x:v>
      </x:c>
      <x:c r="E8" s="32" t="str">
        <x:v>Beklenenden zayıf özel sektör istihdamı resesyon endişelerini artırırken Nasdaq 100, Dow Jones ve S&amp;P 500.</x:v>
      </x:c>
      <x:c r="F8" s="32" t="str">
        <x:v>negative</x:v>
      </x:c>
      <x:c r="G8" s="44" t="n">
        <x:v>0.966</x:v>
      </x:c>
      <x:c r="H8" s="32" t="str">
        <x:v>negative</x:v>
      </x:c>
      <x:c r="I8" s="32" t="str">
        <x:v>high</x:v>
      </x:c>
      <x:c r="J8" s="32" t="str">
        <x:v>Zayıf veri ve resesyon endişesi piyasa açısından negatif.</x:v>
      </x:c>
      <x:c r="K8" s="32" t="str">
        <x:v>correct</x:v>
      </x:c>
      <x:c r="L8" s="32" t="str">
        <x:v>FinBERT etiketi final etiket ile aynı.</x:v>
      </x:c>
      <x:c r="M8" s="31" t="str"/>
      <x:c r="N8" s="31" t="str"/>
      <x:c r="O8" s="31" t="str"/>
    </x:row>
    <x:row r="9" ht="58" customHeight="1">
      <x:c r="A9" s="32" t="str">
        <x:v>SP500_ANN_0208</x:v>
      </x:c>
      <x:c r="B9" s="32" t="str">
        <x:v>SP500_HEAD_009079</x:v>
      </x:c>
      <x:c r="C9" s="42" t="n">
        <x:v>44277</x:v>
      </x:c>
      <x:c r="D9" s="32" t="str">
        <x:v>Why Exxon Mobil Stock Is Not A Good Energy Sector Pick</x:v>
      </x:c>
      <x:c r="E9" s="32" t="str">
        <x:v>Exxon Mobil hissesi neden iyi bir enerji sektörü seçimi değil?</x:v>
      </x:c>
      <x:c r="F9" s="32" t="str">
        <x:v>neutral</x:v>
      </x:c>
      <x:c r="G9" s="44" t="n">
        <x:v>0.916</x:v>
      </x:c>
      <x:c r="H9" s="32" t="str">
        <x:v>negative</x:v>
      </x:c>
      <x:c r="I9" s="32" t="str">
        <x:v>medium</x:v>
      </x:c>
      <x:c r="J9" s="32" t="str">
        <x:v>Bir hissenin iyi seçim olmadığı söyleniyor; olumsuz yatırım tonu var.</x:v>
      </x:c>
      <x:c r="K9" s="32" t="str">
        <x:v>wrong</x:v>
      </x:c>
      <x:c r="L9" s="32" t="str">
        <x:v>FinBERT neutral demiş; final etiket negative.</x:v>
      </x:c>
      <x:c r="M9" s="31" t="str"/>
      <x:c r="N9" s="31" t="str"/>
      <x:c r="O9" s="31" t="str"/>
    </x:row>
    <x:row r="10" ht="58" customHeight="1">
      <x:c r="A10" s="32" t="str">
        <x:v>SP500_ANN_0209</x:v>
      </x:c>
      <x:c r="B10" s="32" t="str">
        <x:v>SP500_HEAD_012381</x:v>
      </x:c>
      <x:c r="C10" s="42" t="n">
        <x:v>44923</x:v>
      </x:c>
      <x:c r="D10" s="32" t="str">
        <x:v>Wall Street's dirty secret: It's terrible at forecasting stocks</x:v>
      </x:c>
      <x:c r="E10" s="32" t="str">
        <x:v>Wall Street'in kirli sırrı: Hisse tahminlerinde çok kötü.</x:v>
      </x:c>
      <x:c r="F10" s="32" t="str">
        <x:v>negative</x:v>
      </x:c>
      <x:c r="G10" s="44" t="n">
        <x:v>0.728</x:v>
      </x:c>
      <x:c r="H10" s="32" t="str">
        <x:v>negative</x:v>
      </x:c>
      <x:c r="I10" s="32" t="str">
        <x:v>medium</x:v>
      </x:c>
      <x:c r="J10" s="32" t="str">
        <x:v>Tahmin güvenilirliğine yönelik olumsuz ifade var.</x:v>
      </x:c>
      <x:c r="K10" s="32" t="str">
        <x:v>correct</x:v>
      </x:c>
      <x:c r="L10" s="32" t="str">
        <x:v>FinBERT etiketi final etiket ile aynı.</x:v>
      </x:c>
      <x:c r="M10" s="31" t="str"/>
      <x:c r="N10" s="31" t="str"/>
      <x:c r="O10" s="31" t="str"/>
    </x:row>
    <x:row r="11" ht="58" customHeight="1">
      <x:c r="A11" s="32" t="str">
        <x:v>SP500_ANN_0210</x:v>
      </x:c>
      <x:c r="B11" s="32" t="str">
        <x:v>SP500_HEAD_004716</x:v>
      </x:c>
      <x:c r="C11" s="42" t="n">
        <x:v>42643</x:v>
      </x:c>
      <x:c r="D11" s="32" t="str">
        <x:v>Stock Market News for September 30, 2016</x:v>
      </x:c>
      <x:c r="E11" s="32" t="str">
        <x:v>30 Eylül 2016 için borsa haberleri.</x:v>
      </x:c>
      <x:c r="F11" s="32" t="str">
        <x:v>neutral</x:v>
      </x:c>
      <x:c r="G11" s="44" t="n">
        <x:v>0.892</x:v>
      </x:c>
      <x:c r="H11" s="32" t="str">
        <x:v>neutral</x:v>
      </x:c>
      <x:c r="I11" s="32" t="str">
        <x:v>high</x:v>
      </x:c>
      <x:c r="J11" s="32" t="str">
        <x:v>Genel haber başlığı; net duygu veya yön yok.</x:v>
      </x:c>
      <x:c r="K11" s="32" t="str">
        <x:v>correct</x:v>
      </x:c>
      <x:c r="L11" s="32" t="str">
        <x:v>FinBERT etiketi final etiket ile aynı.</x:v>
      </x:c>
      <x:c r="M11" s="31" t="str"/>
      <x:c r="N11" s="31" t="str"/>
      <x:c r="O11" s="3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9b80b6f4f14698"/>
  </x:tableParts>
</x:worksheet>
</file>