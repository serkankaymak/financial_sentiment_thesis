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8a83133c784e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" sheetId="1" r:id="Re05eeed2c407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375623"/>
      </x:patternFill>
    </x:fill>
  </x:fills>
  <x:borders count="20">
    <x:border/>
    <x:border/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  <x:border>
      <x:left>
        <x:color rgb="B4C6E7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B4C6E7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B4C6E7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D9E2F3"/>
      </x:bottom>
    </x:border>
    <x:border>
      <x:left>
        <x:color rgb="B4C6E7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B4C6E7"/>
      </x:bottom>
    </x:border>
    <x:border>
      <x:left>
        <x:color rgb="D9E2F3"/>
      </x:left>
      <x:right>
        <x:color rgb="B4C6E7"/>
      </x:right>
      <x:top>
        <x:color rgb="D9E2F3"/>
      </x:top>
      <x:bottom>
        <x:color rgb="B4C6E7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horizontal="center" vertical="top" wrapText="1"/>
    </x:xf>
    <x:xf numFmtId="0" fontId="1" fillId="3" borderId="4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1" fillId="3" borderId="12" xfId="0" applyNumberFormat="1" applyFont="1" applyFill="1" applyBorder="1" applyAlignment="1">
      <x:alignment horizontal="center" vertical="top" wrapText="1"/>
    </x:xf>
    <x:xf numFmtId="0" fontId="1" fillId="3" borderId="13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1" fontId="0" fillId="0" borderId="9" xfId="0" applyNumberFormat="1" applyFont="1" applyFill="1" applyBorder="1" applyAlignment="1">
      <x:alignment vertical="top" wrapText="1"/>
    </x:xf>
    <x:xf numFmtId="201" fontId="0" fillId="0" borderId="15" xfId="0" applyNumberFormat="1" applyFont="1" applyFill="1" applyBorder="1" applyAlignment="1">
      <x:alignment vertical="top" wrapText="1"/>
    </x:xf>
    <x:xf numFmtId="201" fontId="0" fillId="0" borderId="18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2c669fdc714bfe" /><Relationship Type="http://schemas.openxmlformats.org/officeDocument/2006/relationships/theme" Target="/xl/theme/theme1.xml" Id="Ra8f522cb0b0344fd" /><Relationship Type="http://schemas.openxmlformats.org/officeDocument/2006/relationships/sharedStrings" Target="/xl/sharedStrings.xml" Id="R638a89b63f09454c" /><Relationship Type="http://schemas.openxmlformats.org/officeDocument/2006/relationships/worksheet" Target="/xl/worksheets/sheet1.xml" Id="Re05eeed2c40748ee" /></Relationships>
</file>

<file path=xl/tables/table1.xml><?xml version="1.0" encoding="utf-8"?>
<x:table xmlns:x="http://schemas.openxmlformats.org/spreadsheetml/2006/main" id="1" name="AnnotationTable013" displayName="AnnotationTable013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149ee60724a4807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4" hidden="0" customWidth="1"/>
    <x:col min="5" max="5" width="44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0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28" customHeight="1">
      <x:c r="A1" s="28" t="str">
        <x:v>annotation_id</x:v>
      </x:c>
      <x:c r="B1" s="29" t="str">
        <x:v>sample_id</x:v>
      </x:c>
      <x:c r="C1" s="29" t="str">
        <x:v>date</x:v>
      </x:c>
      <x:c r="D1" s="29" t="str">
        <x:v>text_en</x:v>
      </x:c>
      <x:c r="E1" s="29" t="str">
        <x:v>text_tr</x:v>
      </x:c>
      <x:c r="F1" s="29" t="str">
        <x:v>finbert_label</x:v>
      </x:c>
      <x:c r="G1" s="29" t="str">
        <x:v>finbert_confidence</x:v>
      </x:c>
      <x:c r="H1" s="29" t="str">
        <x:v>chatgpt_label</x:v>
      </x:c>
      <x:c r="I1" s="29" t="str">
        <x:v>chatgpt_confidence</x:v>
      </x:c>
      <x:c r="J1" s="29" t="str">
        <x:v>chatgpt_reason_tr</x:v>
      </x:c>
      <x:c r="K1" s="29" t="str">
        <x:v>finbert_correctness</x:v>
      </x:c>
      <x:c r="L1" s="29" t="str">
        <x:v>finbert_correctness_note</x:v>
      </x:c>
      <x:c r="M1" s="30" t="str"/>
      <x:c r="N1" s="31" t="str">
        <x:v>Özet</x:v>
      </x:c>
      <x:c r="O1" s="32" t="str">
        <x:v>Değer</x:v>
      </x:c>
    </x:row>
    <x:row r="2" ht="58" customHeight="1">
      <x:c r="A2" s="33" t="str">
        <x:v>SP500_ANN_0121</x:v>
      </x:c>
      <x:c r="B2" s="34" t="str">
        <x:v>SP500_HEAD_004053</x:v>
      </x:c>
      <x:c r="C2" s="50" t="n">
        <x:v>42338</x:v>
      </x:c>
      <x:c r="D2" s="34" t="str">
        <x:v>Google And Microsoft Top The Most Popular Mutual Fund Stocks</x:v>
      </x:c>
      <x:c r="E2" s="34" t="str">
        <x:v>Google ve Microsoft en popüler yatırım fonu hisselerinin başında geliyor.</x:v>
      </x:c>
      <x:c r="F2" s="34" t="str">
        <x:v>neutral</x:v>
      </x:c>
      <x:c r="G2" s="54" t="n">
        <x:v>0.824</x:v>
      </x:c>
      <x:c r="H2" s="34" t="str">
        <x:v>neutral</x:v>
      </x:c>
      <x:c r="I2" s="34" t="str">
        <x:v>high</x:v>
      </x:c>
      <x:c r="J2" s="34" t="str">
        <x:v>Popülerlik bilgisi veriliyor; net fiyat/yön sinyali yok.</x:v>
      </x:c>
      <x:c r="K2" s="34" t="str">
        <x:v>correct</x:v>
      </x:c>
      <x:c r="L2" s="34" t="str">
        <x:v>FinBERT etiketi final etiket ile aynı.</x:v>
      </x:c>
      <x:c r="M2" s="34" t="str"/>
      <x:c r="N2" s="34" t="str">
        <x:v>Toplam örnek</x:v>
      </x:c>
      <x:c r="O2" s="35" t="n">
        <x:f>COUNTA(A2:A11)</x:f>
        <x:v>10</x:v>
      </x:c>
    </x:row>
    <x:row r="3" ht="58" customHeight="1">
      <x:c r="A3" s="33" t="str">
        <x:v>SP500_ANN_0122</x:v>
      </x:c>
      <x:c r="B3" s="34" t="str">
        <x:v>SP500_HEAD_012112</x:v>
      </x:c>
      <x:c r="C3" s="50" t="n">
        <x:v>44887</x:v>
      </x:c>
      <x:c r="D3" s="34" t="str">
        <x:v>S&amp;P closes at more than two-month high on retail, energy lift</x:v>
      </x:c>
      <x:c r="E3" s="34" t="str">
        <x:v>S&amp;P, perakende ve enerji desteğiyle iki ayın üzerindeki en yüksek seviyeden kapandı.</x:v>
      </x:c>
      <x:c r="F3" s="34" t="str">
        <x:v>positive</x:v>
      </x:c>
      <x:c r="G3" s="54" t="n">
        <x:v>0.764</x:v>
      </x:c>
      <x:c r="H3" s="34" t="str">
        <x:v>positive</x:v>
      </x:c>
      <x:c r="I3" s="34" t="str">
        <x:v>high</x:v>
      </x:c>
      <x:c r="J3" s="34" t="str">
        <x:v>Endeksin iki ayın zirvesinde kapanması açık olumlu piyasa sinyali.</x:v>
      </x:c>
      <x:c r="K3" s="34" t="str">
        <x:v>correct</x:v>
      </x:c>
      <x:c r="L3" s="34" t="str">
        <x:v>FinBERT etiketi final etiket ile aynı.</x:v>
      </x:c>
      <x:c r="M3" s="34" t="str"/>
      <x:c r="N3" s="34" t="str">
        <x:v>FinBERT doğru</x:v>
      </x:c>
      <x:c r="O3" s="35" t="n">
        <x:f>COUNTIF(K2:K11,"correct")</x:f>
        <x:v>8</x:v>
      </x:c>
    </x:row>
    <x:row r="4" ht="58" customHeight="1">
      <x:c r="A4" s="33" t="str">
        <x:v>SP500_ANN_0123</x:v>
      </x:c>
      <x:c r="B4" s="34" t="str">
        <x:v>SP500_HEAD_008202</x:v>
      </x:c>
      <x:c r="C4" s="50" t="n">
        <x:v>44046</x:v>
      </x:c>
      <x:c r="D4" s="34" t="str">
        <x:v>Growth and momentum strategies led S&amp;P 500 gains in July</x:v>
      </x:c>
      <x:c r="E4" s="34" t="str">
        <x:v>Büyüme ve momentum stratejileri Temmuz ayında S&amp;P 500 kazançlarına öncülük etti.</x:v>
      </x:c>
      <x:c r="F4" s="34" t="str">
        <x:v>positive</x:v>
      </x:c>
      <x:c r="G4" s="54" t="n">
        <x:v>0.944</x:v>
      </x:c>
      <x:c r="H4" s="34" t="str">
        <x:v>positive</x:v>
      </x:c>
      <x:c r="I4" s="34" t="str">
        <x:v>high</x:v>
      </x:c>
      <x:c r="J4" s="34" t="str">
        <x:v>S&amp;P 500 kazançlarından ve güçlü strateji performansından bahsediliyor.</x:v>
      </x:c>
      <x:c r="K4" s="34" t="str">
        <x:v>correct</x:v>
      </x:c>
      <x:c r="L4" s="34" t="str">
        <x:v>FinBERT etiketi final etiket ile aynı.</x:v>
      </x:c>
      <x:c r="M4" s="34" t="str"/>
      <x:c r="N4" s="34" t="str">
        <x:v>FinBERT yanlış</x:v>
      </x:c>
      <x:c r="O4" s="35" t="n">
        <x:f>COUNTIF(K2:K11,"wrong")</x:f>
        <x:v>2</x:v>
      </x:c>
    </x:row>
    <x:row r="5" ht="58" customHeight="1">
      <x:c r="A5" s="33" t="str">
        <x:v>SP500_ANN_0124</x:v>
      </x:c>
      <x:c r="B5" s="34" t="str">
        <x:v>SP500_HEAD_003851</x:v>
      </x:c>
      <x:c r="C5" s="50" t="n">
        <x:v>42242</x:v>
      </x:c>
      <x:c r="D5" s="34" t="str">
        <x:v>The Stock Market Hasn't Had a Selloff Like This One in Over 75 Years</x:v>
      </x:c>
      <x:c r="E5" s="34" t="str">
        <x:v>Borsa 75 yıldan uzun süredir böyle bir satış dalgası yaşamamıştı.</x:v>
      </x:c>
      <x:c r="F5" s="34" t="str">
        <x:v>negative</x:v>
      </x:c>
      <x:c r="G5" s="54" t="n">
        <x:v>0.687</x:v>
      </x:c>
      <x:c r="H5" s="34" t="str">
        <x:v>negative</x:v>
      </x:c>
      <x:c r="I5" s="34" t="str">
        <x:v>high</x:v>
      </x:c>
      <x:c r="J5" s="34" t="str">
        <x:v>Tarihsel ölçekte sert satış dalgası açık negatif piyasa sinyali.</x:v>
      </x:c>
      <x:c r="K5" s="34" t="str">
        <x:v>correct</x:v>
      </x:c>
      <x:c r="L5" s="34" t="str">
        <x:v>FinBERT etiketi final etiket ile aynı.</x:v>
      </x:c>
      <x:c r="M5" s="34" t="str"/>
      <x:c r="N5" s="34" t="str">
        <x:v>Doğruluk oranı</x:v>
      </x:c>
      <x:c r="O5" s="58" t="n">
        <x:f>O3/O2</x:f>
        <x:v>0.8</x:v>
      </x:c>
    </x:row>
    <x:row r="6" ht="58" customHeight="1">
      <x:c r="A6" s="33" t="str">
        <x:v>SP500_ANN_0125</x:v>
      </x:c>
      <x:c r="B6" s="34" t="str">
        <x:v>SP500_HEAD_015282</x:v>
      </x:c>
      <x:c r="C6" s="50" t="n">
        <x:v>45162</x:v>
      </x:c>
      <x:c r="D6" s="34" t="str">
        <x:v>Stock Screen Finds These Growth Stocks Outperforming The S&amp;P 500</x:v>
      </x:c>
      <x:c r="E6" s="34" t="str">
        <x:v>Hisse taraması, S&amp;P 500'den daha iyi performans gösteren büyüme hisselerini buldu.</x:v>
      </x:c>
      <x:c r="F6" s="34" t="str">
        <x:v>negative</x:v>
      </x:c>
      <x:c r="G6" s="54" t="n">
        <x:v>0.579</x:v>
      </x:c>
      <x:c r="H6" s="34" t="str">
        <x:v>positive</x:v>
      </x:c>
      <x:c r="I6" s="34" t="str">
        <x:v>high</x:v>
      </x:c>
      <x:c r="J6" s="34" t="str">
        <x:v>S&amp;P 500'ü aşan büyüme hisseleri olumlu performans sinyali.</x:v>
      </x:c>
      <x:c r="K6" s="34" t="str">
        <x:v>wrong</x:v>
      </x:c>
      <x:c r="L6" s="34" t="str">
        <x:v>FinBERT negative demiş; final etiket positive.</x:v>
      </x:c>
      <x:c r="M6" s="34" t="str"/>
      <x:c r="N6" s="34"/>
      <x:c r="O6" s="35"/>
    </x:row>
    <x:row r="7" ht="58" customHeight="1">
      <x:c r="A7" s="33" t="str">
        <x:v>SP500_ANN_0126</x:v>
      </x:c>
      <x:c r="B7" s="34" t="str">
        <x:v>SP500_HEAD_013932</x:v>
      </x:c>
      <x:c r="C7" s="50" t="n">
        <x:v>45063</x:v>
      </x:c>
      <x:c r="D7" s="34" t="str">
        <x:v>NASDAQ 100, Dow Jones, S&amp;P 500: Optimism Surrounds U.S. Debt Ceiling Talks as Stocks Rise</x:v>
      </x:c>
      <x:c r="E7" s="34" t="str">
        <x:v>NASDAQ 100, Dow Jones, S&amp;P 500: Borç tavanı görüşmelerine dair iyimserlik hisseleri yükseltti.</x:v>
      </x:c>
      <x:c r="F7" s="34" t="str">
        <x:v>positive</x:v>
      </x:c>
      <x:c r="G7" s="54" t="n">
        <x:v>0.867</x:v>
      </x:c>
      <x:c r="H7" s="34" t="str">
        <x:v>positive</x:v>
      </x:c>
      <x:c r="I7" s="34" t="str">
        <x:v>high</x:v>
      </x:c>
      <x:c r="J7" s="34" t="str">
        <x:v>İyimserlik ve hisse yükselişi doğrudan pozitif piyasa sinyali.</x:v>
      </x:c>
      <x:c r="K7" s="34" t="str">
        <x:v>correct</x:v>
      </x:c>
      <x:c r="L7" s="34" t="str">
        <x:v>FinBERT etiketi final etiket ile aynı.</x:v>
      </x:c>
      <x:c r="M7" s="34" t="str"/>
      <x:c r="N7" s="34"/>
      <x:c r="O7" s="35"/>
    </x:row>
    <x:row r="8" ht="58" customHeight="1">
      <x:c r="A8" s="33" t="str">
        <x:v>SP500_ANN_0127</x:v>
      </x:c>
      <x:c r="B8" s="34" t="str">
        <x:v>SP500_HEAD_002472</x:v>
      </x:c>
      <x:c r="C8" s="50" t="n">
        <x:v>41639</x:v>
      </x:c>
      <x:c r="D8" s="34" t="str">
        <x:v>Stocks: Stellar year ends on a high note</x:v>
      </x:c>
      <x:c r="E8" s="34" t="str">
        <x:v>Hisselerde parlak yıl yüksek bir notla sona erdi.</x:v>
      </x:c>
      <x:c r="F8" s="34" t="str">
        <x:v>positive</x:v>
      </x:c>
      <x:c r="G8" s="54" t="n">
        <x:v>0.759</x:v>
      </x:c>
      <x:c r="H8" s="34" t="str">
        <x:v>positive</x:v>
      </x:c>
      <x:c r="I8" s="34" t="str">
        <x:v>high</x:v>
      </x:c>
      <x:c r="J8" s="34" t="str">
        <x:v>Güçlü yıl sonu ve yüksek kapanış olumlu piyasa sinyali.</x:v>
      </x:c>
      <x:c r="K8" s="34" t="str">
        <x:v>correct</x:v>
      </x:c>
      <x:c r="L8" s="34" t="str">
        <x:v>FinBERT etiketi final etiket ile aynı.</x:v>
      </x:c>
      <x:c r="M8" s="34" t="str"/>
      <x:c r="N8" s="34"/>
      <x:c r="O8" s="35"/>
    </x:row>
    <x:row r="9" ht="58" customHeight="1">
      <x:c r="A9" s="33" t="str">
        <x:v>SP500_ANN_0128</x:v>
      </x:c>
      <x:c r="B9" s="34" t="str">
        <x:v>SP500_HEAD_016387</x:v>
      </x:c>
      <x:c r="C9" s="50" t="n">
        <x:v>45239</x:v>
      </x:c>
      <x:c r="D9" s="34" t="str">
        <x:v>S&amp;P 500, NAS 100 Runs into Resistance, Can the Rally Continue?</x:v>
      </x:c>
      <x:c r="E9" s="34" t="str">
        <x:v>S&amp;P 500 ve NAS 100 dirençle karşılaşıyor; ralli devam edebilir mi?</x:v>
      </x:c>
      <x:c r="F9" s="34" t="str">
        <x:v>neutral</x:v>
      </x:c>
      <x:c r="G9" s="54" t="n">
        <x:v>0.751</x:v>
      </x:c>
      <x:c r="H9" s="34" t="str">
        <x:v>neutral</x:v>
      </x:c>
      <x:c r="I9" s="34" t="str">
        <x:v>medium</x:v>
      </x:c>
      <x:c r="J9" s="34" t="str">
        <x:v>Ralli potansiyeli ve direnç birlikte verilmiş; net yön belirsiz.</x:v>
      </x:c>
      <x:c r="K9" s="34" t="str">
        <x:v>correct</x:v>
      </x:c>
      <x:c r="L9" s="34" t="str">
        <x:v>FinBERT etiketi final etiket ile aynı.</x:v>
      </x:c>
      <x:c r="M9" s="34" t="str"/>
      <x:c r="N9" s="34"/>
      <x:c r="O9" s="35"/>
    </x:row>
    <x:row r="10" ht="58" customHeight="1">
      <x:c r="A10" s="33" t="str">
        <x:v>SP500_ANN_0129</x:v>
      </x:c>
      <x:c r="B10" s="34" t="str">
        <x:v>SP500_HEAD_007229</x:v>
      </x:c>
      <x:c r="C10" s="50" t="n">
        <x:v>43794</x:v>
      </x:c>
      <x:c r="D10" s="34" t="str">
        <x:v>2020 Could See Slower But Continued Stock Gains Say Analysts</x:v>
      </x:c>
      <x:c r="E10" s="34" t="str">
        <x:v>Analistlere göre 2020 daha yavaş ama devam eden hisse kazançları getirebilir.</x:v>
      </x:c>
      <x:c r="F10" s="34" t="str">
        <x:v>positive</x:v>
      </x:c>
      <x:c r="G10" s="54" t="n">
        <x:v>0.915</x:v>
      </x:c>
      <x:c r="H10" s="34" t="str">
        <x:v>positive</x:v>
      </x:c>
      <x:c r="I10" s="34" t="str">
        <x:v>high</x:v>
      </x:c>
      <x:c r="J10" s="34" t="str">
        <x:v>Kazançların devam edeceği beklentisi olumlu piyasa sinyali.</x:v>
      </x:c>
      <x:c r="K10" s="34" t="str">
        <x:v>correct</x:v>
      </x:c>
      <x:c r="L10" s="34" t="str">
        <x:v>FinBERT etiketi final etiket ile aynı.</x:v>
      </x:c>
      <x:c r="M10" s="34" t="str"/>
      <x:c r="N10" s="34"/>
      <x:c r="O10" s="35"/>
    </x:row>
    <x:row r="11" ht="58" customHeight="1">
      <x:c r="A11" s="36" t="str">
        <x:v>SP500_ANN_0130</x:v>
      </x:c>
      <x:c r="B11" s="37" t="str">
        <x:v>SP500_HEAD_014091</x:v>
      </x:c>
      <x:c r="C11" s="51" t="n">
        <x:v>45076</x:v>
      </x:c>
      <x:c r="D11" s="37" t="str">
        <x:v>'Few are priced for an upcrash.' The S&amp;P 500 could reach 4,600 this year, thanks to pessimism, says RBC.</x:v>
      </x:c>
      <x:c r="E11" s="37" t="str">
        <x:v>RBC'ye göre karamsarlık sayesinde S&amp;P 500 bu yıl 4.600'e ulaşabilir.</x:v>
      </x:c>
      <x:c r="F11" s="37" t="str">
        <x:v>negative</x:v>
      </x:c>
      <x:c r="G11" s="55" t="n">
        <x:v>0.577</x:v>
      </x:c>
      <x:c r="H11" s="37" t="str">
        <x:v>positive</x:v>
      </x:c>
      <x:c r="I11" s="37" t="str">
        <x:v>high</x:v>
      </x:c>
      <x:c r="J11" s="37" t="str">
        <x:v>S&amp;P 500 için belirgin yükseliş hedefi pozitif beklenti oluşturuyor.</x:v>
      </x:c>
      <x:c r="K11" s="37" t="str">
        <x:v>wrong</x:v>
      </x:c>
      <x:c r="L11" s="37" t="str">
        <x:v>FinBERT negative demiş; final etiket positive.</x:v>
      </x:c>
      <x:c r="M11" s="37" t="str"/>
      <x:c r="N11" s="37"/>
      <x:c r="O11" s="38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dataValidations count="3">
    <x:dataValidation type="list" sqref="H2:H11">
      <x:formula1>"positive,negative,neutral"</x:formula1>
    </x:dataValidation>
    <x:dataValidation type="list" sqref="I2:I11">
      <x:formula1>"high,medium,low"</x:formula1>
    </x:dataValidation>
    <x:dataValidation type="list" sqref="K2:K11">
      <x:formula1>"correct,wrong"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49ee60724a4807"/>
  </x:tableParts>
</x:worksheet>
</file>