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0ec378c9d841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2c7efc02e4bd412a"/>
    <x:sheet xmlns:r="http://schemas.openxmlformats.org/officeDocument/2006/relationships" name="summary" sheetId="2" r:id="R406921db334c4d67"/>
    <x:sheet xmlns:r="http://schemas.openxmlformats.org/officeDocument/2006/relationships" name="labeling_notes" sheetId="3" r:id="R1aa1e2be9dc24c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00"/>
    <x:numFmt numFmtId="202" formatCode="0.00"/>
    <x:numFmt numFmtId="203" formatCode="0.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5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E5E7EB"/>
        </x:patternFill>
      </x:fill>
    </x:dxf>
    <x:dxf>
      <x:font>
        <x:b/>
      </x:font>
      <x:fill>
        <x:patternFill patternType="solid">
          <x:bgColor rgb="FEF3C7"/>
        </x:patternFill>
      </x:fill>
    </x:dxf>
    <x:dxf>
      <x:fill>
        <x:patternFill patternType="solid">
          <x:bgColor rgb="ECFD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eeaaa340954285" /><Relationship Type="http://schemas.openxmlformats.org/officeDocument/2006/relationships/theme" Target="/xl/theme/theme1.xml" Id="R310580cdace94b50" /><Relationship Type="http://schemas.openxmlformats.org/officeDocument/2006/relationships/sharedStrings" Target="/xl/sharedStrings.xml" Id="R62788713d8da4838" /><Relationship Type="http://schemas.openxmlformats.org/officeDocument/2006/relationships/worksheet" Target="/xl/worksheets/sheet1.xml" Id="R2c7efc02e4bd412a" /><Relationship Type="http://schemas.openxmlformats.org/officeDocument/2006/relationships/worksheet" Target="/xl/worksheets/sheet2.xml" Id="R406921db334c4d67" /><Relationship Type="http://schemas.openxmlformats.org/officeDocument/2006/relationships/worksheet" Target="/xl/worksheets/sheet3.xml" Id="R1aa1e2be9dc24c05" /></Relationships>
</file>

<file path=xl/tables/table1.xml><?xml version="1.0" encoding="utf-8"?>
<x:table xmlns:x="http://schemas.openxmlformats.org/spreadsheetml/2006/main" id="1" name="ReutersBatch023Table" displayName="ReutersBatch023Table" ref="A1:N51" headerRowCount="1">
  <x:tableColumns count="14">
    <x:tableColumn id="1" name="annotation_id"/>
    <x:tableColumn id="2" name="date"/>
    <x:tableColumn id="3" name="finbert_score"/>
    <x:tableColumn id="4" name="finbert_label"/>
    <x:tableColumn id="5" name="finbert_confidence"/>
    <x:tableColumn id="6" name="text_en"/>
    <x:tableColumn id="7" name="text_tr"/>
    <x:tableColumn id="8" name="chatgpt_label"/>
    <x:tableColumn id="9" name="chatgpt_score"/>
    <x:tableColumn id="10" name="chatgpt_confidence"/>
    <x:tableColumn id="11" name="chatgpt_reason_tr"/>
    <x:tableColumn id="12" name="finbert_comparison"/>
    <x:tableColumn id="13" name="review_priority"/>
    <x:tableColumn id="14" name="row_note"/>
  </x:tableColumns>
  <x:tableStyleInfo name="TableStyleMedium2" showRowStripes="1"/>
</x:table>
</file>

<file path=xl/tables/table2.xml><?xml version="1.0" encoding="utf-8"?>
<x:table xmlns:x="http://schemas.openxmlformats.org/spreadsheetml/2006/main" id="2" name="ChatGPTLabelSummary" displayName="ChatGPTLabelSummary" ref="A5:C8" headerRowCount="1">
  <x:tableColumns count="3">
    <x:tableColumn id="1" name="ChatGPT label"/>
    <x:tableColumn id="2" name="Count"/>
    <x:tableColumn id="3" name="Share"/>
  </x:tableColumns>
  <x:tableStyleInfo name="TableStyleMedium2" showRowStripes="1"/>
</x:table>
</file>

<file path=xl/tables/table3.xml><?xml version="1.0" encoding="utf-8"?>
<x:table xmlns:x="http://schemas.openxmlformats.org/spreadsheetml/2006/main" id="3" name="FinBERTComparisonSummary" displayName="FinBERTComparisonSummary" ref="A10:C12" headerRowCount="1">
  <x:tableColumns count="3">
    <x:tableColumn id="1" name="FinBERT comparison"/>
    <x:tableColumn id="2" name="Count"/>
    <x:tableColumn id="3" name="Share"/>
  </x:tableColumns>
  <x:tableStyleInfo name="TableStyleMedium2" showRowStripes="1"/>
</x:table>
</file>

<file path=xl/tables/table4.xml><?xml version="1.0" encoding="utf-8"?>
<x:table xmlns:x="http://schemas.openxmlformats.org/spreadsheetml/2006/main" id="4" name="LabelingNotesTable" displayName="LabelingNotesTable" ref="A1:B7" headerRowCount="1">
  <x:tableColumns count="2">
    <x:tableColumn id="1" name="Field"/>
    <x:tableColumn id="2" name="Explan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5b1cc85a0d42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3ef45bb79334c3e" /><Relationship Type="http://schemas.openxmlformats.org/officeDocument/2006/relationships/table" Target="/xl/tables/table3.xml" Id="R73e875fcdc824e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9bfd868dd05a4ab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3" hidden="0" customWidth="1"/>
    <x:col min="5" max="5" width="16" hidden="0" customWidth="1"/>
    <x:col min="6" max="6" width="42" hidden="0" customWidth="1"/>
    <x:col min="7" max="7" width="42" hidden="0" customWidth="1"/>
    <x:col min="8" max="8" width="14" hidden="0" customWidth="1"/>
    <x:col min="9" max="9" width="12" hidden="0" customWidth="1"/>
    <x:col min="10" max="10" width="16" hidden="0" customWidth="1"/>
    <x:col min="11" max="11" width="52" hidden="0" customWidth="1"/>
    <x:col min="12" max="12" width="17" hidden="0" customWidth="1"/>
    <x:col min="13" max="13" width="15" hidden="0" customWidth="1"/>
    <x:col min="14" max="14" width="28" hidden="0" customWidth="1"/>
  </x:cols>
  <x:sheetData>
    <x:row r="1" ht="30" customHeight="1">
      <x:c r="A1" s="6" t="str">
        <x:v>annotation_id</x:v>
      </x:c>
      <x:c r="B1" s="6" t="str">
        <x:v>date</x:v>
      </x:c>
      <x:c r="C1" s="6" t="str">
        <x:v>finbert_score</x:v>
      </x:c>
      <x:c r="D1" s="6" t="str">
        <x:v>finbert_label</x:v>
      </x:c>
      <x:c r="E1" s="6" t="str">
        <x:v>finbert_confidence</x:v>
      </x:c>
      <x:c r="F1" s="6" t="str">
        <x:v>text_en</x:v>
      </x:c>
      <x:c r="G1" s="6" t="str">
        <x:v>text_tr</x:v>
      </x:c>
      <x:c r="H1" s="6" t="str">
        <x:v>chatgpt_label</x:v>
      </x:c>
      <x:c r="I1" s="6" t="str">
        <x:v>chatgpt_score</x:v>
      </x:c>
      <x:c r="J1" s="6" t="str">
        <x:v>chatgpt_confidence</x:v>
      </x:c>
      <x:c r="K1" s="6" t="str">
        <x:v>chatgpt_reason_tr</x:v>
      </x:c>
      <x:c r="L1" s="6" t="str">
        <x:v>finbert_comparison</x:v>
      </x:c>
      <x:c r="M1" s="6" t="str">
        <x:v>review_priority</x:v>
      </x:c>
      <x:c r="N1" s="6" t="str">
        <x:v>row_note</x:v>
      </x:c>
    </x:row>
    <x:row r="2" ht="48" customHeight="1">
      <x:c r="A2" s="13" t="str">
        <x:v>REUTERS_ANN_01101</x:v>
      </x:c>
      <x:c r="B2" s="16" t="n">
        <x:v>39178</x:v>
      </x:c>
      <x:c r="C2" s="13" t="n">
        <x:v>-1</x:v>
      </x:c>
      <x:c r="D2" s="13" t="str">
        <x:v>negative</x:v>
      </x:c>
      <x:c r="E2" s="18" t="n">
        <x:v>0.9255973100662231</x:v>
      </x:c>
      <x:c r="F2" s="13" t="str">
        <x:v>march job growth strong, jobless rate falls</x:v>
      </x:c>
      <x:c r="G2" s="13" t="str">
        <x:v>Mart ayında istihdam artışı güçlü, işsizlik oranı düşüyor</x:v>
      </x:c>
      <x:c r="H2" s="13" t="str">
        <x:v>positive</x:v>
      </x:c>
      <x:c r="I2" s="13" t="n">
        <x:v>1</x:v>
      </x:c>
      <x:c r="J2" s="20" t="n">
        <x:v>0.95</x:v>
      </x:c>
      <x:c r="K2" s="13" t="str">
        <x:v>Güçlü istihdam artışı ve işsizliğin düşmesi makroekonomik açıdan olumlu sinyal verir.</x:v>
      </x:c>
      <x:c r="L2" s="13" t="str">
        <x:f>IF(D2=H2,"same","different")</x:f>
        <x:v>different</x:v>
      </x:c>
      <x:c r="M2" s="13" t="str">
        <x:v>review</x:v>
      </x:c>
      <x:c r="N2" s="13" t="str">
        <x:v>FinBERT ile farklı; manuel kontrol önerilir.</x:v>
      </x:c>
    </x:row>
    <x:row r="3" ht="48" customHeight="1">
      <x:c r="A3" s="13" t="str">
        <x:v>REUTERS_ANN_01102</x:v>
      </x:c>
      <x:c r="B3" s="16" t="n">
        <x:v>39148</x:v>
      </x:c>
      <x:c r="C3" s="13" t="n">
        <x:v>0</x:v>
      </x:c>
      <x:c r="D3" s="13" t="str">
        <x:v>neutral</x:v>
      </x:c>
      <x:c r="E3" s="18" t="n">
        <x:v>0.8793739080429077</x:v>
      </x:c>
      <x:c r="F3" s="13" t="str">
        <x:v>non-binding merck generics offers due mon source</x:v>
      </x:c>
      <x:c r="G3" s="13" t="str">
        <x:v>Kaynağa göre Merck jenerik birimi için bağlayıcı olmayan teklifler pazartesiye kadar bekleniyor</x:v>
      </x:c>
      <x:c r="H3" s="13" t="str">
        <x:v>neutral</x:v>
      </x:c>
      <x:c r="I3" s="13" t="n">
        <x:v>0</x:v>
      </x:c>
      <x:c r="J3" s="20" t="n">
        <x:v>0.78</x:v>
      </x:c>
      <x:c r="K3" s="13" t="str">
        <x:v>Teklif sürecine dair işlem bilgisi var; kesin değer artışı veya kayıp sinyali sınırlı.</x:v>
      </x:c>
      <x:c r="L3" s="13" t="str">
        <x:f>IF(D3=H3,"same","different")</x:f>
        <x:v>same</x:v>
      </x:c>
      <x:c r="M3" s="13" t="str">
        <x:v>ok</x:v>
      </x:c>
      <x:c r="N3" s="13" t="str">
        <x:v>FinBERT ile uyumlu.</x:v>
      </x:c>
    </x:row>
    <x:row r="4" ht="48" customHeight="1">
      <x:c r="A4" s="13" t="str">
        <x:v>REUTERS_ANN_01103</x:v>
      </x:c>
      <x:c r="B4" s="16" t="n">
        <x:v>39149</x:v>
      </x:c>
      <x:c r="C4" s="13" t="n">
        <x:v>1</x:v>
      </x:c>
      <x:c r="D4" s="13" t="str">
        <x:v>positive</x:v>
      </x:c>
      <x:c r="E4" s="18" t="n">
        <x:v>0.7652425765991211</x:v>
      </x:c>
      <x:c r="F4" s="13" t="str">
        <x:v>u.s.s paulson urges china to open financial markets</x:v>
      </x:c>
      <x:c r="G4" s="13" t="str">
        <x:v>ABD Hazine Bakanı Paulson Çin’i finans piyasalarını açmaya çağırıyor</x:v>
      </x:c>
      <x:c r="H4" s="13" t="str">
        <x:v>positive</x:v>
      </x:c>
      <x:c r="I4" s="13" t="n">
        <x:v>1</x:v>
      </x:c>
      <x:c r="J4" s="20" t="n">
        <x:v>0.72</x:v>
      </x:c>
      <x:c r="K4" s="13" t="str">
        <x:v>Finansal piyasa açılımı ve liberalizasyon çağrısı yatırım ortamı açısından olumlu yorumlanabilir.</x:v>
      </x:c>
      <x:c r="L4" s="13" t="str">
        <x:f>IF(D4=H4,"same","different")</x:f>
        <x:v>same</x:v>
      </x:c>
      <x:c r="M4" s="13" t="str">
        <x:v>ok</x:v>
      </x:c>
      <x:c r="N4" s="13" t="str">
        <x:v>FinBERT ile uyumlu.</x:v>
      </x:c>
    </x:row>
    <x:row r="5" ht="48" customHeight="1">
      <x:c r="A5" s="13" t="str">
        <x:v>REUTERS_ANN_01104</x:v>
      </x:c>
      <x:c r="B5" s="16" t="n">
        <x:v>39135</x:v>
      </x:c>
      <x:c r="C5" s="13" t="n">
        <x:v>0</x:v>
      </x:c>
      <x:c r="D5" s="13" t="str">
        <x:v>neutral</x:v>
      </x:c>
      <x:c r="E5" s="18" t="n">
        <x:v>0.6347373127937317</x:v>
      </x:c>
      <x:c r="F5" s="13" t="str">
        <x:v>google offers business software via subscription</x:v>
      </x:c>
      <x:c r="G5" s="13" t="str">
        <x:v>Google abonelik yoluyla iş yazılımı sunuyor</x:v>
      </x:c>
      <x:c r="H5" s="13" t="str">
        <x:v>positive</x:v>
      </x:c>
      <x:c r="I5" s="13" t="n">
        <x:v>1</x:v>
      </x:c>
      <x:c r="J5" s="20" t="n">
        <x:v>0.76</x:v>
      </x:c>
      <x:c r="K5" s="13" t="str">
        <x:v>Yeni abonelik tabanlı ürün/hizmet hamlesi gelir çeşitlendirmesi açısından olumlu.</x:v>
      </x:c>
      <x:c r="L5" s="13" t="str">
        <x:f>IF(D5=H5,"same","different")</x:f>
        <x:v>different</x:v>
      </x:c>
      <x:c r="M5" s="13" t="str">
        <x:v>review</x:v>
      </x:c>
      <x:c r="N5" s="13" t="str">
        <x:v>FinBERT ile farklı; manuel kontrol önerilir.</x:v>
      </x:c>
    </x:row>
    <x:row r="6" ht="48" customHeight="1">
      <x:c r="A6" s="13" t="str">
        <x:v>REUTERS_ANN_01105</x:v>
      </x:c>
      <x:c r="B6" s="16" t="n">
        <x:v>39140</x:v>
      </x:c>
      <x:c r="C6" s="13" t="n">
        <x:v>-1</x:v>
      </x:c>
      <x:c r="D6" s="13" t="str">
        <x:v>negative</x:v>
      </x:c>
      <x:c r="E6" s="18" t="n">
        <x:v>0.9725995659828186</x:v>
      </x:c>
      <x:c r="F6" s="13" t="str">
        <x:v>january durable goods orders tumble 7.8 percent</x:v>
      </x:c>
      <x:c r="G6" s="13" t="str">
        <x:v>Ocak dayanıklı mal siparişleri yüzde 7,8 geriledi</x:v>
      </x:c>
      <x:c r="H6" s="13" t="str">
        <x:v>negative</x:v>
      </x:c>
      <x:c r="I6" s="13" t="n">
        <x:v>-1</x:v>
      </x:c>
      <x:c r="J6" s="20" t="n">
        <x:v>0.96</x:v>
      </x:c>
      <x:c r="K6" s="13" t="str">
        <x:v>Dayanıklı mal siparişlerinde sert düşüş ekonomik aktivite için olumsuz sinyal.</x:v>
      </x:c>
      <x:c r="L6" s="13" t="str">
        <x:f>IF(D6=H6,"same","different")</x:f>
        <x:v>same</x:v>
      </x:c>
      <x:c r="M6" s="13" t="str">
        <x:v>ok</x:v>
      </x:c>
      <x:c r="N6" s="13" t="str">
        <x:v>FinBERT ile uyumlu.</x:v>
      </x:c>
    </x:row>
    <x:row r="7" ht="48" customHeight="1">
      <x:c r="A7" s="13" t="str">
        <x:v>REUTERS_ANN_01106</x:v>
      </x:c>
      <x:c r="B7" s="16" t="n">
        <x:v>39110</x:v>
      </x:c>
      <x:c r="C7" s="13" t="n">
        <x:v>-1</x:v>
      </x:c>
      <x:c r="D7" s="13" t="str">
        <x:v>negative</x:v>
      </x:c>
      <x:c r="E7" s="18" t="n">
        <x:v>0.9414409399032592</x:v>
      </x:c>
      <x:c r="F7" s="13" t="str">
        <x:v>ba resumes union talks in bid to avert strike</x:v>
      </x:c>
      <x:c r="G7" s="13" t="str">
        <x:v>British Airways grevi önlemek için sendika görüşmelerine yeniden başladı</x:v>
      </x:c>
      <x:c r="H7" s="13" t="str">
        <x:v>neutral</x:v>
      </x:c>
      <x:c r="I7" s="13" t="n">
        <x:v>0</x:v>
      </x:c>
      <x:c r="J7" s="20" t="n">
        <x:v>0.64</x:v>
      </x:c>
      <x:c r="K7" s="13" t="str">
        <x:v>Görüşmeler olumlu olabilir ancak grev riski hâlâ sürdüğü için net pozitif değil.</x:v>
      </x:c>
      <x:c r="L7" s="13" t="str">
        <x:f>IF(D7=H7,"same","different")</x:f>
        <x:v>different</x:v>
      </x:c>
      <x:c r="M7" s="13" t="str">
        <x:v>review</x:v>
      </x:c>
      <x:c r="N7" s="13" t="str">
        <x:v>FinBERT ile farklı; manuel kontrol önerilir.</x:v>
      </x:c>
    </x:row>
    <x:row r="8" ht="48" customHeight="1">
      <x:c r="A8" s="13" t="str">
        <x:v>REUTERS_ANN_01107</x:v>
      </x:c>
      <x:c r="B8" s="16" t="n">
        <x:v>39202</x:v>
      </x:c>
      <x:c r="C8" s="13" t="n">
        <x:v>1</x:v>
      </x:c>
      <x:c r="D8" s="13" t="str">
        <x:v>positive</x:v>
      </x:c>
      <x:c r="E8" s="18" t="n">
        <x:v>0.9519563317298888</x:v>
      </x:c>
      <x:c r="F8" s="13" t="str">
        <x:v>wrigley posts higher profit</x:v>
      </x:c>
      <x:c r="G8" s="13" t="str">
        <x:v>Wrigley daha yüksek kâr açıkladı</x:v>
      </x:c>
      <x:c r="H8" s="13" t="str">
        <x:v>positive</x:v>
      </x:c>
      <x:c r="I8" s="13" t="n">
        <x:v>1</x:v>
      </x:c>
      <x:c r="J8" s="20" t="n">
        <x:v>0.96</x:v>
      </x:c>
      <x:c r="K8" s="13" t="str">
        <x:v>Kâr artışı şirket performansı açısından açık biçimde olumlu.</x:v>
      </x:c>
      <x:c r="L8" s="13" t="str">
        <x:f>IF(D8=H8,"same","different")</x:f>
        <x:v>same</x:v>
      </x:c>
      <x:c r="M8" s="13" t="str">
        <x:v>ok</x:v>
      </x:c>
      <x:c r="N8" s="13" t="str">
        <x:v>FinBERT ile uyumlu.</x:v>
      </x:c>
    </x:row>
    <x:row r="9" ht="48" customHeight="1">
      <x:c r="A9" s="13" t="str">
        <x:v>REUTERS_ANN_01108</x:v>
      </x:c>
      <x:c r="B9" s="16" t="n">
        <x:v>39066</x:v>
      </x:c>
      <x:c r="C9" s="13" t="n">
        <x:v>0</x:v>
      </x:c>
      <x:c r="D9" s="13" t="str">
        <x:v>neutral</x:v>
      </x:c>
      <x:c r="E9" s="18" t="n">
        <x:v>0.611400306224823</x:v>
      </x:c>
      <x:c r="F9" s="13" t="str">
        <x:v>ny pension funds press big web companies on rights</x:v>
      </x:c>
      <x:c r="G9" s="13" t="str">
        <x:v>New York emeklilik fonları büyük internet şirketlerine haklar konusunda baskı yapıyor</x:v>
      </x:c>
      <x:c r="H9" s="13" t="str">
        <x:v>negative</x:v>
      </x:c>
      <x:c r="I9" s="13" t="n">
        <x:v>-1</x:v>
      </x:c>
      <x:c r="J9" s="20" t="n">
        <x:v>0.68</x:v>
      </x:c>
      <x:c r="K9" s="13" t="str">
        <x:v>Kurumsal baskı ve haklar konusunda eleştiri şirketler için itibar/yönetişim riski yaratır.</x:v>
      </x:c>
      <x:c r="L9" s="13" t="str">
        <x:f>IF(D9=H9,"same","different")</x:f>
        <x:v>different</x:v>
      </x:c>
      <x:c r="M9" s="13" t="str">
        <x:v>review</x:v>
      </x:c>
      <x:c r="N9" s="13" t="str">
        <x:v>FinBERT ile farklı; manuel kontrol önerilir.</x:v>
      </x:c>
    </x:row>
    <x:row r="10" ht="48" customHeight="1">
      <x:c r="A10" s="13" t="str">
        <x:v>REUTERS_ANN_01109</x:v>
      </x:c>
      <x:c r="B10" s="16" t="n">
        <x:v>39043</x:v>
      </x:c>
      <x:c r="C10" s="13" t="n">
        <x:v>1</x:v>
      </x:c>
      <x:c r="D10" s="13" t="str">
        <x:v>positive</x:v>
      </x:c>
      <x:c r="E10" s="18" t="n">
        <x:v>0.7629694938659668</x:v>
      </x:c>
      <x:c r="F10" s="13" t="str">
        <x:v>delta bondholders form group to back us air bid wsj</x:v>
      </x:c>
      <x:c r="G10" s="13" t="str">
        <x:v>WSJ’ye göre Delta tahvil sahipleri US Air teklifini desteklemek için grup oluşturuyor</x:v>
      </x:c>
      <x:c r="H10" s="13" t="str">
        <x:v>positive</x:v>
      </x:c>
      <x:c r="I10" s="13" t="n">
        <x:v>1</x:v>
      </x:c>
      <x:c r="J10" s="20" t="n">
        <x:v>0.74</x:v>
      </x:c>
      <x:c r="K10" s="13" t="str">
        <x:v>Tahvil sahiplerinin teklif etrafında örgütlenmesi birleşme süreci için destekleyici sinyal.</x:v>
      </x:c>
      <x:c r="L10" s="13" t="str">
        <x:f>IF(D10=H10,"same","different")</x:f>
        <x:v>same</x:v>
      </x:c>
      <x:c r="M10" s="13" t="str">
        <x:v>ok</x:v>
      </x:c>
      <x:c r="N10" s="13" t="str">
        <x:v>FinBERT ile uyumlu.</x:v>
      </x:c>
    </x:row>
    <x:row r="11" ht="48" customHeight="1">
      <x:c r="A11" s="13" t="str">
        <x:v>REUTERS_ANN_01110</x:v>
      </x:c>
      <x:c r="B11" s="16" t="n">
        <x:v>39086</x:v>
      </x:c>
      <x:c r="C11" s="13" t="n">
        <x:v>-1</x:v>
      </x:c>
      <x:c r="D11" s="13" t="str">
        <x:v>negative</x:v>
      </x:c>
      <x:c r="E11" s="18" t="n">
        <x:v>0.9766637682914734</x:v>
      </x:c>
      <x:c r="F11" s="13" t="str">
        <x:v>monster us monthly online jobs index falls in dec</x:v>
      </x:c>
      <x:c r="G11" s="13" t="str">
        <x:v>Monster ABD aylık çevrimiçi iş ilanları endeksi aralıkta düştü</x:v>
      </x:c>
      <x:c r="H11" s="13" t="str">
        <x:v>negative</x:v>
      </x:c>
      <x:c r="I11" s="13" t="n">
        <x:v>-1</x:v>
      </x:c>
      <x:c r="J11" s="20" t="n">
        <x:v>0.95</x:v>
      </x:c>
      <x:c r="K11" s="13" t="str">
        <x:v>İş ilanları endeksinin düşmesi istihdam piyasası ve şirket için olumsuz.</x:v>
      </x:c>
      <x:c r="L11" s="13" t="str">
        <x:f>IF(D11=H11,"same","different")</x:f>
        <x:v>same</x:v>
      </x:c>
      <x:c r="M11" s="13" t="str">
        <x:v>ok</x:v>
      </x:c>
      <x:c r="N11" s="13" t="str">
        <x:v>FinBERT ile uyumlu.</x:v>
      </x:c>
    </x:row>
    <x:row r="12" ht="48" customHeight="1">
      <x:c r="A12" s="13" t="str">
        <x:v>REUTERS_ANN_01111</x:v>
      </x:c>
      <x:c r="B12" s="16" t="n">
        <x:v>39048</x:v>
      </x:c>
      <x:c r="C12" s="13" t="n">
        <x:v>0</x:v>
      </x:c>
      <x:c r="D12" s="13" t="str">
        <x:v>neutral</x:v>
      </x:c>
      <x:c r="E12" s="18" t="n">
        <x:v>0.8915524482727051</x:v>
      </x:c>
      <x:c r="F12" s="13" t="str">
        <x:v>french finmin says nyse, euronext must talk more on merger</x:v>
      </x:c>
      <x:c r="G12" s="13" t="str">
        <x:v>Fransa maliye bakanı NYSE ve Euronext’in birleşme konusunda daha fazla konuşması gerektiğini söyledi</x:v>
      </x:c>
      <x:c r="H12" s="13" t="str">
        <x:v>neutral</x:v>
      </x:c>
      <x:c r="I12" s="13" t="n">
        <x:v>0</x:v>
      </x:c>
      <x:c r="J12" s="20" t="n">
        <x:v>0.82</x:v>
      </x:c>
      <x:c r="K12" s="13" t="str">
        <x:v>Birleşme görüşmelerine ilişkin süreç açıklaması; tek başına belirgin kâr/zarar sinyali değil.</x:v>
      </x:c>
      <x:c r="L12" s="13" t="str">
        <x:f>IF(D12=H12,"same","different")</x:f>
        <x:v>same</x:v>
      </x:c>
      <x:c r="M12" s="13" t="str">
        <x:v>ok</x:v>
      </x:c>
      <x:c r="N12" s="13" t="str">
        <x:v>FinBERT ile uyumlu.</x:v>
      </x:c>
    </x:row>
    <x:row r="13" ht="48" customHeight="1">
      <x:c r="A13" s="13" t="str">
        <x:v>REUTERS_ANN_01112</x:v>
      </x:c>
      <x:c r="B13" s="16" t="n">
        <x:v>39182</x:v>
      </x:c>
      <x:c r="C13" s="13" t="n">
        <x:v>-1</x:v>
      </x:c>
      <x:c r="D13" s="13" t="str">
        <x:v>negative</x:v>
      </x:c>
      <x:c r="E13" s="18" t="n">
        <x:v>0.938858926296234</x:v>
      </x:c>
      <x:c r="F13" s="13" t="str">
        <x:v>lg.philips q1 beats forecast</x:v>
      </x:c>
      <x:c r="G13" s="13" t="str">
        <x:v>LG.Philips birinci çeyrekte beklentiyi aştı</x:v>
      </x:c>
      <x:c r="H13" s="13" t="str">
        <x:v>positive</x:v>
      </x:c>
      <x:c r="I13" s="13" t="n">
        <x:v>1</x:v>
      </x:c>
      <x:c r="J13" s="20" t="n">
        <x:v>0.93</x:v>
      </x:c>
      <x:c r="K13" s="13" t="str">
        <x:v>Beklentileri aşan sonuç şirket açısından olumlu.</x:v>
      </x:c>
      <x:c r="L13" s="13" t="str">
        <x:f>IF(D13=H13,"same","different")</x:f>
        <x:v>different</x:v>
      </x:c>
      <x:c r="M13" s="13" t="str">
        <x:v>review</x:v>
      </x:c>
      <x:c r="N13" s="13" t="str">
        <x:v>FinBERT ile farklı; manuel kontrol önerilir.</x:v>
      </x:c>
    </x:row>
    <x:row r="14" ht="48" customHeight="1">
      <x:c r="A14" s="13" t="str">
        <x:v>REUTERS_ANN_01113</x:v>
      </x:c>
      <x:c r="B14" s="16" t="n">
        <x:v>39056</x:v>
      </x:c>
      <x:c r="C14" s="13" t="n">
        <x:v>-1</x:v>
      </x:c>
      <x:c r="D14" s="13" t="str">
        <x:v>negative</x:v>
      </x:c>
      <x:c r="E14" s="18" t="n">
        <x:v>0.7734240293502808</x:v>
      </x:c>
      <x:c r="F14" s="13" t="str">
        <x:v>jamba, sunopta say smoothies may be contaminated</x:v>
      </x:c>
      <x:c r="G14" s="13" t="str">
        <x:v>Jamba ve SunOpta smoothie ürünlerinin kontamine olabileceğini söylüyor</x:v>
      </x:c>
      <x:c r="H14" s="13" t="str">
        <x:v>negative</x:v>
      </x:c>
      <x:c r="I14" s="13" t="n">
        <x:v>-1</x:v>
      </x:c>
      <x:c r="J14" s="20" t="n">
        <x:v>0.9</x:v>
      </x:c>
      <x:c r="K14" s="13" t="str">
        <x:v>Ürün güvenliği/contamination riski şirket ve tüketici güveni açısından olumsuz.</x:v>
      </x:c>
      <x:c r="L14" s="13" t="str">
        <x:f>IF(D14=H14,"same","different")</x:f>
        <x:v>same</x:v>
      </x:c>
      <x:c r="M14" s="13" t="str">
        <x:v>ok</x:v>
      </x:c>
      <x:c r="N14" s="13" t="str">
        <x:v>FinBERT ile uyumlu.</x:v>
      </x:c>
    </x:row>
    <x:row r="15" ht="48" customHeight="1">
      <x:c r="A15" s="13" t="str">
        <x:v>REUTERS_ANN_01114</x:v>
      </x:c>
      <x:c r="B15" s="16" t="n">
        <x:v>39120</x:v>
      </x:c>
      <x:c r="C15" s="13" t="n">
        <x:v>-1</x:v>
      </x:c>
      <x:c r="D15" s="13" t="str">
        <x:v>negative</x:v>
      </x:c>
      <x:c r="E15" s="18" t="n">
        <x:v>0.9673203825950624</x:v>
      </x:c>
      <x:c r="F15" s="13" t="str">
        <x:v>nortel to slash 2,900 jobs in latest cost-cutting</x:v>
      </x:c>
      <x:c r="G15" s="13" t="str">
        <x:v>Nortel son maliyet azaltma hamlesinde 2.900 kişiyi işten çıkaracak</x:v>
      </x:c>
      <x:c r="H15" s="13" t="str">
        <x:v>negative</x:v>
      </x:c>
      <x:c r="I15" s="13" t="n">
        <x:v>-1</x:v>
      </x:c>
      <x:c r="J15" s="20" t="n">
        <x:v>0.95</x:v>
      </x:c>
      <x:c r="K15" s="13" t="str">
        <x:v>Büyük ölçekli işten çıkarma ve maliyet baskısı olumsuz şirket sinyali taşır.</x:v>
      </x:c>
      <x:c r="L15" s="13" t="str">
        <x:f>IF(D15=H15,"same","different")</x:f>
        <x:v>same</x:v>
      </x:c>
      <x:c r="M15" s="13" t="str">
        <x:v>ok</x:v>
      </x:c>
      <x:c r="N15" s="13" t="str">
        <x:v>FinBERT ile uyumlu.</x:v>
      </x:c>
    </x:row>
    <x:row r="16" ht="48" customHeight="1">
      <x:c r="A16" s="13" t="str">
        <x:v>REUTERS_ANN_01115</x:v>
      </x:c>
      <x:c r="B16" s="16" t="n">
        <x:v>39105</x:v>
      </x:c>
      <x:c r="C16" s="13" t="n">
        <x:v>1</x:v>
      </x:c>
      <x:c r="D16" s="13" t="str">
        <x:v>positive</x:v>
      </x:c>
      <x:c r="E16" s="18" t="n">
        <x:v>0.9218544363975524</x:v>
      </x:c>
      <x:c r="F16" s="13" t="str">
        <x:v>oil surges on u.s. plan to boost emergency stockpile</x:v>
      </x:c>
      <x:c r="G16" s="13" t="str">
        <x:v>ABD’nin acil stokları artırma planıyla petrol yükseldi</x:v>
      </x:c>
      <x:c r="H16" s="13" t="str">
        <x:v>positive</x:v>
      </x:c>
      <x:c r="I16" s="13" t="n">
        <x:v>1</x:v>
      </x:c>
      <x:c r="J16" s="20" t="n">
        <x:v>0.76</x:v>
      </x:c>
      <x:c r="K16" s="13" t="str">
        <x:v>Petrol fiyatının yükselmesi enerji/emtia piyasası açısından pozitif fiyat hareketidir.</x:v>
      </x:c>
      <x:c r="L16" s="13" t="str">
        <x:f>IF(D16=H16,"same","different")</x:f>
        <x:v>same</x:v>
      </x:c>
      <x:c r="M16" s="13" t="str">
        <x:v>ok</x:v>
      </x:c>
      <x:c r="N16" s="13" t="str">
        <x:v>FinBERT ile uyumlu.</x:v>
      </x:c>
    </x:row>
    <x:row r="17" ht="48" customHeight="1">
      <x:c r="A17" s="13" t="str">
        <x:v>REUTERS_ANN_01116</x:v>
      </x:c>
      <x:c r="B17" s="16" t="n">
        <x:v>39020</x:v>
      </x:c>
      <x:c r="C17" s="13" t="n">
        <x:v>0</x:v>
      </x:c>
      <x:c r="D17" s="13" t="str">
        <x:v>neutral</x:v>
      </x:c>
      <x:c r="E17" s="18" t="n">
        <x:v>0.9179660677909852</x:v>
      </x:c>
      <x:c r="F17" s="13" t="str">
        <x:v>l-3 open to takeover approaches, paper says</x:v>
      </x:c>
      <x:c r="G17" s="13" t="str">
        <x:v>Gazeteye göre L-3 devralma yaklaşımlarına açık</x:v>
      </x:c>
      <x:c r="H17" s="13" t="str">
        <x:v>positive</x:v>
      </x:c>
      <x:c r="I17" s="13" t="n">
        <x:v>1</x:v>
      </x:c>
      <x:c r="J17" s="20" t="n">
        <x:v>0.72</x:v>
      </x:c>
      <x:c r="K17" s="13" t="str">
        <x:v>Devralma ihtimali hisse değeri açısından olumlu beklenti yaratabilir.</x:v>
      </x:c>
      <x:c r="L17" s="13" t="str">
        <x:f>IF(D17=H17,"same","different")</x:f>
        <x:v>different</x:v>
      </x:c>
      <x:c r="M17" s="13" t="str">
        <x:v>review</x:v>
      </x:c>
      <x:c r="N17" s="13" t="str">
        <x:v>FinBERT ile farklı; manuel kontrol önerilir.</x:v>
      </x:c>
    </x:row>
    <x:row r="18" ht="48" customHeight="1">
      <x:c r="A18" s="13" t="str">
        <x:v>REUTERS_ANN_01117</x:v>
      </x:c>
      <x:c r="B18" s="16" t="n">
        <x:v>39117</x:v>
      </x:c>
      <x:c r="C18" s="13" t="n">
        <x:v>-1</x:v>
      </x:c>
      <x:c r="D18" s="13" t="str">
        <x:v>negative</x:v>
      </x:c>
      <x:c r="E18" s="18" t="n">
        <x:v>0.6920674443244934</x:v>
      </x:c>
      <x:c r="F18" s="13" t="str">
        <x:v>stocks eye earnings and services data</x:v>
      </x:c>
      <x:c r="G18" s="13" t="str">
        <x:v>Hisseler bilanço ve hizmet sektörü verilerine odaklanıyor</x:v>
      </x:c>
      <x:c r="H18" s="13" t="str">
        <x:v>neutral</x:v>
      </x:c>
      <x:c r="I18" s="13" t="n">
        <x:v>0</x:v>
      </x:c>
      <x:c r="J18" s="20" t="n">
        <x:v>0.82</x:v>
      </x:c>
      <x:c r="K18" s="13" t="str">
        <x:v>Piyasanın beklenen verileri izlemesine dair yönsüz haber.</x:v>
      </x:c>
      <x:c r="L18" s="13" t="str">
        <x:f>IF(D18=H18,"same","different")</x:f>
        <x:v>different</x:v>
      </x:c>
      <x:c r="M18" s="13" t="str">
        <x:v>review</x:v>
      </x:c>
      <x:c r="N18" s="13" t="str">
        <x:v>FinBERT ile farklı; manuel kontrol önerilir.</x:v>
      </x:c>
    </x:row>
    <x:row r="19" ht="48" customHeight="1">
      <x:c r="A19" s="13" t="str">
        <x:v>REUTERS_ANN_01118</x:v>
      </x:c>
      <x:c r="B19" s="16" t="n">
        <x:v>39148</x:v>
      </x:c>
      <x:c r="C19" s="13" t="n">
        <x:v>1</x:v>
      </x:c>
      <x:c r="D19" s="13" t="str">
        <x:v>positive</x:v>
      </x:c>
      <x:c r="E19" s="18" t="n">
        <x:v>0.8315594792366028</x:v>
      </x:c>
      <x:c r="F19" s="13" t="str">
        <x:v>yahoo to run on millions of windows mobile phones</x:v>
      </x:c>
      <x:c r="G19" s="13" t="str">
        <x:v>Yahoo milyonlarca Windows Mobile telefonda çalışacak</x:v>
      </x:c>
      <x:c r="H19" s="13" t="str">
        <x:v>positive</x:v>
      </x:c>
      <x:c r="I19" s="13" t="n">
        <x:v>1</x:v>
      </x:c>
      <x:c r="J19" s="20" t="n">
        <x:v>0.82</x:v>
      </x:c>
      <x:c r="K19" s="13" t="str">
        <x:v>Geniş mobil erişim ve dağıtım anlaşması şirket açısından olumlu.</x:v>
      </x:c>
      <x:c r="L19" s="13" t="str">
        <x:f>IF(D19=H19,"same","different")</x:f>
        <x:v>same</x:v>
      </x:c>
      <x:c r="M19" s="13" t="str">
        <x:v>ok</x:v>
      </x:c>
      <x:c r="N19" s="13" t="str">
        <x:v>FinBERT ile uyumlu.</x:v>
      </x:c>
    </x:row>
    <x:row r="20" ht="48" customHeight="1">
      <x:c r="A20" s="13" t="str">
        <x:v>REUTERS_ANN_01119</x:v>
      </x:c>
      <x:c r="B20" s="16" t="n">
        <x:v>39080</x:v>
      </x:c>
      <x:c r="C20" s="13" t="n">
        <x:v>-1</x:v>
      </x:c>
      <x:c r="D20" s="13" t="str">
        <x:v>negative</x:v>
      </x:c>
      <x:c r="E20" s="18" t="n">
        <x:v>0.9659752249717712</x:v>
      </x:c>
      <x:c r="F20" s="13" t="str">
        <x:v>indexes dip for the day, but surge in 2006</x:v>
      </x:c>
      <x:c r="G20" s="13" t="str">
        <x:v>Endeksler gün içinde geriledi ancak 2006 genelinde güçlü yükseldi</x:v>
      </x:c>
      <x:c r="H20" s="13" t="str">
        <x:v>neutral</x:v>
      </x:c>
      <x:c r="I20" s="13" t="n">
        <x:v>0</x:v>
      </x:c>
      <x:c r="J20" s="20" t="n">
        <x:v>0.65</x:v>
      </x:c>
      <x:c r="K20" s="13" t="str">
        <x:v>Günlük düşüş ile yıllık güçlü performans birlikte verildiği için karma/nötr sinyal.</x:v>
      </x:c>
      <x:c r="L20" s="13" t="str">
        <x:f>IF(D20=H20,"same","different")</x:f>
        <x:v>different</x:v>
      </x:c>
      <x:c r="M20" s="13" t="str">
        <x:v>review</x:v>
      </x:c>
      <x:c r="N20" s="13" t="str">
        <x:v>FinBERT ile farklı; manuel kontrol önerilir.</x:v>
      </x:c>
    </x:row>
    <x:row r="21" ht="48" customHeight="1">
      <x:c r="A21" s="13" t="str">
        <x:v>REUTERS_ANN_01120</x:v>
      </x:c>
      <x:c r="B21" s="16" t="n">
        <x:v>39156</x:v>
      </x:c>
      <x:c r="C21" s="13" t="n">
        <x:v>1</x:v>
      </x:c>
      <x:c r="D21" s="13" t="str">
        <x:v>positive</x:v>
      </x:c>
      <x:c r="E21" s="18" t="n">
        <x:v>0.8890683650970459</x:v>
      </x:c>
      <x:c r="F21" s="13" t="str">
        <x:v>u.s. financial stocks investors what, me worry</x:v>
      </x:c>
      <x:c r="G21" s="13" t="str">
        <x:v>ABD finans hisseleri yatırımcıları: “Ben mi endişeleneceğim?”</x:v>
      </x:c>
      <x:c r="H21" s="13" t="str">
        <x:v>neutral</x:v>
      </x:c>
      <x:c r="I21" s="13" t="n">
        <x:v>0</x:v>
      </x:c>
      <x:c r="J21" s="20" t="n">
        <x:v>0.6</x:v>
      </x:c>
      <x:c r="K21" s="13" t="str">
        <x:v>Başlık yorumlayıcı ve belirsiz; net pozitif veya negatif finansal sonuç belirtmiyor.</x:v>
      </x:c>
      <x:c r="L21" s="13" t="str">
        <x:f>IF(D21=H21,"same","different")</x:f>
        <x:v>different</x:v>
      </x:c>
      <x:c r="M21" s="13" t="str">
        <x:v>review</x:v>
      </x:c>
      <x:c r="N21" s="13" t="str">
        <x:v>FinBERT ile farklı; manuel kontrol önerilir.</x:v>
      </x:c>
    </x:row>
    <x:row r="22" ht="48" customHeight="1">
      <x:c r="A22" s="13" t="str">
        <x:v>REUTERS_ANN_01121</x:v>
      </x:c>
      <x:c r="B22" s="16" t="n">
        <x:v>39211</x:v>
      </x:c>
      <x:c r="C22" s="13" t="n">
        <x:v>-1</x:v>
      </x:c>
      <x:c r="D22" s="13" t="str">
        <x:v>negative</x:v>
      </x:c>
      <x:c r="E22" s="18" t="n">
        <x:v>0.970843493938446</x:v>
      </x:c>
      <x:c r="F22" s="13" t="str">
        <x:v>ea warns on 2008 profit as spore delayed</x:v>
      </x:c>
      <x:c r="G22" s="13" t="str">
        <x:v>EA, Spore geciktiği için 2008 kârı konusunda uyardı</x:v>
      </x:c>
      <x:c r="H22" s="13" t="str">
        <x:v>negative</x:v>
      </x:c>
      <x:c r="I22" s="13" t="n">
        <x:v>-1</x:v>
      </x:c>
      <x:c r="J22" s="20" t="n">
        <x:v>0.96</x:v>
      </x:c>
      <x:c r="K22" s="13" t="str">
        <x:v>Kâr uyarısı ve ürün gecikmesi açık negatif sinyaldir.</x:v>
      </x:c>
      <x:c r="L22" s="13" t="str">
        <x:f>IF(D22=H22,"same","different")</x:f>
        <x:v>same</x:v>
      </x:c>
      <x:c r="M22" s="13" t="str">
        <x:v>ok</x:v>
      </x:c>
      <x:c r="N22" s="13" t="str">
        <x:v>FinBERT ile uyumlu.</x:v>
      </x:c>
    </x:row>
    <x:row r="23" ht="48" customHeight="1">
      <x:c r="A23" s="13" t="str">
        <x:v>REUTERS_ANN_01122</x:v>
      </x:c>
      <x:c r="B23" s="16" t="n">
        <x:v>39087</x:v>
      </x:c>
      <x:c r="C23" s="13" t="n">
        <x:v>0</x:v>
      </x:c>
      <x:c r="D23" s="13" t="str">
        <x:v>neutral</x:v>
      </x:c>
      <x:c r="E23" s="18" t="n">
        <x:v>0.9297612309455872</x:v>
      </x:c>
      <x:c r="F23" s="13" t="str">
        <x:v>nasdaq says no decisions made about lse stake</x:v>
      </x:c>
      <x:c r="G23" s="13" t="str">
        <x:v>Nasdaq, LSE hissesi hakkında karar alınmadığını söylüyor</x:v>
      </x:c>
      <x:c r="H23" s="13" t="str">
        <x:v>neutral</x:v>
      </x:c>
      <x:c r="I23" s="13" t="n">
        <x:v>0</x:v>
      </x:c>
      <x:c r="J23" s="20" t="n">
        <x:v>0.88</x:v>
      </x:c>
      <x:c r="K23" s="13" t="str">
        <x:v>Kararsızlık/süreç bilgisi var; doğrudan değer sinyali sınırlı.</x:v>
      </x:c>
      <x:c r="L23" s="13" t="str">
        <x:f>IF(D23=H23,"same","different")</x:f>
        <x:v>same</x:v>
      </x:c>
      <x:c r="M23" s="13" t="str">
        <x:v>ok</x:v>
      </x:c>
      <x:c r="N23" s="13" t="str">
        <x:v>FinBERT ile uyumlu.</x:v>
      </x:c>
    </x:row>
    <x:row r="24" ht="48" customHeight="1">
      <x:c r="A24" s="13" t="str">
        <x:v>REUTERS_ANN_01123</x:v>
      </x:c>
      <x:c r="B24" s="16" t="n">
        <x:v>39023</x:v>
      </x:c>
      <x:c r="C24" s="13" t="n">
        <x:v>-1</x:v>
      </x:c>
      <x:c r="D24" s="13" t="str">
        <x:v>negative</x:v>
      </x:c>
      <x:c r="E24" s="18" t="n">
        <x:v>0.971643090248108</x:v>
      </x:c>
      <x:c r="F24" s="13" t="str">
        <x:v>october retail sales disappoint after strong september</x:v>
      </x:c>
      <x:c r="G24" s="13" t="str">
        <x:v>Ekim perakende satışları güçlü eylülün ardından hayal kırıklığı yarattı</x:v>
      </x:c>
      <x:c r="H24" s="13" t="str">
        <x:v>negative</x:v>
      </x:c>
      <x:c r="I24" s="13" t="n">
        <x:v>-1</x:v>
      </x:c>
      <x:c r="J24" s="20" t="n">
        <x:v>0.95</x:v>
      </x:c>
      <x:c r="K24" s="13" t="str">
        <x:v>Perakende satışların beklentiyi karşılamaması ekonomik ve sektör açısından olumsuz.</x:v>
      </x:c>
      <x:c r="L24" s="13" t="str">
        <x:f>IF(D24=H24,"same","different")</x:f>
        <x:v>same</x:v>
      </x:c>
      <x:c r="M24" s="13" t="str">
        <x:v>ok</x:v>
      </x:c>
      <x:c r="N24" s="13" t="str">
        <x:v>FinBERT ile uyumlu.</x:v>
      </x:c>
    </x:row>
    <x:row r="25" ht="48" customHeight="1">
      <x:c r="A25" s="13" t="str">
        <x:v>REUTERS_ANN_01124</x:v>
      </x:c>
      <x:c r="B25" s="16" t="n">
        <x:v>39043</x:v>
      </x:c>
      <x:c r="C25" s="13" t="n">
        <x:v>-1</x:v>
      </x:c>
      <x:c r="D25" s="13" t="str">
        <x:v>negative</x:v>
      </x:c>
      <x:c r="E25" s="18" t="n">
        <x:v>0.5874609351158142</x:v>
      </x:c>
      <x:c r="F25" s="13" t="str">
        <x:v>freeport-mcmoran stock up amid bhp bid speculation</x:v>
      </x:c>
      <x:c r="G25" s="13" t="str">
        <x:v>Freeport-McMoRan hissesi BHP teklif spekülasyonu ile yükseldi</x:v>
      </x:c>
      <x:c r="H25" s="13" t="str">
        <x:v>positive</x:v>
      </x:c>
      <x:c r="I25" s="13" t="n">
        <x:v>1</x:v>
      </x:c>
      <x:c r="J25" s="20" t="n">
        <x:v>0.78</x:v>
      </x:c>
      <x:c r="K25" s="13" t="str">
        <x:v>Hissenin yükselmesi ve devralma spekülasyonu olumlu piyasa tepkisi gösterir.</x:v>
      </x:c>
      <x:c r="L25" s="13" t="str">
        <x:f>IF(D25=H25,"same","different")</x:f>
        <x:v>different</x:v>
      </x:c>
      <x:c r="M25" s="13" t="str">
        <x:v>review</x:v>
      </x:c>
      <x:c r="N25" s="13" t="str">
        <x:v>FinBERT ile farklı; manuel kontrol önerilir.</x:v>
      </x:c>
    </x:row>
    <x:row r="26" ht="48" customHeight="1">
      <x:c r="A26" s="13" t="str">
        <x:v>REUTERS_ANN_01125</x:v>
      </x:c>
      <x:c r="B26" s="16" t="n">
        <x:v>39190</x:v>
      </x:c>
      <x:c r="C26" s="13" t="n">
        <x:v>0</x:v>
      </x:c>
      <x:c r="D26" s="13" t="str">
        <x:v>neutral</x:v>
      </x:c>
      <x:c r="E26" s="18" t="n">
        <x:v>0.6324900984764099</x:v>
      </x:c>
      <x:c r="F26" s="13" t="str">
        <x:v>lightstone buys blackstone-owned hotels group</x:v>
      </x:c>
      <x:c r="G26" s="13" t="str">
        <x:v>Lightstone, Blackstone’a ait otel grubunu satın aldı</x:v>
      </x:c>
      <x:c r="H26" s="13" t="str">
        <x:v>neutral</x:v>
      </x:c>
      <x:c r="I26" s="13" t="n">
        <x:v>0</x:v>
      </x:c>
      <x:c r="J26" s="20" t="n">
        <x:v>0.76</x:v>
      </x:c>
      <x:c r="K26" s="13" t="str">
        <x:v>Satın alma haberi var ancak fiyatlama/başarı etkisi net değil.</x:v>
      </x:c>
      <x:c r="L26" s="13" t="str">
        <x:f>IF(D26=H26,"same","different")</x:f>
        <x:v>same</x:v>
      </x:c>
      <x:c r="M26" s="13" t="str">
        <x:v>ok</x:v>
      </x:c>
      <x:c r="N26" s="13" t="str">
        <x:v>FinBERT ile uyumlu.</x:v>
      </x:c>
    </x:row>
    <x:row r="27" ht="48" customHeight="1">
      <x:c r="A27" s="13" t="str">
        <x:v>REUTERS_ANN_01126</x:v>
      </x:c>
      <x:c r="B27" s="16" t="n">
        <x:v>39153</x:v>
      </x:c>
      <x:c r="C27" s="13" t="n">
        <x:v>-1</x:v>
      </x:c>
      <x:c r="D27" s="13" t="str">
        <x:v>negative</x:v>
      </x:c>
      <x:c r="E27" s="18" t="n">
        <x:v>0.8857712745666504</x:v>
      </x:c>
      <x:c r="F27" s="13" t="str">
        <x:v>consumer craze hits post-sanctions libya</x:v>
      </x:c>
      <x:c r="G27" s="13" t="str">
        <x:v>Yaptırımlar sonrası Libya’da tüketim çılgınlığı başladı</x:v>
      </x:c>
      <x:c r="H27" s="13" t="str">
        <x:v>positive</x:v>
      </x:c>
      <x:c r="I27" s="13" t="n">
        <x:v>1</x:v>
      </x:c>
      <x:c r="J27" s="20" t="n">
        <x:v>0.7</x:v>
      </x:c>
      <x:c r="K27" s="13" t="str">
        <x:v>Tüketici talebindeki canlılık ekonomik aktivite açısından olumlu okunabilir.</x:v>
      </x:c>
      <x:c r="L27" s="13" t="str">
        <x:f>IF(D27=H27,"same","different")</x:f>
        <x:v>different</x:v>
      </x:c>
      <x:c r="M27" s="13" t="str">
        <x:v>review</x:v>
      </x:c>
      <x:c r="N27" s="13" t="str">
        <x:v>FinBERT ile farklı; manuel kontrol önerilir.</x:v>
      </x:c>
    </x:row>
    <x:row r="28" ht="48" customHeight="1">
      <x:c r="A28" s="13" t="str">
        <x:v>REUTERS_ANN_01127</x:v>
      </x:c>
      <x:c r="B28" s="16" t="n">
        <x:v>39015</x:v>
      </x:c>
      <x:c r="C28" s="13" t="n">
        <x:v>1</x:v>
      </x:c>
      <x:c r="D28" s="13" t="str">
        <x:v>positive</x:v>
      </x:c>
      <x:c r="E28" s="18" t="n">
        <x:v>0.8895799517631531</x:v>
      </x:c>
      <x:c r="F28" s="13" t="str">
        <x:v>blackstone, pai to buy united biscuits for $3 bln</x:v>
      </x:c>
      <x:c r="G28" s="13" t="str">
        <x:v>Blackstone ve PAI, United Biscuits’i 3 milyar dolara satın alacak</x:v>
      </x:c>
      <x:c r="H28" s="13" t="str">
        <x:v>positive</x:v>
      </x:c>
      <x:c r="I28" s="13" t="n">
        <x:v>1</x:v>
      </x:c>
      <x:c r="J28" s="20" t="n">
        <x:v>0.76</x:v>
      </x:c>
      <x:c r="K28" s="13" t="str">
        <x:v>Büyük satın alma anlaşması şirket değeri ve işlem aktivitesi açısından olumlu.</x:v>
      </x:c>
      <x:c r="L28" s="13" t="str">
        <x:f>IF(D28=H28,"same","different")</x:f>
        <x:v>same</x:v>
      </x:c>
      <x:c r="M28" s="13" t="str">
        <x:v>ok</x:v>
      </x:c>
      <x:c r="N28" s="13" t="str">
        <x:v>FinBERT ile uyumlu.</x:v>
      </x:c>
    </x:row>
    <x:row r="29" ht="48" customHeight="1">
      <x:c r="A29" s="13" t="str">
        <x:v>REUTERS_ANN_01128</x:v>
      </x:c>
      <x:c r="B29" s="16" t="n">
        <x:v>39175</x:v>
      </x:c>
      <x:c r="C29" s="13" t="n">
        <x:v>1</x:v>
      </x:c>
      <x:c r="D29" s="13" t="str">
        <x:v>positive</x:v>
      </x:c>
      <x:c r="E29" s="18" t="n">
        <x:v>0.939072847366333</x:v>
      </x:c>
      <x:c r="F29" s="13" t="str">
        <x:v>pending home sales rise narrowly</x:v>
      </x:c>
      <x:c r="G29" s="13" t="str">
        <x:v>Bekleyen konut satışları sınırlı şekilde arttı</x:v>
      </x:c>
      <x:c r="H29" s="13" t="str">
        <x:v>positive</x:v>
      </x:c>
      <x:c r="I29" s="13" t="n">
        <x:v>1</x:v>
      </x:c>
      <x:c r="J29" s="20" t="n">
        <x:v>0.82</x:v>
      </x:c>
      <x:c r="K29" s="13" t="str">
        <x:v>Konut satışlarındaki artış sektör için olumlu, ancak artış sınırlı.</x:v>
      </x:c>
      <x:c r="L29" s="13" t="str">
        <x:f>IF(D29=H29,"same","different")</x:f>
        <x:v>same</x:v>
      </x:c>
      <x:c r="M29" s="13" t="str">
        <x:v>ok</x:v>
      </x:c>
      <x:c r="N29" s="13" t="str">
        <x:v>FinBERT ile uyumlu.</x:v>
      </x:c>
    </x:row>
    <x:row r="30" ht="48" customHeight="1">
      <x:c r="A30" s="13" t="str">
        <x:v>REUTERS_ANN_01129</x:v>
      </x:c>
      <x:c r="B30" s="16" t="n">
        <x:v>39072</x:v>
      </x:c>
      <x:c r="C30" s="13" t="n">
        <x:v>1</x:v>
      </x:c>
      <x:c r="D30" s="13" t="str">
        <x:v>positive</x:v>
      </x:c>
      <x:c r="E30" s="18" t="n">
        <x:v>0.7009918093681335</x:v>
      </x:c>
      <x:c r="F30" s="13" t="str">
        <x:v>usg makes final $3.05 bln payment to asbestos trust</x:v>
      </x:c>
      <x:c r="G30" s="13" t="str">
        <x:v>USG, asbest fonuna son 3,05 milyar dolarlık ödemeyi yaptı</x:v>
      </x:c>
      <x:c r="H30" s="13" t="str">
        <x:v>positive</x:v>
      </x:c>
      <x:c r="I30" s="13" t="n">
        <x:v>1</x:v>
      </x:c>
      <x:c r="J30" s="20" t="n">
        <x:v>0.72</x:v>
      </x:c>
      <x:c r="K30" s="13" t="str">
        <x:v>Büyük hukuki yükümlülüğün tamamlanması belirsizliği azaltır.</x:v>
      </x:c>
      <x:c r="L30" s="13" t="str">
        <x:f>IF(D30=H30,"same","different")</x:f>
        <x:v>same</x:v>
      </x:c>
      <x:c r="M30" s="13" t="str">
        <x:v>ok</x:v>
      </x:c>
      <x:c r="N30" s="13" t="str">
        <x:v>FinBERT ile uyumlu.</x:v>
      </x:c>
    </x:row>
    <x:row r="31" ht="48" customHeight="1">
      <x:c r="A31" s="13" t="str">
        <x:v>REUTERS_ANN_01130</x:v>
      </x:c>
      <x:c r="B31" s="16" t="n">
        <x:v>39057</x:v>
      </x:c>
      <x:c r="C31" s="13" t="n">
        <x:v>0</x:v>
      </x:c>
      <x:c r="D31" s="13" t="str">
        <x:v>neutral</x:v>
      </x:c>
      <x:c r="E31" s="18" t="n">
        <x:v>0.8746926784515381</x:v>
      </x:c>
      <x:c r="F31" s="13" t="str">
        <x:v>yahoo reshuffles, cfo decker gets key role</x:v>
      </x:c>
      <x:c r="G31" s="13" t="str">
        <x:v>Yahoo yönetimde değişiklik yaptı, CFO Decker kilit rol aldı</x:v>
      </x:c>
      <x:c r="H31" s="13" t="str">
        <x:v>neutral</x:v>
      </x:c>
      <x:c r="I31" s="13" t="n">
        <x:v>0</x:v>
      </x:c>
      <x:c r="J31" s="20" t="n">
        <x:v>0.82</x:v>
      </x:c>
      <x:c r="K31" s="13" t="str">
        <x:v>Yönetim organizasyon değişikliği; etkisi henüz belirsiz.</x:v>
      </x:c>
      <x:c r="L31" s="13" t="str">
        <x:f>IF(D31=H31,"same","different")</x:f>
        <x:v>same</x:v>
      </x:c>
      <x:c r="M31" s="13" t="str">
        <x:v>ok</x:v>
      </x:c>
      <x:c r="N31" s="13" t="str">
        <x:v>FinBERT ile uyumlu.</x:v>
      </x:c>
    </x:row>
    <x:row r="32" ht="48" customHeight="1">
      <x:c r="A32" s="13" t="str">
        <x:v>REUTERS_ANN_01131</x:v>
      </x:c>
      <x:c r="B32" s="16" t="n">
        <x:v>39080</x:v>
      </x:c>
      <x:c r="C32" s="13" t="n">
        <x:v>0</x:v>
      </x:c>
      <x:c r="D32" s="13" t="str">
        <x:v>neutral</x:v>
      </x:c>
      <x:c r="E32" s="18" t="n">
        <x:v>0.9224680662155152</x:v>
      </x:c>
      <x:c r="F32" s="13" t="str">
        <x:v>power corp. to buy putnam report</x:v>
      </x:c>
      <x:c r="G32" s="13" t="str">
        <x:v>Rapora göre Power Corp. Putnam’ı satın alacak</x:v>
      </x:c>
      <x:c r="H32" s="13" t="str">
        <x:v>positive</x:v>
      </x:c>
      <x:c r="I32" s="13" t="n">
        <x:v>1</x:v>
      </x:c>
      <x:c r="J32" s="20" t="n">
        <x:v>0.7</x:v>
      </x:c>
      <x:c r="K32" s="13" t="str">
        <x:v>Satın alma ihtimali işlem ve büyüme beklentisi nedeniyle hafif olumlu.</x:v>
      </x:c>
      <x:c r="L32" s="13" t="str">
        <x:f>IF(D32=H32,"same","different")</x:f>
        <x:v>different</x:v>
      </x:c>
      <x:c r="M32" s="13" t="str">
        <x:v>review</x:v>
      </x:c>
      <x:c r="N32" s="13" t="str">
        <x:v>FinBERT ile farklı; manuel kontrol önerilir.</x:v>
      </x:c>
    </x:row>
    <x:row r="33" ht="48" customHeight="1">
      <x:c r="A33" s="13" t="str">
        <x:v>REUTERS_ANN_01132</x:v>
      </x:c>
      <x:c r="B33" s="16" t="n">
        <x:v>39101</x:v>
      </x:c>
      <x:c r="C33" s="13" t="n">
        <x:v>1</x:v>
      </x:c>
      <x:c r="D33" s="13" t="str">
        <x:v>positive</x:v>
      </x:c>
      <x:c r="E33" s="18" t="n">
        <x:v>0.7647943496704102</x:v>
      </x:c>
      <x:c r="F33" s="13" t="str">
        <x:v>capital one fourth-quarter earnings rise</x:v>
      </x:c>
      <x:c r="G33" s="13" t="str">
        <x:v>Capital One dördüncü çeyrek kârını artırdı</x:v>
      </x:c>
      <x:c r="H33" s="13" t="str">
        <x:v>positive</x:v>
      </x:c>
      <x:c r="I33" s="13" t="n">
        <x:v>1</x:v>
      </x:c>
      <x:c r="J33" s="20" t="n">
        <x:v>0.9</x:v>
      </x:c>
      <x:c r="K33" s="13" t="str">
        <x:v>Kâr artışı şirket için net olumlu.</x:v>
      </x:c>
      <x:c r="L33" s="13" t="str">
        <x:f>IF(D33=H33,"same","different")</x:f>
        <x:v>same</x:v>
      </x:c>
      <x:c r="M33" s="13" t="str">
        <x:v>ok</x:v>
      </x:c>
      <x:c r="N33" s="13" t="str">
        <x:v>FinBERT ile uyumlu.</x:v>
      </x:c>
    </x:row>
    <x:row r="34" ht="48" customHeight="1">
      <x:c r="A34" s="13" t="str">
        <x:v>REUTERS_ANN_01133</x:v>
      </x:c>
      <x:c r="B34" s="16" t="n">
        <x:v>39189</x:v>
      </x:c>
      <x:c r="C34" s="13" t="n">
        <x:v>-1</x:v>
      </x:c>
      <x:c r="D34" s="13" t="str">
        <x:v>negative</x:v>
      </x:c>
      <x:c r="E34" s="18" t="n">
        <x:v>0.966775119304657</x:v>
      </x:c>
      <x:c r="F34" s="13" t="str">
        <x:v>affordable residential to sell real estate unit</x:v>
      </x:c>
      <x:c r="G34" s="13" t="str">
        <x:v>Affordable Residential gayrimenkul birimini satacak</x:v>
      </x:c>
      <x:c r="H34" s="13" t="str">
        <x:v>neutral</x:v>
      </x:c>
      <x:c r="I34" s="13" t="n">
        <x:v>0</x:v>
      </x:c>
      <x:c r="J34" s="20" t="n">
        <x:v>0.64</x:v>
      </x:c>
      <x:c r="K34" s="13" t="str">
        <x:v>Varlık satışı bilgisi var; satışın faydası veya zararı net değil.</x:v>
      </x:c>
      <x:c r="L34" s="13" t="str">
        <x:f>IF(D34=H34,"same","different")</x:f>
        <x:v>different</x:v>
      </x:c>
      <x:c r="M34" s="13" t="str">
        <x:v>review</x:v>
      </x:c>
      <x:c r="N34" s="13" t="str">
        <x:v>FinBERT ile farklı; manuel kontrol önerilir.</x:v>
      </x:c>
    </x:row>
    <x:row r="35" ht="48" customHeight="1">
      <x:c r="A35" s="13" t="str">
        <x:v>REUTERS_ANN_01134</x:v>
      </x:c>
      <x:c r="B35" s="16" t="n">
        <x:v>39100</x:v>
      </x:c>
      <x:c r="C35" s="13" t="n">
        <x:v>-1</x:v>
      </x:c>
      <x:c r="D35" s="13" t="str">
        <x:v>negative</x:v>
      </x:c>
      <x:c r="E35" s="18" t="n">
        <x:v>0.9499878287315368</x:v>
      </x:c>
      <x:c r="F35" s="13" t="str">
        <x:v>neteller quits u.s. after illegal gambling arrests</x:v>
      </x:c>
      <x:c r="G35" s="13" t="str">
        <x:v>NETeller yasa dışı kumar tutuklamalarından sonra ABD’den çıkıyor</x:v>
      </x:c>
      <x:c r="H35" s="13" t="str">
        <x:v>negative</x:v>
      </x:c>
      <x:c r="I35" s="13" t="n">
        <x:v>-1</x:v>
      </x:c>
      <x:c r="J35" s="20" t="n">
        <x:v>0.95</x:v>
      </x:c>
      <x:c r="K35" s="13" t="str">
        <x:v>ABD pazarından çıkış ve hukuki sorunlar açık şekilde olumsuz.</x:v>
      </x:c>
      <x:c r="L35" s="13" t="str">
        <x:f>IF(D35=H35,"same","different")</x:f>
        <x:v>same</x:v>
      </x:c>
      <x:c r="M35" s="13" t="str">
        <x:v>ok</x:v>
      </x:c>
      <x:c r="N35" s="13" t="str">
        <x:v>FinBERT ile uyumlu.</x:v>
      </x:c>
    </x:row>
    <x:row r="36" ht="48" customHeight="1">
      <x:c r="A36" s="13" t="str">
        <x:v>REUTERS_ANN_01135</x:v>
      </x:c>
      <x:c r="B36" s="16" t="n">
        <x:v>39049</x:v>
      </x:c>
      <x:c r="C36" s="13" t="n">
        <x:v>-1</x:v>
      </x:c>
      <x:c r="D36" s="13" t="str">
        <x:v>negative</x:v>
      </x:c>
      <x:c r="E36" s="18" t="n">
        <x:v>0.9471929669380188</x:v>
      </x:c>
      <x:c r="F36" s="13" t="str">
        <x:v>corrected pfizer to cut u.s. sales force by 20 percent</x:v>
      </x:c>
      <x:c r="G36" s="13" t="str">
        <x:v>Düzeltilmiş: Pfizer ABD satış gücünü yüzde 20 azaltacak</x:v>
      </x:c>
      <x:c r="H36" s="13" t="str">
        <x:v>negative</x:v>
      </x:c>
      <x:c r="I36" s="13" t="n">
        <x:v>-1</x:v>
      </x:c>
      <x:c r="J36" s="20" t="n">
        <x:v>0.94</x:v>
      </x:c>
      <x:c r="K36" s="13" t="str">
        <x:v>Personel azaltımı ve maliyet baskısı şirket açısından negatif sinyal.</x:v>
      </x:c>
      <x:c r="L36" s="13" t="str">
        <x:f>IF(D36=H36,"same","different")</x:f>
        <x:v>same</x:v>
      </x:c>
      <x:c r="M36" s="13" t="str">
        <x:v>ok</x:v>
      </x:c>
      <x:c r="N36" s="13" t="str">
        <x:v>FinBERT ile uyumlu.</x:v>
      </x:c>
    </x:row>
    <x:row r="37" ht="48" customHeight="1">
      <x:c r="A37" s="13" t="str">
        <x:v>REUTERS_ANN_01136</x:v>
      </x:c>
      <x:c r="B37" s="16" t="n">
        <x:v>39023</x:v>
      </x:c>
      <x:c r="C37" s="13" t="n">
        <x:v>1</x:v>
      </x:c>
      <x:c r="D37" s="13" t="str">
        <x:v>positive</x:v>
      </x:c>
      <x:c r="E37" s="18" t="n">
        <x:v>0.9495418667793274</x:v>
      </x:c>
      <x:c r="F37" s="13" t="str">
        <x:v>update 2-becton profit up, 07 forecast tops wall street</x:v>
      </x:c>
      <x:c r="G37" s="13" t="str">
        <x:v>Becton kârını artırdı, 2007 tahmini Wall Street beklentisini aştı</x:v>
      </x:c>
      <x:c r="H37" s="13" t="str">
        <x:v>positive</x:v>
      </x:c>
      <x:c r="I37" s="13" t="n">
        <x:v>1</x:v>
      </x:c>
      <x:c r="J37" s="20" t="n">
        <x:v>0.95</x:v>
      </x:c>
      <x:c r="K37" s="13" t="str">
        <x:v>Hem kâr artışı hem beklenti üstü tahmin güçlü olumlu göstergedir.</x:v>
      </x:c>
      <x:c r="L37" s="13" t="str">
        <x:f>IF(D37=H37,"same","different")</x:f>
        <x:v>same</x:v>
      </x:c>
      <x:c r="M37" s="13" t="str">
        <x:v>ok</x:v>
      </x:c>
      <x:c r="N37" s="13" t="str">
        <x:v>FinBERT ile uyumlu.</x:v>
      </x:c>
    </x:row>
    <x:row r="38" ht="48" customHeight="1">
      <x:c r="A38" s="13" t="str">
        <x:v>REUTERS_ANN_01137</x:v>
      </x:c>
      <x:c r="B38" s="16" t="n">
        <x:v>39148</x:v>
      </x:c>
      <x:c r="C38" s="13" t="n">
        <x:v>0</x:v>
      </x:c>
      <x:c r="D38" s="13" t="str">
        <x:v>neutral</x:v>
      </x:c>
      <x:c r="E38" s="18" t="n">
        <x:v>0.5788798928260803</x:v>
      </x:c>
      <x:c r="F38" s="13" t="str">
        <x:v>fcc chief questioning xm-sirius deal paper</x:v>
      </x:c>
      <x:c r="G38" s="13" t="str">
        <x:v>Gazeteye göre FCC başkanı XM-Sirius anlaşmasını sorguluyor</x:v>
      </x:c>
      <x:c r="H38" s="13" t="str">
        <x:v>negative</x:v>
      </x:c>
      <x:c r="I38" s="13" t="n">
        <x:v>-1</x:v>
      </x:c>
      <x:c r="J38" s="20" t="n">
        <x:v>0.7</x:v>
      </x:c>
      <x:c r="K38" s="13" t="str">
        <x:v>Düzenleyici sorgulama birleşme açısından risk yaratır.</x:v>
      </x:c>
      <x:c r="L38" s="13" t="str">
        <x:f>IF(D38=H38,"same","different")</x:f>
        <x:v>different</x:v>
      </x:c>
      <x:c r="M38" s="13" t="str">
        <x:v>review</x:v>
      </x:c>
      <x:c r="N38" s="13" t="str">
        <x:v>FinBERT ile farklı; manuel kontrol önerilir.</x:v>
      </x:c>
    </x:row>
    <x:row r="39" ht="48" customHeight="1">
      <x:c r="A39" s="13" t="str">
        <x:v>REUTERS_ANN_01138</x:v>
      </x:c>
      <x:c r="B39" s="16" t="n">
        <x:v>39195</x:v>
      </x:c>
      <x:c r="C39" s="13" t="n">
        <x:v>0</x:v>
      </x:c>
      <x:c r="D39" s="13" t="str">
        <x:v>neutral</x:v>
      </x:c>
      <x:c r="E39" s="18" t="n">
        <x:v>0.9255490899086</x:v>
      </x:c>
      <x:c r="F39" s="13" t="str">
        <x:v>kraft recommends rejection of trc mini-tender</x:v>
      </x:c>
      <x:c r="G39" s="13" t="str">
        <x:v>Kraft, TRC mini ihale teklifinin reddedilmesini tavsiye ediyor</x:v>
      </x:c>
      <x:c r="H39" s="13" t="str">
        <x:v>neutral</x:v>
      </x:c>
      <x:c r="I39" s="13" t="n">
        <x:v>0</x:v>
      </x:c>
      <x:c r="J39" s="20" t="n">
        <x:v>0.78</x:v>
      </x:c>
      <x:c r="K39" s="13" t="str">
        <x:v>Şirketin teklif tavsiyesi süreç niteliğinde; net finansal yön zayıf.</x:v>
      </x:c>
      <x:c r="L39" s="13" t="str">
        <x:f>IF(D39=H39,"same","different")</x:f>
        <x:v>same</x:v>
      </x:c>
      <x:c r="M39" s="13" t="str">
        <x:v>ok</x:v>
      </x:c>
      <x:c r="N39" s="13" t="str">
        <x:v>FinBERT ile uyumlu.</x:v>
      </x:c>
    </x:row>
    <x:row r="40" ht="48" customHeight="1">
      <x:c r="A40" s="13" t="str">
        <x:v>REUTERS_ANN_01139</x:v>
      </x:c>
      <x:c r="B40" s="16" t="n">
        <x:v>39062</x:v>
      </x:c>
      <x:c r="C40" s="13" t="n">
        <x:v>0</x:v>
      </x:c>
      <x:c r="D40" s="13" t="str">
        <x:v>neutral</x:v>
      </x:c>
      <x:c r="E40" s="18" t="n">
        <x:v>0.8949153423309326</x:v>
      </x:c>
      <x:c r="F40" s="13" t="str">
        <x:v>instant view-citigroup names new coo</x:v>
      </x:c>
      <x:c r="G40" s="13" t="str">
        <x:v>Ani değerlendirme: Citigroup yeni COO atadı</x:v>
      </x:c>
      <x:c r="H40" s="13" t="str">
        <x:v>neutral</x:v>
      </x:c>
      <x:c r="I40" s="13" t="n">
        <x:v>0</x:v>
      </x:c>
      <x:c r="J40" s="20" t="n">
        <x:v>0.86</x:v>
      </x:c>
      <x:c r="K40" s="13" t="str">
        <x:v>Yönetici ataması haberidir; kısa vadeli finansal etkisi belirsiz.</x:v>
      </x:c>
      <x:c r="L40" s="13" t="str">
        <x:f>IF(D40=H40,"same","different")</x:f>
        <x:v>same</x:v>
      </x:c>
      <x:c r="M40" s="13" t="str">
        <x:v>ok</x:v>
      </x:c>
      <x:c r="N40" s="13" t="str">
        <x:v>FinBERT ile uyumlu.</x:v>
      </x:c>
    </x:row>
    <x:row r="41" ht="48" customHeight="1">
      <x:c r="A41" s="13" t="str">
        <x:v>REUTERS_ANN_01140</x:v>
      </x:c>
      <x:c r="B41" s="16" t="n">
        <x:v>39028</x:v>
      </x:c>
      <x:c r="C41" s="13" t="n">
        <x:v>-1</x:v>
      </x:c>
      <x:c r="D41" s="13" t="str">
        <x:v>negative</x:v>
      </x:c>
      <x:c r="E41" s="18" t="n">
        <x:v>0.9728103876113892</x:v>
      </x:c>
      <x:c r="F41" s="13" t="str">
        <x:v>tenet loss narrows, but admissions fall</x:v>
      </x:c>
      <x:c r="G41" s="13" t="str">
        <x:v>Tenet’in zararı daraldı ancak hasta kabulleri düştü</x:v>
      </x:c>
      <x:c r="H41" s="13" t="str">
        <x:v>negative</x:v>
      </x:c>
      <x:c r="I41" s="13" t="n">
        <x:v>-1</x:v>
      </x:c>
      <x:c r="J41" s="20" t="n">
        <x:v>0.66</x:v>
      </x:c>
      <x:c r="K41" s="13" t="str">
        <x:v>Zarar daralsa da admissions düşüşü operasyonel zayıflık gösteriyor; genel sinyal hafif negatif.</x:v>
      </x:c>
      <x:c r="L41" s="13" t="str">
        <x:f>IF(D41=H41,"same","different")</x:f>
        <x:v>same</x:v>
      </x:c>
      <x:c r="M41" s="13" t="str">
        <x:v>ok</x:v>
      </x:c>
      <x:c r="N41" s="13" t="str">
        <x:v>FinBERT ile uyumlu.</x:v>
      </x:c>
    </x:row>
    <x:row r="42" ht="48" customHeight="1">
      <x:c r="A42" s="13" t="str">
        <x:v>REUTERS_ANN_01141</x:v>
      </x:c>
      <x:c r="B42" s="16" t="n">
        <x:v>39053</x:v>
      </x:c>
      <x:c r="C42" s="13" t="n">
        <x:v>1</x:v>
      </x:c>
      <x:c r="D42" s="13" t="str">
        <x:v>positive</x:v>
      </x:c>
      <x:c r="E42" s="18" t="n">
        <x:v>0.5104859471321106</x:v>
      </x:c>
      <x:c r="F42" s="13" t="str">
        <x:v>eads gives green light for a350 xwb</x:v>
      </x:c>
      <x:c r="G42" s="13" t="str">
        <x:v>EADS, A350 XWB için yeşil ışık verdi</x:v>
      </x:c>
      <x:c r="H42" s="13" t="str">
        <x:v>positive</x:v>
      </x:c>
      <x:c r="I42" s="13" t="n">
        <x:v>1</x:v>
      </x:c>
      <x:c r="J42" s="20" t="n">
        <x:v>0.73</x:v>
      </x:c>
      <x:c r="K42" s="13" t="str">
        <x:v>Yeni uçak programının onaylanması şirketin büyüme planları açısından olumlu.</x:v>
      </x:c>
      <x:c r="L42" s="13" t="str">
        <x:f>IF(D42=H42,"same","different")</x:f>
        <x:v>same</x:v>
      </x:c>
      <x:c r="M42" s="13" t="str">
        <x:v>ok</x:v>
      </x:c>
      <x:c r="N42" s="13" t="str">
        <x:v>FinBERT ile uyumlu.</x:v>
      </x:c>
    </x:row>
    <x:row r="43" ht="48" customHeight="1">
      <x:c r="A43" s="13" t="str">
        <x:v>REUTERS_ANN_01142</x:v>
      </x:c>
      <x:c r="B43" s="16" t="n">
        <x:v>39129</x:v>
      </x:c>
      <x:c r="C43" s="13" t="n">
        <x:v>1</x:v>
      </x:c>
      <x:c r="D43" s="13" t="str">
        <x:v>positive</x:v>
      </x:c>
      <x:c r="E43" s="18" t="n">
        <x:v>0.9392583966255188</x:v>
      </x:c>
      <x:c r="F43" s="13" t="str">
        <x:v>sierra pacific posts higher quarterly profit</x:v>
      </x:c>
      <x:c r="G43" s="13" t="str">
        <x:v>Sierra Pacific daha yüksek çeyreklik kâr açıkladı</x:v>
      </x:c>
      <x:c r="H43" s="13" t="str">
        <x:v>positive</x:v>
      </x:c>
      <x:c r="I43" s="13" t="n">
        <x:v>1</x:v>
      </x:c>
      <x:c r="J43" s="20" t="n">
        <x:v>0.94</x:v>
      </x:c>
      <x:c r="K43" s="13" t="str">
        <x:v>Kâr artışı net pozitif şirket performansı sinyali.</x:v>
      </x:c>
      <x:c r="L43" s="13" t="str">
        <x:f>IF(D43=H43,"same","different")</x:f>
        <x:v>same</x:v>
      </x:c>
      <x:c r="M43" s="13" t="str">
        <x:v>ok</x:v>
      </x:c>
      <x:c r="N43" s="13" t="str">
        <x:v>FinBERT ile uyumlu.</x:v>
      </x:c>
    </x:row>
    <x:row r="44" ht="48" customHeight="1">
      <x:c r="A44" s="13" t="str">
        <x:v>REUTERS_ANN_01143</x:v>
      </x:c>
      <x:c r="B44" s="16" t="n">
        <x:v>39099</x:v>
      </x:c>
      <x:c r="C44" s="13" t="n">
        <x:v>-1</x:v>
      </x:c>
      <x:c r="D44" s="13" t="str">
        <x:v>negative</x:v>
      </x:c>
      <x:c r="E44" s="18" t="n">
        <x:v>0.6735478043556213</x:v>
      </x:c>
      <x:c r="F44" s="13" t="str">
        <x:v>schwab net income more than doubles</x:v>
      </x:c>
      <x:c r="G44" s="13" t="str">
        <x:v>Schwab’ın net geliri iki kattan fazla arttı</x:v>
      </x:c>
      <x:c r="H44" s="13" t="str">
        <x:v>positive</x:v>
      </x:c>
      <x:c r="I44" s="13" t="n">
        <x:v>1</x:v>
      </x:c>
      <x:c r="J44" s="20" t="n">
        <x:v>0.91</x:v>
      </x:c>
      <x:c r="K44" s="13" t="str">
        <x:v>Net gelirin iki kattan fazla artması güçlü olumlu göstergedir.</x:v>
      </x:c>
      <x:c r="L44" s="13" t="str">
        <x:f>IF(D44=H44,"same","different")</x:f>
        <x:v>different</x:v>
      </x:c>
      <x:c r="M44" s="13" t="str">
        <x:v>review</x:v>
      </x:c>
      <x:c r="N44" s="13" t="str">
        <x:v>FinBERT ile farklı; manuel kontrol önerilir.</x:v>
      </x:c>
    </x:row>
    <x:row r="45" ht="48" customHeight="1">
      <x:c r="A45" s="13" t="str">
        <x:v>REUTERS_ANN_01144</x:v>
      </x:c>
      <x:c r="B45" s="16" t="n">
        <x:v>39185</x:v>
      </x:c>
      <x:c r="C45" s="13" t="n">
        <x:v>-1</x:v>
      </x:c>
      <x:c r="D45" s="13" t="str">
        <x:v>negative</x:v>
      </x:c>
      <x:c r="E45" s="18" t="n">
        <x:v>0.8456689715385437</x:v>
      </x:c>
      <x:c r="F45" s="13" t="str">
        <x:v>sallie mae in talks with private equity reports</x:v>
      </x:c>
      <x:c r="G45" s="13" t="str">
        <x:v>Haberlere göre Sallie Mae özel sermaye şirketleriyle görüşüyor</x:v>
      </x:c>
      <x:c r="H45" s="13" t="str">
        <x:v>positive</x:v>
      </x:c>
      <x:c r="I45" s="13" t="n">
        <x:v>1</x:v>
      </x:c>
      <x:c r="J45" s="20" t="n">
        <x:v>0.68</x:v>
      </x:c>
      <x:c r="K45" s="13" t="str">
        <x:v>Özel sermaye görüşmeleri olası devralma primi beklentisi yaratabilir.</x:v>
      </x:c>
      <x:c r="L45" s="13" t="str">
        <x:f>IF(D45=H45,"same","different")</x:f>
        <x:v>different</x:v>
      </x:c>
      <x:c r="M45" s="13" t="str">
        <x:v>review</x:v>
      </x:c>
      <x:c r="N45" s="13" t="str">
        <x:v>FinBERT ile farklı; manuel kontrol önerilir.</x:v>
      </x:c>
    </x:row>
    <x:row r="46" ht="48" customHeight="1">
      <x:c r="A46" s="13" t="str">
        <x:v>REUTERS_ANN_01145</x:v>
      </x:c>
      <x:c r="B46" s="16" t="n">
        <x:v>39134</x:v>
      </x:c>
      <x:c r="C46" s="13" t="n">
        <x:v>0</x:v>
      </x:c>
      <x:c r="D46" s="13" t="str">
        <x:v>neutral</x:v>
      </x:c>
      <x:c r="E46" s="18" t="n">
        <x:v>0.5086238980293274</x:v>
      </x:c>
      <x:c r="F46" s="13" t="str">
        <x:v>goldman ceo reaped record $54.3 mln in pay in 2006</x:v>
      </x:c>
      <x:c r="G46" s="13" t="str">
        <x:v>Goldman CEO’su 2006’da rekor 54,3 milyon dolar ücret aldı</x:v>
      </x:c>
      <x:c r="H46" s="13" t="str">
        <x:v>neutral</x:v>
      </x:c>
      <x:c r="I46" s="13" t="n">
        <x:v>0</x:v>
      </x:c>
      <x:c r="J46" s="20" t="n">
        <x:v>0.7</x:v>
      </x:c>
      <x:c r="K46" s="13" t="str">
        <x:v>Yönetici ücret bilgisi; şirket performansına dair doğrudan yönlü sinyal zayıf.</x:v>
      </x:c>
      <x:c r="L46" s="13" t="str">
        <x:f>IF(D46=H46,"same","different")</x:f>
        <x:v>same</x:v>
      </x:c>
      <x:c r="M46" s="13" t="str">
        <x:v>ok</x:v>
      </x:c>
      <x:c r="N46" s="13" t="str">
        <x:v>FinBERT ile uyumlu.</x:v>
      </x:c>
    </x:row>
    <x:row r="47" ht="48" customHeight="1">
      <x:c r="A47" s="13" t="str">
        <x:v>REUTERS_ANN_01146</x:v>
      </x:c>
      <x:c r="B47" s="16" t="n">
        <x:v>39056</x:v>
      </x:c>
      <x:c r="C47" s="13" t="n">
        <x:v>1</x:v>
      </x:c>
      <x:c r="D47" s="13" t="str">
        <x:v>positive</x:v>
      </x:c>
      <x:c r="E47" s="18" t="n">
        <x:v>0.9104527831077576</x:v>
      </x:c>
      <x:c r="F47" s="13" t="str">
        <x:v>sanofis acomplia helps in type 2 diabetes study</x:v>
      </x:c>
      <x:c r="G47" s="13" t="str">
        <x:v>Sanofi’nin Acomplia ilacı tip 2 diyabet çalışmasında fayda sağladı</x:v>
      </x:c>
      <x:c r="H47" s="13" t="str">
        <x:v>positive</x:v>
      </x:c>
      <x:c r="I47" s="13" t="n">
        <x:v>1</x:v>
      </x:c>
      <x:c r="J47" s="20" t="n">
        <x:v>0.9</x:v>
      </x:c>
      <x:c r="K47" s="13" t="str">
        <x:v>Olumlu klinik çalışma sonucu ilaç ve şirket beklentileri için pozitif.</x:v>
      </x:c>
      <x:c r="L47" s="13" t="str">
        <x:f>IF(D47=H47,"same","different")</x:f>
        <x:v>same</x:v>
      </x:c>
      <x:c r="M47" s="13" t="str">
        <x:v>ok</x:v>
      </x:c>
      <x:c r="N47" s="13" t="str">
        <x:v>FinBERT ile uyumlu.</x:v>
      </x:c>
    </x:row>
    <x:row r="48" ht="48" customHeight="1">
      <x:c r="A48" s="13" t="str">
        <x:v>REUTERS_ANN_01147</x:v>
      </x:c>
      <x:c r="B48" s="16" t="n">
        <x:v>39149</x:v>
      </x:c>
      <x:c r="C48" s="13" t="n">
        <x:v>-1</x:v>
      </x:c>
      <x:c r="D48" s="13" t="str">
        <x:v>negative</x:v>
      </x:c>
      <x:c r="E48" s="18" t="n">
        <x:v>0.951699197292328</x:v>
      </x:c>
      <x:c r="F48" s="13" t="str">
        <x:v>new century stops lending as lenders pull credit</x:v>
      </x:c>
      <x:c r="G48" s="13" t="str">
        <x:v>Kredi verenler finansmanı çekince New Century kredi vermeyi durdurdu</x:v>
      </x:c>
      <x:c r="H48" s="13" t="str">
        <x:v>negative</x:v>
      </x:c>
      <x:c r="I48" s="13" t="n">
        <x:v>-1</x:v>
      </x:c>
      <x:c r="J48" s="20" t="n">
        <x:v>0.96</x:v>
      </x:c>
      <x:c r="K48" s="13" t="str">
        <x:v>Kredi faaliyetinin durması ciddi finansal baskı ve likidite riski gösterir.</x:v>
      </x:c>
      <x:c r="L48" s="13" t="str">
        <x:f>IF(D48=H48,"same","different")</x:f>
        <x:v>same</x:v>
      </x:c>
      <x:c r="M48" s="13" t="str">
        <x:v>ok</x:v>
      </x:c>
      <x:c r="N48" s="13" t="str">
        <x:v>FinBERT ile uyumlu.</x:v>
      </x:c>
    </x:row>
    <x:row r="49" ht="48" customHeight="1">
      <x:c r="A49" s="13" t="str">
        <x:v>REUTERS_ANN_01148</x:v>
      </x:c>
      <x:c r="B49" s="16" t="n">
        <x:v>39087</x:v>
      </x:c>
      <x:c r="C49" s="13" t="n">
        <x:v>1</x:v>
      </x:c>
      <x:c r="D49" s="13" t="str">
        <x:v>positive</x:v>
      </x:c>
      <x:c r="E49" s="18" t="n">
        <x:v>0.9429189562797546</x:v>
      </x:c>
      <x:c r="F49" s="13" t="str">
        <x:v>qbe to buy winterthur for $1.2 bln</x:v>
      </x:c>
      <x:c r="G49" s="13" t="str">
        <x:v>QBE, Winterthur’u 1,2 milyar dolara satın alacak</x:v>
      </x:c>
      <x:c r="H49" s="13" t="str">
        <x:v>positive</x:v>
      </x:c>
      <x:c r="I49" s="13" t="n">
        <x:v>1</x:v>
      </x:c>
      <x:c r="J49" s="20" t="n">
        <x:v>0.82</x:v>
      </x:c>
      <x:c r="K49" s="13" t="str">
        <x:v>Stratejik satın alma büyüme ve ölçek açısından olumlu yorumlanabilir.</x:v>
      </x:c>
      <x:c r="L49" s="13" t="str">
        <x:f>IF(D49=H49,"same","different")</x:f>
        <x:v>same</x:v>
      </x:c>
      <x:c r="M49" s="13" t="str">
        <x:v>ok</x:v>
      </x:c>
      <x:c r="N49" s="13" t="str">
        <x:v>FinBERT ile uyumlu.</x:v>
      </x:c>
    </x:row>
    <x:row r="50" ht="48" customHeight="1">
      <x:c r="A50" s="13" t="str">
        <x:v>REUTERS_ANN_01149</x:v>
      </x:c>
      <x:c r="B50" s="16" t="n">
        <x:v>39185</x:v>
      </x:c>
      <x:c r="C50" s="13" t="n">
        <x:v>1</x:v>
      </x:c>
      <x:c r="D50" s="13" t="str">
        <x:v>positive</x:v>
      </x:c>
      <x:c r="E50" s="18" t="n">
        <x:v>0.9419917464256288</x:v>
      </x:c>
      <x:c r="F50" s="13" t="str">
        <x:v>producer prices up 1 percent in march</x:v>
      </x:c>
      <x:c r="G50" s="13" t="str">
        <x:v>Üretici fiyatları martta yüzde 1 arttı</x:v>
      </x:c>
      <x:c r="H50" s="13" t="str">
        <x:v>negative</x:v>
      </x:c>
      <x:c r="I50" s="13" t="n">
        <x:v>-1</x:v>
      </x:c>
      <x:c r="J50" s="20" t="n">
        <x:v>0.82</x:v>
      </x:c>
      <x:c r="K50" s="13" t="str">
        <x:v>Üretici fiyatlarındaki artış enflasyon baskısını artırdığı için makro açıdan olumsuz.</x:v>
      </x:c>
      <x:c r="L50" s="13" t="str">
        <x:f>IF(D50=H50,"same","different")</x:f>
        <x:v>different</x:v>
      </x:c>
      <x:c r="M50" s="13" t="str">
        <x:v>review</x:v>
      </x:c>
      <x:c r="N50" s="13" t="str">
        <x:v>FinBERT ile farklı; manuel kontrol önerilir.</x:v>
      </x:c>
    </x:row>
    <x:row r="51" ht="48" customHeight="1">
      <x:c r="A51" s="13" t="str">
        <x:v>REUTERS_ANN_01150</x:v>
      </x:c>
      <x:c r="B51" s="16" t="n">
        <x:v>39164</x:v>
      </x:c>
      <x:c r="C51" s="13" t="n">
        <x:v>0</x:v>
      </x:c>
      <x:c r="D51" s="13" t="str">
        <x:v>neutral</x:v>
      </x:c>
      <x:c r="E51" s="18" t="n">
        <x:v>0.6673201322555542</x:v>
      </x:c>
      <x:c r="F51" s="13" t="str">
        <x:v>carlyle raising $15 bln u.s. buyout fund sources</x:v>
      </x:c>
      <x:c r="G51" s="13" t="str">
        <x:v>Kaynaklara göre Carlyle 15 milyar dolarlık ABD satın alma fonu topluyor</x:v>
      </x:c>
      <x:c r="H51" s="13" t="str">
        <x:v>positive</x:v>
      </x:c>
      <x:c r="I51" s="13" t="n">
        <x:v>1</x:v>
      </x:c>
      <x:c r="J51" s="20" t="n">
        <x:v>0.74</x:v>
      </x:c>
      <x:c r="K51" s="13" t="str">
        <x:v>Büyük fon toplama özel sermaye iştahı ve işlem aktivitesi açısından olumlu.</x:v>
      </x:c>
      <x:c r="L51" s="13" t="str">
        <x:f>IF(D51=H51,"same","different")</x:f>
        <x:v>different</x:v>
      </x:c>
      <x:c r="M51" s="13" t="str">
        <x:v>review</x:v>
      </x:c>
      <x:c r="N51" s="13" t="str">
        <x:v>FinBERT ile farklı; manuel kontrol önerilir.</x:v>
      </x:c>
    </x:row>
  </x:sheetData>
  <x:conditionalFormatting sqref="H2:H51">
    <x:cfRule type="expression" dxfId="0" priority="1">
      <x:formula>H2="positive"</x:formula>
    </x:cfRule>
    <x:cfRule type="expression" dxfId="1" priority="2">
      <x:formula>H2="negative"</x:formula>
    </x:cfRule>
    <x:cfRule type="expression" dxfId="2" priority="3">
      <x:formula>H2="neutral"</x:formula>
    </x:cfRule>
  </x:conditionalFormatting>
  <x:conditionalFormatting sqref="L2:L51">
    <x:cfRule type="expression" dxfId="3" priority="4">
      <x:formula>L2="different"</x:formula>
    </x:cfRule>
    <x:cfRule type="expression" dxfId="4" priority="5">
      <x:formula>L2="same"</x:formula>
    </x:cfRule>
  </x:conditionalFormatting>
  <x:dataValidations count="2">
    <x:dataValidation type="list" sqref="H2:H51">
      <x:formula1>"positive,neutral,negative"</x:formula1>
    </x:dataValidation>
    <x:dataValidation type="list" sqref="M2:M51">
      <x:formula1>"ok,review"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5b1cc85a0d425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</x:cols>
  <x:sheetData>
    <x:row r="1">
      <x:c r="A1" s="32" t="str">
        <x:v>REUTERS Annotation Batch 023</x:v>
      </x:c>
      <x:c r="B1" s="12"/>
      <x:c r="C1" s="12"/>
      <x:c r="D1" s="12"/>
    </x:row>
    <x:row r="2">
      <x:c r="A2" s="12" t="str">
        <x:v>Rows</x:v>
      </x:c>
      <x:c r="B2" s="12" t="str">
        <x:v>1100 - 1149</x:v>
      </x:c>
      <x:c r="C2" s="12"/>
      <x:c r="D2" s="12"/>
    </x:row>
    <x:row r="3">
      <x:c r="A3" s="12" t="str">
        <x:v>Total rows</x:v>
      </x:c>
      <x:c r="B3" s="12" t="n">
        <x:f>COUNTA(annotations!A2:A51)</x:f>
        <x:v>50</x:v>
      </x:c>
      <x:c r="C3" s="12"/>
      <x:c r="D3" s="12"/>
    </x:row>
    <x:row r="4">
      <x:c r="A4" s="12" t="str"/>
      <x:c r="B4" s="12" t="str"/>
      <x:c r="C4" s="12" t="str"/>
      <x:c r="D4" s="12" t="str"/>
    </x:row>
    <x:row r="5">
      <x:c r="A5" s="33" t="str">
        <x:v>ChatGPT label</x:v>
      </x:c>
      <x:c r="B5" s="33" t="str">
        <x:v>Count</x:v>
      </x:c>
      <x:c r="C5" s="33" t="str">
        <x:v>Share</x:v>
      </x:c>
      <x:c r="D5" s="12" t="str"/>
    </x:row>
    <x:row r="6">
      <x:c r="A6" s="12" t="str">
        <x:v>positive</x:v>
      </x:c>
      <x:c r="B6" s="12" t="n">
        <x:f>COUNTIF(annotations!H2:H51,"positive")</x:f>
        <x:v>24</x:v>
      </x:c>
      <x:c r="C6" s="36" t="n">
        <x:f>B6/$B$3</x:f>
        <x:v>0.48</x:v>
      </x:c>
      <x:c r="D6" s="12" t="str"/>
    </x:row>
    <x:row r="7">
      <x:c r="A7" s="12" t="str">
        <x:v>neutral</x:v>
      </x:c>
      <x:c r="B7" s="12" t="n">
        <x:f>COUNTIF(annotations!H2:H51,"neutral")</x:f>
        <x:v>13</x:v>
      </x:c>
      <x:c r="C7" s="36" t="n">
        <x:f>B7/$B$3</x:f>
        <x:v>0.26</x:v>
      </x:c>
      <x:c r="D7" s="12" t="str"/>
    </x:row>
    <x:row r="8">
      <x:c r="A8" s="12" t="str">
        <x:v>negative</x:v>
      </x:c>
      <x:c r="B8" s="12" t="n">
        <x:f>COUNTIF(annotations!H2:H51,"negative")</x:f>
        <x:v>13</x:v>
      </x:c>
      <x:c r="C8" s="36" t="n">
        <x:f>B8/$B$3</x:f>
        <x:v>0.26</x:v>
      </x:c>
      <x:c r="D8" s="12" t="str"/>
    </x:row>
    <x:row r="9">
      <x:c r="A9" s="12" t="str"/>
      <x:c r="B9" s="12" t="str"/>
      <x:c r="C9" s="12" t="str"/>
      <x:c r="D9" s="12" t="str"/>
    </x:row>
    <x:row r="10">
      <x:c r="A10" s="33" t="str">
        <x:v>FinBERT comparison</x:v>
      </x:c>
      <x:c r="B10" s="33" t="str">
        <x:v>Count</x:v>
      </x:c>
      <x:c r="C10" s="33" t="str">
        <x:v>Share</x:v>
      </x:c>
      <x:c r="D10" s="12" t="str"/>
    </x:row>
    <x:row r="11">
      <x:c r="A11" s="12" t="str">
        <x:v>same</x:v>
      </x:c>
      <x:c r="B11" s="12" t="n">
        <x:f>COUNTIF(annotations!L2:L51,"same")</x:f>
        <x:v>32</x:v>
      </x:c>
      <x:c r="C11" s="36" t="n">
        <x:f>B11/$B$3</x:f>
        <x:v>0.64</x:v>
      </x:c>
      <x:c r="D11" s="12" t="str"/>
    </x:row>
    <x:row r="12">
      <x:c r="A12" s="12" t="str">
        <x:v>different</x:v>
      </x:c>
      <x:c r="B12" s="12" t="n">
        <x:f>COUNTIF(annotations!L2:L51,"different")</x:f>
        <x:v>18</x:v>
      </x:c>
      <x:c r="C12" s="36" t="n">
        <x:f>B12/$B$3</x:f>
        <x:v>0.36</x:v>
      </x:c>
      <x:c r="D12" s="12" t="str"/>
    </x:row>
  </x:sheetData>
  <x:mergeCells>
    <x:mergeCell ref="A1:D1"/>
  </x:mergeCells>
  <x:pageMargins left="0.7" right="0.7" top="0.75" bottom="0.75" header="0.3" footer="0.3"/>
  <x:tableParts count="2">
    <x:tablePart xmlns:r="http://schemas.openxmlformats.org/officeDocument/2006/relationships" r:id="Ra3ef45bb79334c3e"/>
    <x:tablePart xmlns:r="http://schemas.openxmlformats.org/officeDocument/2006/relationships" r:id="R73e875fcdc824e6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5" t="str">
        <x:v>Field</x:v>
      </x:c>
      <x:c r="B1" s="5" t="str">
        <x:v>Explanation</x:v>
      </x:c>
    </x:row>
    <x:row r="2">
      <x:c r="A2" t="str">
        <x:v>chatgpt_label</x:v>
      </x:c>
      <x:c r="B2" t="str">
        <x:v>Manual headline-level financial sentiment label assigned from investor/company/market perspective.</x:v>
      </x:c>
    </x:row>
    <x:row r="3">
      <x:c r="A3" t="str">
        <x:v>chatgpt_score</x:v>
      </x:c>
      <x:c r="B3" t="str">
        <x:v>positive = 1, neutral = 0, negative = -1.</x:v>
      </x:c>
    </x:row>
    <x:row r="4">
      <x:c r="A4" t="str">
        <x:v>chatgpt_confidence</x:v>
      </x:c>
      <x:c r="B4" t="str">
        <x:v>Approximate confidence assigned based on how direct the headline signal is.</x:v>
      </x:c>
    </x:row>
    <x:row r="5">
      <x:c r="A5" t="str">
        <x:v>finbert_comparison</x:v>
      </x:c>
      <x:c r="B5" t="str">
        <x:v>Formula: same if FinBERT label equals ChatGPT label, otherwise different.</x:v>
      </x:c>
    </x:row>
    <x:row r="6">
      <x:c r="A6" t="str">
        <x:v>review_priority</x:v>
      </x:c>
      <x:c r="B6" t="str">
        <x:v>review marks rows where FinBERT and ChatGPT differ.</x:v>
      </x:c>
    </x:row>
    <x:row r="7">
      <x:c r="A7" t="str">
        <x:v>translation note</x:v>
      </x:c>
      <x:c r="B7" t="str">
        <x:v>Turkish translations preserve financial meaning rather than literal word-for-word phrasing.</x:v>
      </x:c>
    </x:row>
  </x:sheetData>
  <x:pageMargins left="0.7" right="0.7" top="0.75" bottom="0.75" header="0.3" footer="0.3"/>
  <x:tableParts count="1">
    <x:tablePart xmlns:r="http://schemas.openxmlformats.org/officeDocument/2006/relationships" r:id="R9bfd868dd05a4ab7"/>
  </x:tableParts>
</x:worksheet>
</file>