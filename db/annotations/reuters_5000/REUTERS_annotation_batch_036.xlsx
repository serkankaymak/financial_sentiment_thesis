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a6b4e9070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035dff0182204ecd"/>
    <x:sheet xmlns:r="http://schemas.openxmlformats.org/officeDocument/2006/relationships" name="summary" sheetId="2" r:id="Re595f73a370f4f42"/>
    <x:sheet xmlns:r="http://schemas.openxmlformats.org/officeDocument/2006/relationships" name="labeling_notes" sheetId="3" r:id="R1ce7a5aa949c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1" fillId="2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20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ont>
        <x:color rgb="9C0006"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f2b6b6fc542f0" /><Relationship Type="http://schemas.openxmlformats.org/officeDocument/2006/relationships/theme" Target="/xl/theme/theme1.xml" Id="R8f949890307e4dac" /><Relationship Type="http://schemas.openxmlformats.org/officeDocument/2006/relationships/sharedStrings" Target="/xl/sharedStrings.xml" Id="R844c7e338b724995" /><Relationship Type="http://schemas.openxmlformats.org/officeDocument/2006/relationships/worksheet" Target="/xl/worksheets/sheet1.xml" Id="R035dff0182204ecd" /><Relationship Type="http://schemas.openxmlformats.org/officeDocument/2006/relationships/worksheet" Target="/xl/worksheets/sheet2.xml" Id="Re595f73a370f4f42" /><Relationship Type="http://schemas.openxmlformats.org/officeDocument/2006/relationships/worksheet" Target="/xl/worksheets/sheet3.xml" Id="R1ce7a5aa949c4e78" /></Relationships>
</file>

<file path=xl/tables/table1.xml><?xml version="1.0" encoding="utf-8"?>
<x:table xmlns:x="http://schemas.openxmlformats.org/spreadsheetml/2006/main" id="1" name="AnnotationsTable" displayName="AnnotationsTable" ref="A1:N51" headerRowCount="1">
  <x:tableColumns count="14">
    <x:tableColumn id="1" name="row_no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_en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match"/>
    <x:tableColumn id="14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a99634f8db4b6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0" hidden="0" customWidth="1"/>
    <x:col min="4" max="4" width="13" hidden="0" customWidth="1"/>
    <x:col min="5" max="5" width="14" hidden="0" customWidth="1"/>
    <x:col min="6" max="6" width="18" hidden="0" customWidth="1"/>
    <x:col min="7" max="7" width="42" hidden="0" customWidth="1"/>
    <x:col min="8" max="8" width="42" hidden="0" customWidth="1"/>
    <x:col min="9" max="9" width="16" hidden="0" customWidth="1"/>
    <x:col min="10" max="10" width="14" hidden="0" customWidth="1"/>
    <x:col min="11" max="11" width="18" hidden="0" customWidth="1"/>
    <x:col min="12" max="12" width="48" hidden="0" customWidth="1"/>
    <x:col min="13" max="13" width="18" hidden="0" customWidth="1"/>
    <x:col min="14" max="14" width="32" hidden="0" customWidth="1"/>
  </x:cols>
  <x:sheetData>
    <x:row r="1">
      <x:c r="A1" s="12" t="str">
        <x:v>row_no</x:v>
      </x:c>
      <x:c r="B1" s="12" t="str">
        <x:v>annotation_id</x:v>
      </x:c>
      <x:c r="C1" s="12" t="str">
        <x:v>date</x:v>
      </x:c>
      <x:c r="D1" s="12" t="str">
        <x:v>finbert_score</x:v>
      </x:c>
      <x:c r="E1" s="12" t="str">
        <x:v>finbert_label</x:v>
      </x:c>
      <x:c r="F1" s="12" t="str">
        <x:v>finbert_confidence</x:v>
      </x:c>
      <x:c r="G1" s="12" t="str">
        <x:v>text_en</x:v>
      </x:c>
      <x:c r="H1" s="12" t="str">
        <x:v>text_tr</x:v>
      </x:c>
      <x:c r="I1" s="12" t="str">
        <x:v>chatgpt_label</x:v>
      </x:c>
      <x:c r="J1" s="12" t="str">
        <x:v>chatgpt_score</x:v>
      </x:c>
      <x:c r="K1" s="12" t="str">
        <x:v>chatgpt_confidence</x:v>
      </x:c>
      <x:c r="L1" s="12" t="str">
        <x:v>chatgpt_reason_tr</x:v>
      </x:c>
      <x:c r="M1" s="12" t="str">
        <x:v>finbert_match</x:v>
      </x:c>
      <x:c r="N1" s="12" t="str">
        <x:v>review_note</x:v>
      </x:c>
    </x:row>
    <x:row r="2">
      <x:c r="A2" s="13" t="n">
        <x:v>1</x:v>
      </x:c>
      <x:c r="B2" s="13" t="str">
        <x:v>REUTERS_ANN_01751</x:v>
      </x:c>
      <x:c r="C2" s="13" t="str">
        <x:v>2006-11-14 00:00:00</x:v>
      </x:c>
      <x:c r="D2" s="13" t="n">
        <x:v>1</x:v>
      </x:c>
      <x:c r="E2" s="13" t="str">
        <x:v>positive</x:v>
      </x:c>
      <x:c r="F2" s="13" t="n">
        <x:v>0.5185015797615051</x:v>
      </x:c>
      <x:c r="G2" s="13" t="str">
        <x:v>automakers say need action on weak yen</x:v>
      </x:c>
      <x:c r="H2" s="13" t="str">
        <x:v>Otomobil üreticileri zayıf yene karşı adım atılması gerektiğini söylüyor</x:v>
      </x:c>
      <x:c r="I2" s="13" t="str">
        <x:v>negative</x:v>
      </x:c>
      <x:c r="J2" s="13" t="n">
        <x:v>-1</x:v>
      </x:c>
      <x:c r="K2" s="13" t="n">
        <x:v>0.78</x:v>
      </x:c>
      <x:c r="L2" s="13" t="str">
        <x:v>Zayıf yenin rekabet baskısı yaratması ve sektörün müdahale talebi olumsuz sinyal veriyor.</x:v>
      </x:c>
      <x:c r="M2" s="13" t="str">
        <x:f>IF(E2=I2,"same","different_review")</x:f>
        <x:v>different_review</x:v>
      </x:c>
      <x:c r="N2" s="13" t="str">
        <x:f>IF(M2="same","","FinBERT label differs; review if needed")</x:f>
        <x:v>FinBERT label differs; review if needed</x:v>
      </x:c>
    </x:row>
    <x:row r="3">
      <x:c r="A3" s="13" t="n">
        <x:v>2</x:v>
      </x:c>
      <x:c r="B3" s="13" t="str">
        <x:v>REUTERS_ANN_01752</x:v>
      </x:c>
      <x:c r="C3" s="13" t="str">
        <x:v>2006-12-15 00:00:00</x:v>
      </x:c>
      <x:c r="D3" s="13" t="n">
        <x:v>1</x:v>
      </x:c>
      <x:c r="E3" s="13" t="str">
        <x:v>positive</x:v>
      </x:c>
      <x:c r="F3" s="13" t="n">
        <x:v>0.5943183302879333</x:v>
      </x:c>
      <x:c r="G3" s="13" t="str">
        <x:v>consumer prices flat in november</x:v>
      </x:c>
      <x:c r="H3" s="13" t="str">
        <x:v>Kasım ayında tüketici fiyatları yatay seyretti</x:v>
      </x:c>
      <x:c r="I3" s="13" t="str">
        <x:v>positive</x:v>
      </x:c>
      <x:c r="J3" s="13" t="n">
        <x:v>1</x:v>
      </x:c>
      <x:c r="K3" s="13" t="n">
        <x:v>0.7</x:v>
      </x:c>
      <x:c r="L3" s="13" t="str">
        <x:v>Enflasyonun artmaması piyasalar açısından olumlu ama güçlü bir büyüme sinyali değil.</x:v>
      </x:c>
      <x:c r="M3" s="13" t="str">
        <x:f>IF(E3=I3,"same","different_review")</x:f>
        <x:v>same</x:v>
      </x:c>
      <x:c r="N3" s="13" t="str">
        <x:f>IF(M3="same","","FinBERT label differs; review if needed")</x:f>
      </x:c>
    </x:row>
    <x:row r="4">
      <x:c r="A4" s="13" t="n">
        <x:v>3</x:v>
      </x:c>
      <x:c r="B4" s="13" t="str">
        <x:v>REUTERS_ANN_01753</x:v>
      </x:c>
      <x:c r="C4" s="13" t="str">
        <x:v>2006-11-10 00:00:00</x:v>
      </x:c>
      <x:c r="D4" s="13" t="n">
        <x:v>-1</x:v>
      </x:c>
      <x:c r="E4" s="13" t="str">
        <x:v>negative</x:v>
      </x:c>
      <x:c r="F4" s="13" t="n">
        <x:v>0.9716804027557372</x:v>
      </x:c>
      <x:c r="G4" s="13" t="str">
        <x:v>scottish re posts loss sale deal possible in weeks</x:v>
      </x:c>
      <x:c r="H4" s="13" t="str">
        <x:v>Scottish Re zarar açıkladı; satış anlaşması haftalar içinde mümkün</x:v>
      </x:c>
      <x:c r="I4" s="13" t="str">
        <x:v>negative</x:v>
      </x:c>
      <x:c r="J4" s="13" t="n">
        <x:v>-1</x:v>
      </x:c>
      <x:c r="K4" s="13" t="n">
        <x:v>0.92</x:v>
      </x:c>
      <x:c r="L4" s="13" t="str">
        <x:v>Zarar açıklaması ana sinyal; olası satış yalnızca kısmi dengeleyici.</x:v>
      </x:c>
      <x:c r="M4" s="13" t="str">
        <x:f>IF(E4=I4,"same","different_review")</x:f>
        <x:v>same</x:v>
      </x:c>
      <x:c r="N4" s="13" t="str">
        <x:f>IF(M4="same","","FinBERT label differs; review if needed")</x:f>
      </x:c>
    </x:row>
    <x:row r="5">
      <x:c r="A5" s="13" t="n">
        <x:v>4</x:v>
      </x:c>
      <x:c r="B5" s="13" t="str">
        <x:v>REUTERS_ANN_01754</x:v>
      </x:c>
      <x:c r="C5" s="13" t="str">
        <x:v>2007-04-17 00:00:00</x:v>
      </x:c>
      <x:c r="D5" s="13" t="n">
        <x:v>1</x:v>
      </x:c>
      <x:c r="E5" s="13" t="str">
        <x:v>positive</x:v>
      </x:c>
      <x:c r="F5" s="13" t="n">
        <x:v>0.9451655745506288</x:v>
      </x:c>
      <x:c r="G5" s="13" t="str">
        <x:v>intel quarterly profit helped by tax item</x:v>
      </x:c>
      <x:c r="H5" s="13" t="str">
        <x:v>Intel’in çeyrek kârına vergi kalemi destek verdi</x:v>
      </x:c>
      <x:c r="I5" s="13" t="str">
        <x:v>positive</x:v>
      </x:c>
      <x:c r="J5" s="13" t="n">
        <x:v>1</x:v>
      </x:c>
      <x:c r="K5" s="13" t="n">
        <x:v>0.78</x:v>
      </x:c>
      <x:c r="L5" s="13" t="str">
        <x:v>Kârın desteklenmesi olumlu; ancak tek seferlik vergi etkisi güveni sınırlıyor.</x:v>
      </x:c>
      <x:c r="M5" s="13" t="str">
        <x:f>IF(E5=I5,"same","different_review")</x:f>
        <x:v>same</x:v>
      </x:c>
      <x:c r="N5" s="13" t="str">
        <x:f>IF(M5="same","","FinBERT label differs; review if needed")</x:f>
      </x:c>
    </x:row>
    <x:row r="6">
      <x:c r="A6" s="13" t="n">
        <x:v>5</x:v>
      </x:c>
      <x:c r="B6" s="13" t="str">
        <x:v>REUTERS_ANN_01755</x:v>
      </x:c>
      <x:c r="C6" s="13" t="str">
        <x:v>2007-03-14 00:00:00</x:v>
      </x:c>
      <x:c r="D6" s="13" t="n">
        <x:v>-1</x:v>
      </x:c>
      <x:c r="E6" s="13" t="str">
        <x:v>negative</x:v>
      </x:c>
      <x:c r="F6" s="13" t="n">
        <x:v>0.7946366667747498</x:v>
      </x:c>
      <x:c r="G6" s="13" t="str">
        <x:v>angered u.s. firm excludes thailand from new drugs</x:v>
      </x:c>
      <x:c r="H6" s="13" t="str">
        <x:v>Öfkeli ABD’li şirket Tayland’ı yeni ilaçlardan hariç tutuyor</x:v>
      </x:c>
      <x:c r="I6" s="13" t="str">
        <x:v>negative</x:v>
      </x:c>
      <x:c r="J6" s="13" t="n">
        <x:v>-1</x:v>
      </x:c>
      <x:c r="K6" s="13" t="n">
        <x:v>0.86</x:v>
      </x:c>
      <x:c r="L6" s="13" t="str">
        <x:v>İlaç erişimi ve şirket-ülke gerilimi olumsuz bir haber akışı oluşturuyor.</x:v>
      </x:c>
      <x:c r="M6" s="13" t="str">
        <x:f>IF(E6=I6,"same","different_review")</x:f>
        <x:v>same</x:v>
      </x:c>
      <x:c r="N6" s="13" t="str">
        <x:f>IF(M6="same","","FinBERT label differs; review if needed")</x:f>
      </x:c>
    </x:row>
    <x:row r="7">
      <x:c r="A7" s="13" t="n">
        <x:v>6</x:v>
      </x:c>
      <x:c r="B7" s="13" t="str">
        <x:v>REUTERS_ANN_01756</x:v>
      </x:c>
      <x:c r="C7" s="13" t="str">
        <x:v>2006-12-05 00:00:00</x:v>
      </x:c>
      <x:c r="D7" s="13" t="n">
        <x:v>-1</x:v>
      </x:c>
      <x:c r="E7" s="13" t="str">
        <x:v>negative</x:v>
      </x:c>
      <x:c r="F7" s="13" t="n">
        <x:v>0.8148517608642578</x:v>
      </x:c>
      <x:c r="G7" s="13" t="str">
        <x:v>taco bell parent says e.coli no longer in outlets</x:v>
      </x:c>
      <x:c r="H7" s="13" t="str">
        <x:v>Taco Bell’in ana şirketi, E. coli’nin artık restoranlarda olmadığını söylüyor</x:v>
      </x:c>
      <x:c r="I7" s="13" t="str">
        <x:v>positive</x:v>
      </x:c>
      <x:c r="J7" s="13" t="n">
        <x:v>1</x:v>
      </x:c>
      <x:c r="K7" s="13" t="n">
        <x:v>0.66</x:v>
      </x:c>
      <x:c r="L7" s="13" t="str">
        <x:v>Gıda güvenliği sorununun giderildiği mesajı toparlanma açısından olumlu.</x:v>
      </x:c>
      <x:c r="M7" s="13" t="str">
        <x:f>IF(E7=I7,"same","different_review")</x:f>
        <x:v>different_review</x:v>
      </x:c>
      <x:c r="N7" s="13" t="str">
        <x:f>IF(M7="same","","FinBERT label differs; review if needed")</x:f>
        <x:v>FinBERT label differs; review if needed</x:v>
      </x:c>
    </x:row>
    <x:row r="8">
      <x:c r="A8" s="13" t="n">
        <x:v>7</x:v>
      </x:c>
      <x:c r="B8" s="13" t="str">
        <x:v>REUTERS_ANN_01757</x:v>
      </x:c>
      <x:c r="C8" s="13" t="str">
        <x:v>2007-05-01 00:00:00</x:v>
      </x:c>
      <x:c r="D8" s="13" t="n">
        <x:v>-1</x:v>
      </x:c>
      <x:c r="E8" s="13" t="str">
        <x:v>negative</x:v>
      </x:c>
      <x:c r="F8" s="13" t="n">
        <x:v>0.8612052202224731</x:v>
      </x:c>
      <x:c r="G8" s="13" t="str">
        <x:v>senior democrat says wolfowitz should step down</x:v>
      </x:c>
      <x:c r="H8" s="13" t="str">
        <x:v>Kıdemli Demokrat, Wolfowitz’in istifa etmesi gerektiğini söylüyor</x:v>
      </x:c>
      <x:c r="I8" s="13" t="str">
        <x:v>negative</x:v>
      </x:c>
      <x:c r="J8" s="13" t="n">
        <x:v>-1</x:v>
      </x:c>
      <x:c r="K8" s="13" t="n">
        <x:v>0.84</x:v>
      </x:c>
      <x:c r="L8" s="13" t="str">
        <x:v>Yönetim krizi ve istifa çağrısı kurum açısından olumsuz.</x:v>
      </x:c>
      <x:c r="M8" s="13" t="str">
        <x:f>IF(E8=I8,"same","different_review")</x:f>
        <x:v>same</x:v>
      </x:c>
      <x:c r="N8" s="13" t="str">
        <x:f>IF(M8="same","","FinBERT label differs; review if needed")</x:f>
      </x:c>
    </x:row>
    <x:row r="9">
      <x:c r="A9" s="13" t="n">
        <x:v>8</x:v>
      </x:c>
      <x:c r="B9" s="13" t="str">
        <x:v>REUTERS_ANN_01758</x:v>
      </x:c>
      <x:c r="C9" s="13" t="str">
        <x:v>2007-04-12 00:00:00</x:v>
      </x:c>
      <x:c r="D9" s="13" t="n">
        <x:v>-1</x:v>
      </x:c>
      <x:c r="E9" s="13" t="str">
        <x:v>negative</x:v>
      </x:c>
      <x:c r="F9" s="13" t="n">
        <x:v>0.9703963994979858</x:v>
      </x:c>
      <x:c r="G9" s="13" t="str">
        <x:v>rite aid profit falls, sees coutu deal closing may</x:v>
      </x:c>
      <x:c r="H9" s="13" t="str">
        <x:v>Rite Aid’in kârı düştü; Coutu anlaşmasının Mayıs’ta kapanmasını bekliyor</x:v>
      </x:c>
      <x:c r="I9" s="13" t="str">
        <x:v>negative</x:v>
      </x:c>
      <x:c r="J9" s="13" t="n">
        <x:v>-1</x:v>
      </x:c>
      <x:c r="K9" s="13" t="n">
        <x:v>0.84</x:v>
      </x:c>
      <x:c r="L9" s="13" t="str">
        <x:v>Kâr düşüşü ana finansal sinyal; anlaşma beklentisi olumsuzluğu tamamen kapatmıyor.</x:v>
      </x:c>
      <x:c r="M9" s="13" t="str">
        <x:f>IF(E9=I9,"same","different_review")</x:f>
        <x:v>same</x:v>
      </x:c>
      <x:c r="N9" s="13" t="str">
        <x:f>IF(M9="same","","FinBERT label differs; review if needed")</x:f>
      </x:c>
    </x:row>
    <x:row r="10">
      <x:c r="A10" s="13" t="n">
        <x:v>9</x:v>
      </x:c>
      <x:c r="B10" s="13" t="str">
        <x:v>REUTERS_ANN_01759</x:v>
      </x:c>
      <x:c r="C10" s="13" t="str">
        <x:v>2006-11-14 00:00:00</x:v>
      </x:c>
      <x:c r="D10" s="13" t="n">
        <x:v>-1</x:v>
      </x:c>
      <x:c r="E10" s="13" t="str">
        <x:v>negative</x:v>
      </x:c>
      <x:c r="F10" s="13" t="n">
        <x:v>0.9758859276771544</x:v>
      </x:c>
      <x:c r="G10" s="13" t="str">
        <x:v>eddie bauer profit, sales fall</x:v>
      </x:c>
      <x:c r="H10" s="13" t="str">
        <x:v>Eddie Bauer’ın kârı ve satışları düştü</x:v>
      </x:c>
      <x:c r="I10" s="13" t="str">
        <x:v>negative</x:v>
      </x:c>
      <x:c r="J10" s="13" t="n">
        <x:v>-1</x:v>
      </x:c>
      <x:c r="K10" s="13" t="n">
        <x:v>0.95</x:v>
      </x:c>
      <x:c r="L10" s="13" t="str">
        <x:v>Hem kâr hem satış düşüşü açık biçimde olumsuz.</x:v>
      </x:c>
      <x:c r="M10" s="13" t="str">
        <x:f>IF(E10=I10,"same","different_review")</x:f>
        <x:v>same</x:v>
      </x:c>
      <x:c r="N10" s="13" t="str">
        <x:f>IF(M10="same","","FinBERT label differs; review if needed")</x:f>
      </x:c>
    </x:row>
    <x:row r="11">
      <x:c r="A11" s="13" t="n">
        <x:v>10</x:v>
      </x:c>
      <x:c r="B11" s="13" t="str">
        <x:v>REUTERS_ANN_01760</x:v>
      </x:c>
      <x:c r="C11" s="13" t="str">
        <x:v>2006-11-24 00:00:00</x:v>
      </x:c>
      <x:c r="D11" s="13" t="n">
        <x:v>-1</x:v>
      </x:c>
      <x:c r="E11" s="13" t="str">
        <x:v>negative</x:v>
      </x:c>
      <x:c r="F11" s="13" t="n">
        <x:v>0.4987210035324096</x:v>
      </x:c>
      <x:c r="G11" s="13" t="str">
        <x:v>oil rallies towards $60 on nigeria, dollar</x:v>
      </x:c>
      <x:c r="H11" s="13" t="str">
        <x:v>Petrol Nijerya ve dolar etkisiyle 60 dolara doğru yükseliyor</x:v>
      </x:c>
      <x:c r="I11" s="13" t="str">
        <x:v>positive</x:v>
      </x:c>
      <x:c r="J11" s="13" t="n">
        <x:v>1</x:v>
      </x:c>
      <x:c r="K11" s="13" t="n">
        <x:v>0.68</x:v>
      </x:c>
      <x:c r="L11" s="13" t="str">
        <x:v>Petrol fiyatındaki yükseliş emtia/enerji piyasası açısından pozitif fiyat hareketidir.</x:v>
      </x:c>
      <x:c r="M11" s="13" t="str">
        <x:f>IF(E11=I11,"same","different_review")</x:f>
        <x:v>different_review</x:v>
      </x:c>
      <x:c r="N11" s="13" t="str">
        <x:f>IF(M11="same","","FinBERT label differs; review if needed")</x:f>
        <x:v>FinBERT label differs; review if needed</x:v>
      </x:c>
    </x:row>
    <x:row r="12">
      <x:c r="A12" s="13" t="n">
        <x:v>11</x:v>
      </x:c>
      <x:c r="B12" s="13" t="str">
        <x:v>REUTERS_ANN_01761</x:v>
      </x:c>
      <x:c r="C12" s="13" t="str">
        <x:v>2007-04-15 00:00:00</x:v>
      </x:c>
      <x:c r="D12" s="13" t="n">
        <x:v>0</x:v>
      </x:c>
      <x:c r="E12" s="13" t="str">
        <x:v>neutral</x:v>
      </x:c>
      <x:c r="F12" s="13" t="n">
        <x:v>0.695388913154602</x:v>
      </x:c>
      <x:c r="G12" s="13" t="str">
        <x:v>global aid ministers discuss wolfowitz controversy</x:v>
      </x:c>
      <x:c r="H12" s="13" t="str">
        <x:v>Küresel yardım bakanları Wolfowitz tartışmasını ele alıyor</x:v>
      </x:c>
      <x:c r="I12" s="13" t="str">
        <x:v>negative</x:v>
      </x:c>
      <x:c r="J12" s="13" t="n">
        <x:v>-1</x:v>
      </x:c>
      <x:c r="K12" s="13" t="n">
        <x:v>0.63</x:v>
      </x:c>
      <x:c r="L12" s="13" t="str">
        <x:v>Tartışma ve yönetim krizi vurgusu nedeniyle ton hafif olumsuz.</x:v>
      </x:c>
      <x:c r="M12" s="13" t="str">
        <x:f>IF(E12=I12,"same","different_review")</x:f>
        <x:v>different_review</x:v>
      </x:c>
      <x:c r="N12" s="13" t="str">
        <x:f>IF(M12="same","","FinBERT label differs; review if needed")</x:f>
        <x:v>FinBERT label differs; review if needed</x:v>
      </x:c>
    </x:row>
    <x:row r="13">
      <x:c r="A13" s="13" t="n">
        <x:v>12</x:v>
      </x:c>
      <x:c r="B13" s="13" t="str">
        <x:v>REUTERS_ANN_01762</x:v>
      </x:c>
      <x:c r="C13" s="13" t="str">
        <x:v>2007-03-30 00:00:00</x:v>
      </x:c>
      <x:c r="D13" s="13" t="n">
        <x:v>1</x:v>
      </x:c>
      <x:c r="E13" s="13" t="str">
        <x:v>positive</x:v>
      </x:c>
      <x:c r="F13" s="13" t="n">
        <x:v>0.5199719667434692</x:v>
      </x:c>
      <x:c r="G13" s="13" t="str">
        <x:v>u.s. data may propel stocks higher</x:v>
      </x:c>
      <x:c r="H13" s="13" t="str">
        <x:v>ABD verileri hisse senetlerini yukarı taşıyabilir</x:v>
      </x:c>
      <x:c r="I13" s="13" t="str">
        <x:v>positive</x:v>
      </x:c>
      <x:c r="J13" s="13" t="n">
        <x:v>1</x:v>
      </x:c>
      <x:c r="K13" s="13" t="n">
        <x:v>0.82</x:v>
      </x:c>
      <x:c r="L13" s="13" t="str">
        <x:v>Verilerin hisse piyasasını yukarı itebileceği beklentisi olumlu.</x:v>
      </x:c>
      <x:c r="M13" s="13" t="str">
        <x:f>IF(E13=I13,"same","different_review")</x:f>
        <x:v>same</x:v>
      </x:c>
      <x:c r="N13" s="13" t="str">
        <x:f>IF(M13="same","","FinBERT label differs; review if needed")</x:f>
      </x:c>
    </x:row>
    <x:row r="14">
      <x:c r="A14" s="13" t="n">
        <x:v>13</x:v>
      </x:c>
      <x:c r="B14" s="13" t="str">
        <x:v>REUTERS_ANN_01763</x:v>
      </x:c>
      <x:c r="C14" s="13" t="str">
        <x:v>2007-03-14 00:00:00</x:v>
      </x:c>
      <x:c r="D14" s="13" t="n">
        <x:v>1</x:v>
      </x:c>
      <x:c r="E14" s="13" t="str">
        <x:v>positive</x:v>
      </x:c>
      <x:c r="F14" s="13" t="n">
        <x:v>0.9500020146369934</x:v>
      </x:c>
      <x:c r="G14" s="13" t="str">
        <x:v>jcdecaux 06 net up 4.1 pct, sees 07 revenue growth</x:v>
      </x:c>
      <x:c r="H14" s="13" t="str">
        <x:v>JCDecaux’nun 2006 net kârı yüzde 4,1 arttı; 2007 gelir büyümesi bekliyor</x:v>
      </x:c>
      <x:c r="I14" s="13" t="str">
        <x:v>positive</x:v>
      </x:c>
      <x:c r="J14" s="13" t="n">
        <x:v>1</x:v>
      </x:c>
      <x:c r="K14" s="13" t="n">
        <x:v>0.94</x:v>
      </x:c>
      <x:c r="L14" s="13" t="str">
        <x:v>Kâr artışı ve gelir büyümesi beklentisi güçlü olumlu sinyal.</x:v>
      </x:c>
      <x:c r="M14" s="13" t="str">
        <x:f>IF(E14=I14,"same","different_review")</x:f>
        <x:v>same</x:v>
      </x:c>
      <x:c r="N14" s="13" t="str">
        <x:f>IF(M14="same","","FinBERT label differs; review if needed")</x:f>
      </x:c>
    </x:row>
    <x:row r="15">
      <x:c r="A15" s="13" t="n">
        <x:v>14</x:v>
      </x:c>
      <x:c r="B15" s="13" t="str">
        <x:v>REUTERS_ANN_01764</x:v>
      </x:c>
      <x:c r="C15" s="13" t="str">
        <x:v>2007-04-16 00:00:00</x:v>
      </x:c>
      <x:c r="D15" s="13" t="n">
        <x:v>0</x:v>
      </x:c>
      <x:c r="E15" s="13" t="str">
        <x:v>neutral</x:v>
      </x:c>
      <x:c r="F15" s="13" t="n">
        <x:v>0.5181592702865601</x:v>
      </x:c>
      <x:c r="G15" s="13" t="str">
        <x:v>factbox-list of 91st pulitzer prizes</x:v>
      </x:c>
      <x:c r="H15" s="13" t="str">
        <x:v>Bilgi kutusu: 91. Pulitzer ödüllerinin listesi</x:v>
      </x:c>
      <x:c r="I15" s="13" t="str">
        <x:v>neutral</x:v>
      </x:c>
      <x:c r="J15" s="13" t="n">
        <x:v>0</x:v>
      </x:c>
      <x:c r="K15" s="13" t="n">
        <x:v>0.97</x:v>
      </x:c>
      <x:c r="L15" s="13" t="str">
        <x:v>Finansal performans ya da piyasa yönü içermeyen bilgi amaçlı başlık.</x:v>
      </x:c>
      <x:c r="M15" s="13" t="str">
        <x:f>IF(E15=I15,"same","different_review")</x:f>
        <x:v>same</x:v>
      </x:c>
      <x:c r="N15" s="13" t="str">
        <x:f>IF(M15="same","","FinBERT label differs; review if needed")</x:f>
      </x:c>
    </x:row>
    <x:row r="16">
      <x:c r="A16" s="13" t="n">
        <x:v>15</x:v>
      </x:c>
      <x:c r="B16" s="13" t="str">
        <x:v>REUTERS_ANN_01765</x:v>
      </x:c>
      <x:c r="C16" s="13" t="str">
        <x:v>2006-12-27 00:00:00</x:v>
      </x:c>
      <x:c r="D16" s="13" t="n">
        <x:v>1</x:v>
      </x:c>
      <x:c r="E16" s="13" t="str">
        <x:v>positive</x:v>
      </x:c>
      <x:c r="F16" s="13" t="n">
        <x:v>0.5102328062057495</x:v>
      </x:c>
      <x:c r="G16" s="13" t="str">
        <x:v>hcc completes review, reports earnings</x:v>
      </x:c>
      <x:c r="H16" s="13" t="str">
        <x:v>HCC incelemeyi tamamladı ve kazançlarını açıkladı</x:v>
      </x:c>
      <x:c r="I16" s="13" t="str">
        <x:v>neutral</x:v>
      </x:c>
      <x:c r="J16" s="13" t="n">
        <x:v>0</x:v>
      </x:c>
      <x:c r="K16" s="13" t="n">
        <x:v>0.72</x:v>
      </x:c>
      <x:c r="L16" s="13" t="str">
        <x:v>İncelemenin tamamlanması ve kazanç açıklaması yön belirtmiyor.</x:v>
      </x:c>
      <x:c r="M16" s="13" t="str">
        <x:f>IF(E16=I16,"same","different_review")</x:f>
        <x:v>different_review</x:v>
      </x:c>
      <x:c r="N16" s="13" t="str">
        <x:f>IF(M16="same","","FinBERT label differs; review if needed")</x:f>
        <x:v>FinBERT label differs; review if needed</x:v>
      </x:c>
    </x:row>
    <x:row r="17">
      <x:c r="A17" s="13" t="n">
        <x:v>16</x:v>
      </x:c>
      <x:c r="B17" s="13" t="str">
        <x:v>REUTERS_ANN_01766</x:v>
      </x:c>
      <x:c r="C17" s="13" t="str">
        <x:v>2006-12-28 00:00:00</x:v>
      </x:c>
      <x:c r="D17" s="13" t="n">
        <x:v>1</x:v>
      </x:c>
      <x:c r="E17" s="13" t="str">
        <x:v>positive</x:v>
      </x:c>
      <x:c r="F17" s="13" t="n">
        <x:v>0.6921821236610413</x:v>
      </x:c>
      <x:c r="G17" s="13" t="str">
        <x:v>us airways ceo says delta offer stands</x:v>
      </x:c>
      <x:c r="H17" s="13" t="str">
        <x:v>US Airways CEO’su Delta teklifinin geçerliliğini koruduğunu söylüyor</x:v>
      </x:c>
      <x:c r="I17" s="13" t="str">
        <x:v>neutral</x:v>
      </x:c>
      <x:c r="J17" s="13" t="n">
        <x:v>0</x:v>
      </x:c>
      <x:c r="K17" s="13" t="n">
        <x:v>0.7</x:v>
      </x:c>
      <x:c r="L17" s="13" t="str">
        <x:v>Teklifin devam ettiği bilgisi var; fiyat veya başarı yönü net değil.</x:v>
      </x:c>
      <x:c r="M17" s="13" t="str">
        <x:f>IF(E17=I17,"same","different_review")</x:f>
        <x:v>different_review</x:v>
      </x:c>
      <x:c r="N17" s="13" t="str">
        <x:f>IF(M17="same","","FinBERT label differs; review if needed")</x:f>
        <x:v>FinBERT label differs; review if needed</x:v>
      </x:c>
    </x:row>
    <x:row r="18">
      <x:c r="A18" s="13" t="n">
        <x:v>17</x:v>
      </x:c>
      <x:c r="B18" s="13" t="str">
        <x:v>REUTERS_ANN_01767</x:v>
      </x:c>
      <x:c r="C18" s="13" t="str">
        <x:v>2006-11-07 00:00:00</x:v>
      </x:c>
      <x:c r="D18" s="13" t="n">
        <x:v>0</x:v>
      </x:c>
      <x:c r="E18" s="13" t="str">
        <x:v>neutral</x:v>
      </x:c>
      <x:c r="F18" s="13" t="n">
        <x:v>0.671457052230835</x:v>
      </x:c>
      <x:c r="G18" s="13" t="str">
        <x:v>mcdonalds asia chief not satisfied with china unit</x:v>
      </x:c>
      <x:c r="H18" s="13" t="str">
        <x:v>McDonald’s’ın Asya şefi Çin biriminden memnun değil</x:v>
      </x:c>
      <x:c r="I18" s="13" t="str">
        <x:v>negative</x:v>
      </x:c>
      <x:c r="J18" s="13" t="n">
        <x:v>-1</x:v>
      </x:c>
      <x:c r="K18" s="13" t="n">
        <x:v>0.8</x:v>
      </x:c>
      <x:c r="L18" s="13" t="str">
        <x:v>Birimin performansından memnuniyetsizlik olumsuz operasyonel sinyal.</x:v>
      </x:c>
      <x:c r="M18" s="13" t="str">
        <x:f>IF(E18=I18,"same","different_review")</x:f>
        <x:v>different_review</x:v>
      </x:c>
      <x:c r="N18" s="13" t="str">
        <x:f>IF(M18="same","","FinBERT label differs; review if needed")</x:f>
        <x:v>FinBERT label differs; review if needed</x:v>
      </x:c>
    </x:row>
    <x:row r="19">
      <x:c r="A19" s="13" t="n">
        <x:v>18</x:v>
      </x:c>
      <x:c r="B19" s="13" t="str">
        <x:v>REUTERS_ANN_01768</x:v>
      </x:c>
      <x:c r="C19" s="13" t="str">
        <x:v>2007-01-08 00:00:00</x:v>
      </x:c>
      <x:c r="D19" s="13" t="n">
        <x:v>0</x:v>
      </x:c>
      <x:c r="E19" s="13" t="str">
        <x:v>neutral</x:v>
      </x:c>
      <x:c r="F19" s="13" t="n">
        <x:v>0.8521156907081604</x:v>
      </x:c>
      <x:c r="G19" s="13" t="str">
        <x:v>venezuela wants majority in orinoco oil projects</x:v>
      </x:c>
      <x:c r="H19" s="13" t="str">
        <x:v>Venezuela Orinoco petrol projelerinde çoğunluk payı istiyor</x:v>
      </x:c>
      <x:c r="I19" s="13" t="str">
        <x:v>negative</x:v>
      </x:c>
      <x:c r="J19" s="13" t="n">
        <x:v>-1</x:v>
      </x:c>
      <x:c r="K19" s="13" t="n">
        <x:v>0.76</x:v>
      </x:c>
      <x:c r="L19" s="13" t="str">
        <x:v>Devlet kontrolünün artması yabancı şirketler ve yatırımcılar için risk oluşturuyor.</x:v>
      </x:c>
      <x:c r="M19" s="13" t="str">
        <x:f>IF(E19=I19,"same","different_review")</x:f>
        <x:v>different_review</x:v>
      </x:c>
      <x:c r="N19" s="13" t="str">
        <x:f>IF(M19="same","","FinBERT label differs; review if needed")</x:f>
        <x:v>FinBERT label differs; review if needed</x:v>
      </x:c>
    </x:row>
    <x:row r="20">
      <x:c r="A20" s="13" t="n">
        <x:v>19</x:v>
      </x:c>
      <x:c r="B20" s="13" t="str">
        <x:v>REUTERS_ANN_01769</x:v>
      </x:c>
      <x:c r="C20" s="13" t="str">
        <x:v>2007-02-07 00:00:00</x:v>
      </x:c>
      <x:c r="D20" s="13" t="n">
        <x:v>1</x:v>
      </x:c>
      <x:c r="E20" s="13" t="str">
        <x:v>positive</x:v>
      </x:c>
      <x:c r="F20" s="13" t="n">
        <x:v>0.7542681694030762</x:v>
      </x:c>
      <x:c r="G20" s="13" t="str">
        <x:v>blackstone wins eop battle for $23 billion</x:v>
      </x:c>
      <x:c r="H20" s="13" t="str">
        <x:v>Blackstone, EOP mücadelesini 23 milyar dolarla kazandı</x:v>
      </x:c>
      <x:c r="I20" s="13" t="str">
        <x:v>positive</x:v>
      </x:c>
      <x:c r="J20" s="13" t="n">
        <x:v>1</x:v>
      </x:c>
      <x:c r="K20" s="13" t="n">
        <x:v>0.86</x:v>
      </x:c>
      <x:c r="L20" s="13" t="str">
        <x:v>Büyük satın alma savaşının kazanılması ve anlaşmanın sonuçlanması olumlu.</x:v>
      </x:c>
      <x:c r="M20" s="13" t="str">
        <x:f>IF(E20=I20,"same","different_review")</x:f>
        <x:v>same</x:v>
      </x:c>
      <x:c r="N20" s="13" t="str">
        <x:f>IF(M20="same","","FinBERT label differs; review if needed")</x:f>
      </x:c>
    </x:row>
    <x:row r="21">
      <x:c r="A21" s="13" t="n">
        <x:v>20</x:v>
      </x:c>
      <x:c r="B21" s="13" t="str">
        <x:v>REUTERS_ANN_01770</x:v>
      </x:c>
      <x:c r="C21" s="13" t="str">
        <x:v>2007-01-09 00:00:00</x:v>
      </x:c>
      <x:c r="D21" s="13" t="n">
        <x:v>0</x:v>
      </x:c>
      <x:c r="E21" s="13" t="str">
        <x:v>neutral</x:v>
      </x:c>
      <x:c r="F21" s="13" t="n">
        <x:v>0.9377423524856568</x:v>
      </x:c>
      <x:c r="G21" s="13" t="str">
        <x:v>factbox-key facts on apples new iphone</x:v>
      </x:c>
      <x:c r="H21" s="13" t="str">
        <x:v>Bilgi kutusu: Apple’ın yeni iPhone’una ilişkin temel bilgiler</x:v>
      </x:c>
      <x:c r="I21" s="13" t="str">
        <x:v>neutral</x:v>
      </x:c>
      <x:c r="J21" s="13" t="n">
        <x:v>0</x:v>
      </x:c>
      <x:c r="K21" s="13" t="n">
        <x:v>0.98</x:v>
      </x:c>
      <x:c r="L21" s="13" t="str">
        <x:v>Ürünle ilgili bilgi özeti; doğrudan finansal yön yok.</x:v>
      </x:c>
      <x:c r="M21" s="13" t="str">
        <x:f>IF(E21=I21,"same","different_review")</x:f>
        <x:v>same</x:v>
      </x:c>
      <x:c r="N21" s="13" t="str">
        <x:f>IF(M21="same","","FinBERT label differs; review if needed")</x:f>
      </x:c>
    </x:row>
    <x:row r="22">
      <x:c r="A22" s="13" t="n">
        <x:v>21</x:v>
      </x:c>
      <x:c r="B22" s="13" t="str">
        <x:v>REUTERS_ANN_01771</x:v>
      </x:c>
      <x:c r="C22" s="13" t="str">
        <x:v>2007-02-13 00:00:00</x:v>
      </x:c>
      <x:c r="D22" s="13" t="n">
        <x:v>1</x:v>
      </x:c>
      <x:c r="E22" s="13" t="str">
        <x:v>positive</x:v>
      </x:c>
      <x:c r="F22" s="13" t="n">
        <x:v>0.9502578973770142</x:v>
      </x:c>
      <x:c r="G22" s="13" t="str">
        <x:v>nvidia posts higher quarterly profit</x:v>
      </x:c>
      <x:c r="H22" s="13" t="str">
        <x:v>Nvidia daha yüksek çeyrek kârı açıkladı</x:v>
      </x:c>
      <x:c r="I22" s="13" t="str">
        <x:v>positive</x:v>
      </x:c>
      <x:c r="J22" s="13" t="n">
        <x:v>1</x:v>
      </x:c>
      <x:c r="K22" s="13" t="n">
        <x:v>0.95</x:v>
      </x:c>
      <x:c r="L22" s="13" t="str">
        <x:v>Kâr artışı açık olumlu finansal sinyal.</x:v>
      </x:c>
      <x:c r="M22" s="13" t="str">
        <x:f>IF(E22=I22,"same","different_review")</x:f>
        <x:v>same</x:v>
      </x:c>
      <x:c r="N22" s="13" t="str">
        <x:f>IF(M22="same","","FinBERT label differs; review if needed")</x:f>
      </x:c>
    </x:row>
    <x:row r="23">
      <x:c r="A23" s="13" t="n">
        <x:v>22</x:v>
      </x:c>
      <x:c r="B23" s="13" t="str">
        <x:v>REUTERS_ANN_01772</x:v>
      </x:c>
      <x:c r="C23" s="13" t="str">
        <x:v>2006-11-24 00:00:00</x:v>
      </x:c>
      <x:c r="D23" s="13" t="n">
        <x:v>1</x:v>
      </x:c>
      <x:c r="E23" s="13" t="str">
        <x:v>positive</x:v>
      </x:c>
      <x:c r="F23" s="13" t="n">
        <x:v>0.8002889752388</x:v>
      </x:c>
      <x:c r="G23" s="13" t="str">
        <x:v>carlyle group plans $5.5 bln bid for taiwans ase</x:v>
      </x:c>
      <x:c r="H23" s="13" t="str">
        <x:v>Carlyle Group, Tayvanlı ASE için 5,5 milyar dolarlık teklif planlıyor</x:v>
      </x:c>
      <x:c r="I23" s="13" t="str">
        <x:v>positive</x:v>
      </x:c>
      <x:c r="J23" s="13" t="n">
        <x:v>1</x:v>
      </x:c>
      <x:c r="K23" s="13" t="n">
        <x:v>0.78</x:v>
      </x:c>
      <x:c r="L23" s="13" t="str">
        <x:v>Büyük ölçekli satın alma teklifi hedef şirket açısından olumlu beklenti yaratır.</x:v>
      </x:c>
      <x:c r="M23" s="13" t="str">
        <x:f>IF(E23=I23,"same","different_review")</x:f>
        <x:v>same</x:v>
      </x:c>
      <x:c r="N23" s="13" t="str">
        <x:f>IF(M23="same","","FinBERT label differs; review if needed")</x:f>
      </x:c>
    </x:row>
    <x:row r="24">
      <x:c r="A24" s="13" t="n">
        <x:v>23</x:v>
      </x:c>
      <x:c r="B24" s="13" t="str">
        <x:v>REUTERS_ANN_01773</x:v>
      </x:c>
      <x:c r="C24" s="13" t="str">
        <x:v>2007-04-02 00:00:00</x:v>
      </x:c>
      <x:c r="D24" s="13" t="n">
        <x:v>0</x:v>
      </x:c>
      <x:c r="E24" s="13" t="str">
        <x:v>neutral</x:v>
      </x:c>
      <x:c r="F24" s="13" t="n">
        <x:v>0.579491913318634</x:v>
      </x:c>
      <x:c r="G24" s="13" t="str">
        <x:v>s.korea to phase out u.s. beef import tariffs</x:v>
      </x:c>
      <x:c r="H24" s="13" t="str">
        <x:v>Güney Kore, ABD sığır eti ithalat tarifelerini aşamalı kaldıracak</x:v>
      </x:c>
      <x:c r="I24" s="13" t="str">
        <x:v>positive</x:v>
      </x:c>
      <x:c r="J24" s="13" t="n">
        <x:v>1</x:v>
      </x:c>
      <x:c r="K24" s="13" t="n">
        <x:v>0.72</x:v>
      </x:c>
      <x:c r="L24" s="13" t="str">
        <x:v>Tarifelerin kaldırılması ticaret açısından olumlu bir açılım sinyali.</x:v>
      </x:c>
      <x:c r="M24" s="13" t="str">
        <x:f>IF(E24=I24,"same","different_review")</x:f>
        <x:v>different_review</x:v>
      </x:c>
      <x:c r="N24" s="13" t="str">
        <x:f>IF(M24="same","","FinBERT label differs; review if needed")</x:f>
        <x:v>FinBERT label differs; review if needed</x:v>
      </x:c>
    </x:row>
    <x:row r="25">
      <x:c r="A25" s="13" t="n">
        <x:v>24</x:v>
      </x:c>
      <x:c r="B25" s="13" t="str">
        <x:v>REUTERS_ANN_01774</x:v>
      </x:c>
      <x:c r="C25" s="13" t="str">
        <x:v>2007-04-20 00:00:00</x:v>
      </x:c>
      <x:c r="D25" s="13" t="n">
        <x:v>-1</x:v>
      </x:c>
      <x:c r="E25" s="13" t="str">
        <x:v>negative</x:v>
      </x:c>
      <x:c r="F25" s="13" t="n">
        <x:v>0.9609248638153076</x:v>
      </x:c>
      <x:c r="G25" s="13" t="str">
        <x:v>blackberry outage blamed on new storage feature</x:v>
      </x:c>
      <x:c r="H25" s="13" t="str">
        <x:v>BlackBerry kesintisi yeni depolama özelliğine bağlandı</x:v>
      </x:c>
      <x:c r="I25" s="13" t="str">
        <x:v>negative</x:v>
      </x:c>
      <x:c r="J25" s="13" t="n">
        <x:v>-1</x:v>
      </x:c>
      <x:c r="K25" s="13" t="n">
        <x:v>0.88</x:v>
      </x:c>
      <x:c r="L25" s="13" t="str">
        <x:v>Hizmet kesintisi teknoloji şirketi için operasyonel ve itibar riski taşır.</x:v>
      </x:c>
      <x:c r="M25" s="13" t="str">
        <x:f>IF(E25=I25,"same","different_review")</x:f>
        <x:v>same</x:v>
      </x:c>
      <x:c r="N25" s="13" t="str">
        <x:f>IF(M25="same","","FinBERT label differs; review if needed")</x:f>
      </x:c>
    </x:row>
    <x:row r="26">
      <x:c r="A26" s="13" t="n">
        <x:v>25</x:v>
      </x:c>
      <x:c r="B26" s="13" t="str">
        <x:v>REUTERS_ANN_01775</x:v>
      </x:c>
      <x:c r="C26" s="13" t="str">
        <x:v>2007-02-22 00:00:00</x:v>
      </x:c>
      <x:c r="D26" s="13" t="n">
        <x:v>-1</x:v>
      </x:c>
      <x:c r="E26" s="13" t="str">
        <x:v>negative</x:v>
      </x:c>
      <x:c r="F26" s="13" t="n">
        <x:v>0.9750568270683287</x:v>
      </x:c>
      <x:c r="G26" s="13" t="str">
        <x:v>jobless claims fall 27,000</x:v>
      </x:c>
      <x:c r="H26" s="13" t="str">
        <x:v>İşsizlik başvuruları 27.000 düştü</x:v>
      </x:c>
      <x:c r="I26" s="13" t="str">
        <x:v>positive</x:v>
      </x:c>
      <x:c r="J26" s="13" t="n">
        <x:v>1</x:v>
      </x:c>
      <x:c r="K26" s="13" t="n">
        <x:v>0.86</x:v>
      </x:c>
      <x:c r="L26" s="13" t="str">
        <x:v>İşsizlik başvurularındaki düşüş istihdam piyasası açısından olumlu.</x:v>
      </x:c>
      <x:c r="M26" s="13" t="str">
        <x:f>IF(E26=I26,"same","different_review")</x:f>
        <x:v>different_review</x:v>
      </x:c>
      <x:c r="N26" s="13" t="str">
        <x:f>IF(M26="same","","FinBERT label differs; review if needed")</x:f>
        <x:v>FinBERT label differs; review if needed</x:v>
      </x:c>
    </x:row>
    <x:row r="27">
      <x:c r="A27" s="13" t="n">
        <x:v>26</x:v>
      </x:c>
      <x:c r="B27" s="13" t="str">
        <x:v>REUTERS_ANN_01776</x:v>
      </x:c>
      <x:c r="C27" s="13" t="str">
        <x:v>2007-01-26 00:00:00</x:v>
      </x:c>
      <x:c r="D27" s="13" t="n">
        <x:v>1</x:v>
      </x:c>
      <x:c r="E27" s="13" t="str">
        <x:v>positive</x:v>
      </x:c>
      <x:c r="F27" s="13" t="n">
        <x:v>0.937240183353424</x:v>
      </x:c>
      <x:c r="G27" s="13" t="str">
        <x:v>porsche more upbeat after vw impact boosts h1</x:v>
      </x:c>
      <x:c r="H27" s="13" t="str">
        <x:v>Porsche, VW etkisinin ilk yarıyı desteklemesiyle daha iyimser</x:v>
      </x:c>
      <x:c r="I27" s="13" t="str">
        <x:v>positive</x:v>
      </x:c>
      <x:c r="J27" s="13" t="n">
        <x:v>1</x:v>
      </x:c>
      <x:c r="K27" s="13" t="n">
        <x:v>0.9</x:v>
      </x:c>
      <x:c r="L27" s="13" t="str">
        <x:v>Daha iyimser görünüm ve VW etkisiyle desteklenen sonuçlar olumlu.</x:v>
      </x:c>
      <x:c r="M27" s="13" t="str">
        <x:f>IF(E27=I27,"same","different_review")</x:f>
        <x:v>same</x:v>
      </x:c>
      <x:c r="N27" s="13" t="str">
        <x:f>IF(M27="same","","FinBERT label differs; review if needed")</x:f>
      </x:c>
    </x:row>
    <x:row r="28">
      <x:c r="A28" s="13" t="n">
        <x:v>27</x:v>
      </x:c>
      <x:c r="B28" s="13" t="str">
        <x:v>REUTERS_ANN_01777</x:v>
      </x:c>
      <x:c r="C28" s="13" t="str">
        <x:v>2007-03-27 00:00:00</x:v>
      </x:c>
      <x:c r="D28" s="13" t="n">
        <x:v>-1</x:v>
      </x:c>
      <x:c r="E28" s="13" t="str">
        <x:v>negative</x:v>
      </x:c>
      <x:c r="F28" s="13" t="n">
        <x:v>0.9671503901481628</x:v>
      </x:c>
      <x:c r="G28" s="13" t="str">
        <x:v>instant view march consumer confidence slips</x:v>
      </x:c>
      <x:c r="H28" s="13" t="str">
        <x:v>Anlık değerlendirme: Mart tüketici güveni geriledi</x:v>
      </x:c>
      <x:c r="I28" s="13" t="str">
        <x:v>negative</x:v>
      </x:c>
      <x:c r="J28" s="13" t="n">
        <x:v>-1</x:v>
      </x:c>
      <x:c r="K28" s="13" t="n">
        <x:v>0.9</x:v>
      </x:c>
      <x:c r="L28" s="13" t="str">
        <x:v>Tüketici güvenindeki düşüş makro görünüm açısından olumsuz.</x:v>
      </x:c>
      <x:c r="M28" s="13" t="str">
        <x:f>IF(E28=I28,"same","different_review")</x:f>
        <x:v>same</x:v>
      </x:c>
      <x:c r="N28" s="13" t="str">
        <x:f>IF(M28="same","","FinBERT label differs; review if needed")</x:f>
      </x:c>
    </x:row>
    <x:row r="29">
      <x:c r="A29" s="13" t="n">
        <x:v>28</x:v>
      </x:c>
      <x:c r="B29" s="13" t="str">
        <x:v>REUTERS_ANN_01778</x:v>
      </x:c>
      <x:c r="C29" s="13" t="str">
        <x:v>2007-04-13 00:00:00</x:v>
      </x:c>
      <x:c r="D29" s="13" t="n">
        <x:v>0</x:v>
      </x:c>
      <x:c r="E29" s="13" t="str">
        <x:v>neutral</x:v>
      </x:c>
      <x:c r="F29" s="13" t="n">
        <x:v>0.6524059772491455</x:v>
      </x:c>
      <x:c r="G29" s="13" t="str">
        <x:v>ohio launches probe into student loan industry</x:v>
      </x:c>
      <x:c r="H29" s="13" t="str">
        <x:v>Ohio, öğrenci kredisi sektörüne yönelik soruşturma başlattı</x:v>
      </x:c>
      <x:c r="I29" s="13" t="str">
        <x:v>negative</x:v>
      </x:c>
      <x:c r="J29" s="13" t="n">
        <x:v>-1</x:v>
      </x:c>
      <x:c r="K29" s="13" t="n">
        <x:v>0.82</x:v>
      </x:c>
      <x:c r="L29" s="13" t="str">
        <x:v>Soruşturma başlatılması sektör için düzenleyici ve itibar riski yaratır.</x:v>
      </x:c>
      <x:c r="M29" s="13" t="str">
        <x:f>IF(E29=I29,"same","different_review")</x:f>
        <x:v>different_review</x:v>
      </x:c>
      <x:c r="N29" s="13" t="str">
        <x:f>IF(M29="same","","FinBERT label differs; review if needed")</x:f>
        <x:v>FinBERT label differs; review if needed</x:v>
      </x:c>
    </x:row>
    <x:row r="30">
      <x:c r="A30" s="13" t="n">
        <x:v>29</x:v>
      </x:c>
      <x:c r="B30" s="13" t="str">
        <x:v>REUTERS_ANN_01779</x:v>
      </x:c>
      <x:c r="C30" s="13" t="str">
        <x:v>2006-12-07 00:00:00</x:v>
      </x:c>
      <x:c r="D30" s="13" t="n">
        <x:v>-1</x:v>
      </x:c>
      <x:c r="E30" s="13" t="str">
        <x:v>negative</x:v>
      </x:c>
      <x:c r="F30" s="13" t="n">
        <x:v>0.8133993744850159</x:v>
      </x:c>
      <x:c r="G30" s="13" t="str">
        <x:v>former fannie mae executives to be sued by regulator</x:v>
      </x:c>
      <x:c r="H30" s="13" t="str">
        <x:v>Eski Fannie Mae yöneticilerine düzenleyici tarafından dava açılacak</x:v>
      </x:c>
      <x:c r="I30" s="13" t="str">
        <x:v>negative</x:v>
      </x:c>
      <x:c r="J30" s="13" t="n">
        <x:v>-1</x:v>
      </x:c>
      <x:c r="K30" s="13" t="n">
        <x:v>0.88</x:v>
      </x:c>
      <x:c r="L30" s="13" t="str">
        <x:v>Eski yöneticilere dava açılması hukuki risk ve olumsuz haber akışı demektir.</x:v>
      </x:c>
      <x:c r="M30" s="13" t="str">
        <x:f>IF(E30=I30,"same","different_review")</x:f>
        <x:v>same</x:v>
      </x:c>
      <x:c r="N30" s="13" t="str">
        <x:f>IF(M30="same","","FinBERT label differs; review if needed")</x:f>
      </x:c>
    </x:row>
    <x:row r="31">
      <x:c r="A31" s="13" t="n">
        <x:v>30</x:v>
      </x:c>
      <x:c r="B31" s="13" t="str">
        <x:v>REUTERS_ANN_01780</x:v>
      </x:c>
      <x:c r="C31" s="13" t="str">
        <x:v>2006-11-23 00:00:00</x:v>
      </x:c>
      <x:c r="D31" s="13" t="n">
        <x:v>0</x:v>
      </x:c>
      <x:c r="E31" s="13" t="str">
        <x:v>neutral</x:v>
      </x:c>
      <x:c r="F31" s="13" t="n">
        <x:v>0.7026641368865967</x:v>
      </x:c>
      <x:c r="G31" s="13" t="str">
        <x:v>boyd could be next casino bid target -businessweek</x:v>
      </x:c>
      <x:c r="H31" s="13" t="str">
        <x:v>BusinessWeek’e göre Boyd bir sonraki kumarhane teklif hedefi olabilir</x:v>
      </x:c>
      <x:c r="I31" s="13" t="str">
        <x:v>positive</x:v>
      </x:c>
      <x:c r="J31" s="13" t="n">
        <x:v>1</x:v>
      </x:c>
      <x:c r="K31" s="13" t="n">
        <x:v>0.66</x:v>
      </x:c>
      <x:c r="L31" s="13" t="str">
        <x:v>Satın alma hedefi olma ihtimali hisse değeri açısından olumlu beklenti yaratabilir.</x:v>
      </x:c>
      <x:c r="M31" s="13" t="str">
        <x:f>IF(E31=I31,"same","different_review")</x:f>
        <x:v>different_review</x:v>
      </x:c>
      <x:c r="N31" s="13" t="str">
        <x:f>IF(M31="same","","FinBERT label differs; review if needed")</x:f>
        <x:v>FinBERT label differs; review if needed</x:v>
      </x:c>
    </x:row>
    <x:row r="32">
      <x:c r="A32" s="13" t="n">
        <x:v>31</x:v>
      </x:c>
      <x:c r="B32" s="13" t="str">
        <x:v>REUTERS_ANN_01781</x:v>
      </x:c>
      <x:c r="C32" s="13" t="str">
        <x:v>2007-01-22 00:00:00</x:v>
      </x:c>
      <x:c r="D32" s="13" t="n">
        <x:v>0</x:v>
      </x:c>
      <x:c r="E32" s="13" t="str">
        <x:v>neutral</x:v>
      </x:c>
      <x:c r="F32" s="13" t="n">
        <x:v>0.7954597473144531</x:v>
      </x:c>
      <x:c r="G32" s="13" t="str">
        <x:v>boeing sells 39 planes to ge unit for $5.3 billion</x:v>
      </x:c>
      <x:c r="H32" s="13" t="str">
        <x:v>Boeing, GE birimine 5,3 milyar dolarlık 39 uçak sattı</x:v>
      </x:c>
      <x:c r="I32" s="13" t="str">
        <x:v>positive</x:v>
      </x:c>
      <x:c r="J32" s="13" t="n">
        <x:v>1</x:v>
      </x:c>
      <x:c r="K32" s="13" t="n">
        <x:v>0.88</x:v>
      </x:c>
      <x:c r="L32" s="13" t="str">
        <x:v>Büyük tutarlı uçak satışı Boeing için olumlu gelir sinyali.</x:v>
      </x:c>
      <x:c r="M32" s="13" t="str">
        <x:f>IF(E32=I32,"same","different_review")</x:f>
        <x:v>different_review</x:v>
      </x:c>
      <x:c r="N32" s="13" t="str">
        <x:f>IF(M32="same","","FinBERT label differs; review if needed")</x:f>
        <x:v>FinBERT label differs; review if needed</x:v>
      </x:c>
    </x:row>
    <x:row r="33">
      <x:c r="A33" s="13" t="n">
        <x:v>32</x:v>
      </x:c>
      <x:c r="B33" s="13" t="str">
        <x:v>REUTERS_ANN_01782</x:v>
      </x:c>
      <x:c r="C33" s="13" t="str">
        <x:v>2006-11-17 00:00:00</x:v>
      </x:c>
      <x:c r="D33" s="13" t="n">
        <x:v>0</x:v>
      </x:c>
      <x:c r="E33" s="13" t="str">
        <x:v>neutral</x:v>
      </x:c>
      <x:c r="F33" s="13" t="n">
        <x:v>0.8265108466148376</x:v>
      </x:c>
      <x:c r="G33" s="13" t="str">
        <x:v>like it rate it. yahoo buys polling site bix.com</x:v>
      </x:c>
      <x:c r="H33" s="13" t="str">
        <x:v>Beğen, puanla: Yahoo anket sitesi Bix.com’u satın aldı</x:v>
      </x:c>
      <x:c r="I33" s="13" t="str">
        <x:v>neutral</x:v>
      </x:c>
      <x:c r="J33" s="13" t="n">
        <x:v>0</x:v>
      </x:c>
      <x:c r="K33" s="13" t="n">
        <x:v>0.72</x:v>
      </x:c>
      <x:c r="L33" s="13" t="str">
        <x:v>Küçük ölçekli satın alma haberidir; belirgin finansal yön yok.</x:v>
      </x:c>
      <x:c r="M33" s="13" t="str">
        <x:f>IF(E33=I33,"same","different_review")</x:f>
        <x:v>same</x:v>
      </x:c>
      <x:c r="N33" s="13" t="str">
        <x:f>IF(M33="same","","FinBERT label differs; review if needed")</x:f>
      </x:c>
    </x:row>
    <x:row r="34">
      <x:c r="A34" s="13" t="n">
        <x:v>33</x:v>
      </x:c>
      <x:c r="B34" s="13" t="str">
        <x:v>REUTERS_ANN_01783</x:v>
      </x:c>
      <x:c r="C34" s="13" t="str">
        <x:v>2007-01-08 00:00:00</x:v>
      </x:c>
      <x:c r="D34" s="13" t="n">
        <x:v>1</x:v>
      </x:c>
      <x:c r="E34" s="13" t="str">
        <x:v>positive</x:v>
      </x:c>
      <x:c r="F34" s="13" t="n">
        <x:v>0.953444004058838</x:v>
      </x:c>
      <x:c r="G34" s="13" t="str">
        <x:v>update 4-radioshack sees higher quarterly net shares jump</x:v>
      </x:c>
      <x:c r="H34" s="13" t="str">
        <x:v>RadioShack daha yüksek çeyrek net kâr bekliyor; hisseler sıçradı</x:v>
      </x:c>
      <x:c r="I34" s="13" t="str">
        <x:v>positive</x:v>
      </x:c>
      <x:c r="J34" s="13" t="n">
        <x:v>1</x:v>
      </x:c>
      <x:c r="K34" s="13" t="n">
        <x:v>0.95</x:v>
      </x:c>
      <x:c r="L34" s="13" t="str">
        <x:v>Yüksek kâr beklentisi ve hisse sıçraması güçlü olumlu sinyal.</x:v>
      </x:c>
      <x:c r="M34" s="13" t="str">
        <x:f>IF(E34=I34,"same","different_review")</x:f>
        <x:v>same</x:v>
      </x:c>
      <x:c r="N34" s="13" t="str">
        <x:f>IF(M34="same","","FinBERT label differs; review if needed")</x:f>
      </x:c>
    </x:row>
    <x:row r="35">
      <x:c r="A35" s="13" t="n">
        <x:v>34</x:v>
      </x:c>
      <x:c r="B35" s="13" t="str">
        <x:v>REUTERS_ANN_01784</x:v>
      </x:c>
      <x:c r="C35" s="13" t="str">
        <x:v>2007-02-01 00:00:00</x:v>
      </x:c>
      <x:c r="D35" s="13" t="n">
        <x:v>0</x:v>
      </x:c>
      <x:c r="E35" s="13" t="str">
        <x:v>neutral</x:v>
      </x:c>
      <x:c r="F35" s="13" t="n">
        <x:v>0.6763935685157776</x:v>
      </x:c>
      <x:c r="G35" s="13" t="str">
        <x:v>shell still cool on ma, pessimistic on refining</x:v>
      </x:c>
      <x:c r="H35" s="13" t="str">
        <x:v>Shell birleşme-satın alma konusunda isteksiz, rafinajda kötümser</x:v>
      </x:c>
      <x:c r="I35" s="13" t="str">
        <x:v>negative</x:v>
      </x:c>
      <x:c r="J35" s="13" t="n">
        <x:v>-1</x:v>
      </x:c>
      <x:c r="K35" s="13" t="n">
        <x:v>0.75</x:v>
      </x:c>
      <x:c r="L35" s="13" t="str">
        <x:v>Rafinaj görünümündeki kötümserlik ve temkinli duruş olumsuz ton taşıyor.</x:v>
      </x:c>
      <x:c r="M35" s="13" t="str">
        <x:f>IF(E35=I35,"same","different_review")</x:f>
        <x:v>different_review</x:v>
      </x:c>
      <x:c r="N35" s="13" t="str">
        <x:f>IF(M35="same","","FinBERT label differs; review if needed")</x:f>
        <x:v>FinBERT label differs; review if needed</x:v>
      </x:c>
    </x:row>
    <x:row r="36">
      <x:c r="A36" s="13" t="n">
        <x:v>35</x:v>
      </x:c>
      <x:c r="B36" s="13" t="str">
        <x:v>REUTERS_ANN_01785</x:v>
      </x:c>
      <x:c r="C36" s="13" t="str">
        <x:v>2007-04-19 00:00:00</x:v>
      </x:c>
      <x:c r="D36" s="13" t="n">
        <x:v>0</x:v>
      </x:c>
      <x:c r="E36" s="13" t="str">
        <x:v>neutral</x:v>
      </x:c>
      <x:c r="F36" s="13" t="n">
        <x:v>0.9388777613639832</x:v>
      </x:c>
      <x:c r="G36" s="13" t="str">
        <x:v>wall street journal names new managing editor</x:v>
      </x:c>
      <x:c r="H36" s="13" t="str">
        <x:v>Wall Street Journal yeni yönetici editörünü atadı</x:v>
      </x:c>
      <x:c r="I36" s="13" t="str">
        <x:v>neutral</x:v>
      </x:c>
      <x:c r="J36" s="13" t="n">
        <x:v>0</x:v>
      </x:c>
      <x:c r="K36" s="13" t="n">
        <x:v>0.96</x:v>
      </x:c>
      <x:c r="L36" s="13" t="str">
        <x:v>Yönetici ataması niteliğinde, finansal yön belirtmiyor.</x:v>
      </x:c>
      <x:c r="M36" s="13" t="str">
        <x:f>IF(E36=I36,"same","different_review")</x:f>
        <x:v>same</x:v>
      </x:c>
      <x:c r="N36" s="13" t="str">
        <x:f>IF(M36="same","","FinBERT label differs; review if needed")</x:f>
      </x:c>
    </x:row>
    <x:row r="37">
      <x:c r="A37" s="13" t="n">
        <x:v>36</x:v>
      </x:c>
      <x:c r="B37" s="13" t="str">
        <x:v>REUTERS_ANN_01786</x:v>
      </x:c>
      <x:c r="C37" s="13" t="str">
        <x:v>2007-01-18 00:00:00</x:v>
      </x:c>
      <x:c r="D37" s="13" t="n">
        <x:v>-1</x:v>
      </x:c>
      <x:c r="E37" s="13" t="str">
        <x:v>negative</x:v>
      </x:c>
      <x:c r="F37" s="13" t="n">
        <x:v>0.965687334537506</x:v>
      </x:c>
      <x:c r="G37" s="13" t="str">
        <x:v>molex posts higher second-quarter net</x:v>
      </x:c>
      <x:c r="H37" s="13" t="str">
        <x:v>Molex ikinci çeyrekte daha yüksek net kâr açıkladı</x:v>
      </x:c>
      <x:c r="I37" s="13" t="str">
        <x:v>positive</x:v>
      </x:c>
      <x:c r="J37" s="13" t="n">
        <x:v>1</x:v>
      </x:c>
      <x:c r="K37" s="13" t="n">
        <x:v>0.92</x:v>
      </x:c>
      <x:c r="L37" s="13" t="str">
        <x:v>Net kâr artışı açık olumlu finansal sinyal.</x:v>
      </x:c>
      <x:c r="M37" s="13" t="str">
        <x:f>IF(E37=I37,"same","different_review")</x:f>
        <x:v>different_review</x:v>
      </x:c>
      <x:c r="N37" s="13" t="str">
        <x:f>IF(M37="same","","FinBERT label differs; review if needed")</x:f>
        <x:v>FinBERT label differs; review if needed</x:v>
      </x:c>
    </x:row>
    <x:row r="38">
      <x:c r="A38" s="13" t="n">
        <x:v>37</x:v>
      </x:c>
      <x:c r="B38" s="13" t="str">
        <x:v>REUTERS_ANN_01787</x:v>
      </x:c>
      <x:c r="C38" s="13" t="str">
        <x:v>2007-03-28 00:00:00</x:v>
      </x:c>
      <x:c r="D38" s="13" t="n">
        <x:v>-1</x:v>
      </x:c>
      <x:c r="E38" s="13" t="str">
        <x:v>negative</x:v>
      </x:c>
      <x:c r="F38" s="13" t="n">
        <x:v>0.7482730746269226</x:v>
      </x:c>
      <x:c r="G38" s="13" t="str">
        <x:v>new century cuts freddie mac tie</x:v>
      </x:c>
      <x:c r="H38" s="13" t="str">
        <x:v>New Century, Freddie Mac ile bağını kesti</x:v>
      </x:c>
      <x:c r="I38" s="13" t="str">
        <x:v>negative</x:v>
      </x:c>
      <x:c r="J38" s="13" t="n">
        <x:v>-1</x:v>
      </x:c>
      <x:c r="K38" s="13" t="n">
        <x:v>0.86</x:v>
      </x:c>
      <x:c r="L38" s="13" t="str">
        <x:v>Kredi/finansman bağlantısının kesilmesi özellikle subprime bağlamında olumsuz.</x:v>
      </x:c>
      <x:c r="M38" s="13" t="str">
        <x:f>IF(E38=I38,"same","different_review")</x:f>
        <x:v>same</x:v>
      </x:c>
      <x:c r="N38" s="13" t="str">
        <x:f>IF(M38="same","","FinBERT label differs; review if needed")</x:f>
      </x:c>
    </x:row>
    <x:row r="39">
      <x:c r="A39" s="13" t="n">
        <x:v>38</x:v>
      </x:c>
      <x:c r="B39" s="13" t="str">
        <x:v>REUTERS_ANN_01788</x:v>
      </x:c>
      <x:c r="C39" s="13" t="str">
        <x:v>2007-03-09 00:00:00</x:v>
      </x:c>
      <x:c r="D39" s="13" t="n">
        <x:v>-1</x:v>
      </x:c>
      <x:c r="E39" s="13" t="str">
        <x:v>negative</x:v>
      </x:c>
      <x:c r="F39" s="13" t="n">
        <x:v>0.9566319584846495</x:v>
      </x:c>
      <x:c r="G39" s="13" t="str">
        <x:v>countrywide ends no down-payment lending</x:v>
      </x:c>
      <x:c r="H39" s="13" t="str">
        <x:v>Countrywide peşinatsız kredi vermeyi sonlandırıyor</x:v>
      </x:c>
      <x:c r="I39" s="13" t="str">
        <x:v>negative</x:v>
      </x:c>
      <x:c r="J39" s="13" t="n">
        <x:v>-1</x:v>
      </x:c>
      <x:c r="K39" s="13" t="n">
        <x:v>0.85</x:v>
      </x:c>
      <x:c r="L39" s="13" t="str">
        <x:v>Kredi koşullarının sıkılaşması ve riskli ürünlerin kapatılması sektör baskısını gösteriyor.</x:v>
      </x:c>
      <x:c r="M39" s="13" t="str">
        <x:f>IF(E39=I39,"same","different_review")</x:f>
        <x:v>same</x:v>
      </x:c>
      <x:c r="N39" s="13" t="str">
        <x:f>IF(M39="same","","FinBERT label differs; review if needed")</x:f>
      </x:c>
    </x:row>
    <x:row r="40">
      <x:c r="A40" s="13" t="n">
        <x:v>39</x:v>
      </x:c>
      <x:c r="B40" s="13" t="str">
        <x:v>REUTERS_ANN_01789</x:v>
      </x:c>
      <x:c r="C40" s="13" t="str">
        <x:v>2007-01-12 00:00:00</x:v>
      </x:c>
      <x:c r="D40" s="13" t="n">
        <x:v>0</x:v>
      </x:c>
      <x:c r="E40" s="13" t="str">
        <x:v>neutral</x:v>
      </x:c>
      <x:c r="F40" s="13" t="n">
        <x:v>0.7028305530548096</x:v>
      </x:c>
      <x:c r="G40" s="13" t="str">
        <x:v>mcdonalds exploring options for boston market</x:v>
      </x:c>
      <x:c r="H40" s="13" t="str">
        <x:v>McDonald’s Boston Market için seçenekleri değerlendiriyor</x:v>
      </x:c>
      <x:c r="I40" s="13" t="str">
        <x:v>neutral</x:v>
      </x:c>
      <x:c r="J40" s="13" t="n">
        <x:v>0</x:v>
      </x:c>
      <x:c r="K40" s="13" t="n">
        <x:v>0.74</x:v>
      </x:c>
      <x:c r="L40" s="13" t="str">
        <x:v>Stratejik değerlendirme haberi; yön net değil.</x:v>
      </x:c>
      <x:c r="M40" s="13" t="str">
        <x:f>IF(E40=I40,"same","different_review")</x:f>
        <x:v>same</x:v>
      </x:c>
      <x:c r="N40" s="13" t="str">
        <x:f>IF(M40="same","","FinBERT label differs; review if needed")</x:f>
      </x:c>
    </x:row>
    <x:row r="41">
      <x:c r="A41" s="13" t="n">
        <x:v>40</x:v>
      </x:c>
      <x:c r="B41" s="13" t="str">
        <x:v>REUTERS_ANN_01790</x:v>
      </x:c>
      <x:c r="C41" s="13" t="str">
        <x:v>2007-02-09 00:00:00</x:v>
      </x:c>
      <x:c r="D41" s="13" t="n">
        <x:v>0</x:v>
      </x:c>
      <x:c r="E41" s="13" t="str">
        <x:v>neutral</x:v>
      </x:c>
      <x:c r="F41" s="13" t="n">
        <x:v>0.8607581257820129</x:v>
      </x:c>
      <x:c r="G41" s="13" t="str">
        <x:v>gnc agrees to be acquired by ares, pension plan</x:v>
      </x:c>
      <x:c r="H41" s="13" t="str">
        <x:v>GNC, Ares ve emeklilik planı tarafından satın alınmayı kabul etti</x:v>
      </x:c>
      <x:c r="I41" s="13" t="str">
        <x:v>positive</x:v>
      </x:c>
      <x:c r="J41" s="13" t="n">
        <x:v>1</x:v>
      </x:c>
      <x:c r="K41" s="13" t="n">
        <x:v>0.79</x:v>
      </x:c>
      <x:c r="L41" s="13" t="str">
        <x:v>Satın alma anlaşması hedef şirket için olumlu değerleme beklentisi yaratır.</x:v>
      </x:c>
      <x:c r="M41" s="13" t="str">
        <x:f>IF(E41=I41,"same","different_review")</x:f>
        <x:v>different_review</x:v>
      </x:c>
      <x:c r="N41" s="13" t="str">
        <x:f>IF(M41="same","","FinBERT label differs; review if needed")</x:f>
        <x:v>FinBERT label differs; review if needed</x:v>
      </x:c>
    </x:row>
    <x:row r="42">
      <x:c r="A42" s="13" t="n">
        <x:v>41</x:v>
      </x:c>
      <x:c r="B42" s="13" t="str">
        <x:v>REUTERS_ANN_01791</x:v>
      </x:c>
      <x:c r="C42" s="13" t="str">
        <x:v>2007-02-08 00:00:00</x:v>
      </x:c>
      <x:c r="D42" s="13" t="n">
        <x:v>1</x:v>
      </x:c>
      <x:c r="E42" s="13" t="str">
        <x:v>positive</x:v>
      </x:c>
      <x:c r="F42" s="13" t="n">
        <x:v>0.9530638456344604</x:v>
      </x:c>
      <x:c r="G42" s="13" t="str">
        <x:v>federated store sales better than expected</x:v>
      </x:c>
      <x:c r="H42" s="13" t="str">
        <x:v>Federated mağaza satışları beklentiden iyi geldi</x:v>
      </x:c>
      <x:c r="I42" s="13" t="str">
        <x:v>positive</x:v>
      </x:c>
      <x:c r="J42" s="13" t="n">
        <x:v>1</x:v>
      </x:c>
      <x:c r="K42" s="13" t="n">
        <x:v>0.93</x:v>
      </x:c>
      <x:c r="L42" s="13" t="str">
        <x:v>Beklentiden iyi satış performansı olumlu.</x:v>
      </x:c>
      <x:c r="M42" s="13" t="str">
        <x:f>IF(E42=I42,"same","different_review")</x:f>
        <x:v>same</x:v>
      </x:c>
      <x:c r="N42" s="13" t="str">
        <x:f>IF(M42="same","","FinBERT label differs; review if needed")</x:f>
      </x:c>
    </x:row>
    <x:row r="43">
      <x:c r="A43" s="13" t="n">
        <x:v>42</x:v>
      </x:c>
      <x:c r="B43" s="13" t="str">
        <x:v>REUTERS_ANN_01792</x:v>
      </x:c>
      <x:c r="C43" s="13" t="str">
        <x:v>2006-12-18 00:00:00</x:v>
      </x:c>
      <x:c r="D43" s="13" t="n">
        <x:v>-1</x:v>
      </x:c>
      <x:c r="E43" s="13" t="str">
        <x:v>negative</x:v>
      </x:c>
      <x:c r="F43" s="13" t="n">
        <x:v>0.974079132080078</x:v>
      </x:c>
      <x:c r="G43" s="13" t="str">
        <x:v>shares fall on tech worries, oil stocks</x:v>
      </x:c>
      <x:c r="H43" s="13" t="str">
        <x:v>Teknoloji endişeleri ve petrol hisseleriyle hisse senetleri düştü</x:v>
      </x:c>
      <x:c r="I43" s="13" t="str">
        <x:v>negative</x:v>
      </x:c>
      <x:c r="J43" s="13" t="n">
        <x:v>-1</x:v>
      </x:c>
      <x:c r="K43" s="13" t="n">
        <x:v>0.91</x:v>
      </x:c>
      <x:c r="L43" s="13" t="str">
        <x:v>Piyasa düşüşü ve endişe vurgusu olumsuz.</x:v>
      </x:c>
      <x:c r="M43" s="13" t="str">
        <x:f>IF(E43=I43,"same","different_review")</x:f>
        <x:v>same</x:v>
      </x:c>
      <x:c r="N43" s="13" t="str">
        <x:f>IF(M43="same","","FinBERT label differs; review if needed")</x:f>
      </x:c>
    </x:row>
    <x:row r="44">
      <x:c r="A44" s="13" t="n">
        <x:v>43</x:v>
      </x:c>
      <x:c r="B44" s="13" t="str">
        <x:v>REUTERS_ANN_01793</x:v>
      </x:c>
      <x:c r="C44" s="13" t="str">
        <x:v>2007-03-22 00:00:00</x:v>
      </x:c>
      <x:c r="D44" s="13" t="n">
        <x:v>0</x:v>
      </x:c>
      <x:c r="E44" s="13" t="str">
        <x:v>neutral</x:v>
      </x:c>
      <x:c r="F44" s="13" t="n">
        <x:v>0.7328346967697144</x:v>
      </x:c>
      <x:c r="G44" s="13" t="str">
        <x:v>u.s. states oppose bailout to subprime lenders</x:v>
      </x:c>
      <x:c r="H44" s="13" t="str">
        <x:v>ABD eyaletleri subprime kredi verenlere kurtarma desteğine karşı çıkıyor</x:v>
      </x:c>
      <x:c r="I44" s="13" t="str">
        <x:v>negative</x:v>
      </x:c>
      <x:c r="J44" s="13" t="n">
        <x:v>-1</x:v>
      </x:c>
      <x:c r="K44" s="13" t="n">
        <x:v>0.78</x:v>
      </x:c>
      <x:c r="L44" s="13" t="str">
        <x:v>Kurtarma desteğine karşı çıkılması subprime kredi verenler için olumsuz.</x:v>
      </x:c>
      <x:c r="M44" s="13" t="str">
        <x:f>IF(E44=I44,"same","different_review")</x:f>
        <x:v>different_review</x:v>
      </x:c>
      <x:c r="N44" s="13" t="str">
        <x:f>IF(M44="same","","FinBERT label differs; review if needed")</x:f>
        <x:v>FinBERT label differs; review if needed</x:v>
      </x:c>
    </x:row>
    <x:row r="45">
      <x:c r="A45" s="13" t="n">
        <x:v>44</x:v>
      </x:c>
      <x:c r="B45" s="13" t="str">
        <x:v>REUTERS_ANN_01794</x:v>
      </x:c>
      <x:c r="C45" s="13" t="str">
        <x:v>2007-03-28 00:00:00</x:v>
      </x:c>
      <x:c r="D45" s="13" t="n">
        <x:v>-1</x:v>
      </x:c>
      <x:c r="E45" s="13" t="str">
        <x:v>negative</x:v>
      </x:c>
      <x:c r="F45" s="13" t="n">
        <x:v>0.9162015914916992</x:v>
      </x:c>
      <x:c r="G45" s="13" t="str">
        <x:v>bernanke allays subprime fears as beazer faces probe</x:v>
      </x:c>
      <x:c r="H45" s="13" t="str">
        <x:v>Bernanke subprime korkularını yatıştırırken Beazer soruşturmayla karşı karşıya</x:v>
      </x:c>
      <x:c r="I45" s="13" t="str">
        <x:v>neutral</x:v>
      </x:c>
      <x:c r="J45" s="13" t="n">
        <x:v>0</x:v>
      </x:c>
      <x:c r="K45" s="13" t="n">
        <x:v>0.62</x:v>
      </x:c>
      <x:c r="L45" s="13" t="str">
        <x:v>Olumlu ve olumsuz unsurlar birlikte; baskın yön net değil.</x:v>
      </x:c>
      <x:c r="M45" s="13" t="str">
        <x:f>IF(E45=I45,"same","different_review")</x:f>
        <x:v>different_review</x:v>
      </x:c>
      <x:c r="N45" s="13" t="str">
        <x:f>IF(M45="same","","FinBERT label differs; review if needed")</x:f>
        <x:v>FinBERT label differs; review if needed</x:v>
      </x:c>
    </x:row>
    <x:row r="46">
      <x:c r="A46" s="13" t="n">
        <x:v>45</x:v>
      </x:c>
      <x:c r="B46" s="13" t="str">
        <x:v>REUTERS_ANN_01795</x:v>
      </x:c>
      <x:c r="C46" s="13" t="str">
        <x:v>2007-04-22 00:00:00</x:v>
      </x:c>
      <x:c r="D46" s="13" t="n">
        <x:v>0</x:v>
      </x:c>
      <x:c r="E46" s="13" t="str">
        <x:v>neutral</x:v>
      </x:c>
      <x:c r="F46" s="13" t="n">
        <x:v>0.932084023952484</x:v>
      </x:c>
      <x:c r="G46" s="13" t="str">
        <x:v>lasalle would plug chicago gap for bank of america</x:v>
      </x:c>
      <x:c r="H46" s="13" t="str">
        <x:v>LaSalle, Bank of America’nın Chicago açığını kapatabilir</x:v>
      </x:c>
      <x:c r="I46" s="13" t="str">
        <x:v>positive</x:v>
      </x:c>
      <x:c r="J46" s="13" t="n">
        <x:v>1</x:v>
      </x:c>
      <x:c r="K46" s="13" t="n">
        <x:v>0.68</x:v>
      </x:c>
      <x:c r="L46" s="13" t="str">
        <x:v>Olası stratejik uyum Bank of America açısından olumlu değerlendirilebilir.</x:v>
      </x:c>
      <x:c r="M46" s="13" t="str">
        <x:f>IF(E46=I46,"same","different_review")</x:f>
        <x:v>different_review</x:v>
      </x:c>
      <x:c r="N46" s="13" t="str">
        <x:f>IF(M46="same","","FinBERT label differs; review if needed")</x:f>
        <x:v>FinBERT label differs; review if needed</x:v>
      </x:c>
    </x:row>
    <x:row r="47">
      <x:c r="A47" s="13" t="n">
        <x:v>46</x:v>
      </x:c>
      <x:c r="B47" s="13" t="str">
        <x:v>REUTERS_ANN_01796</x:v>
      </x:c>
      <x:c r="C47" s="13" t="str">
        <x:v>2006-11-14 00:00:00</x:v>
      </x:c>
      <x:c r="D47" s="13" t="n">
        <x:v>0</x:v>
      </x:c>
      <x:c r="E47" s="13" t="str">
        <x:v>neutral</x:v>
      </x:c>
      <x:c r="F47" s="13" t="n">
        <x:v>0.910724401473999</x:v>
      </x:c>
      <x:c r="G47" s="13" t="str">
        <x:v>individual investors flock to booming china shares</x:v>
      </x:c>
      <x:c r="H47" s="13" t="str">
        <x:v>Bireysel yatırımcılar hızla yükselen Çin hisselerine akın ediyor</x:v>
      </x:c>
      <x:c r="I47" s="13" t="str">
        <x:v>positive</x:v>
      </x:c>
      <x:c r="J47" s="13" t="n">
        <x:v>1</x:v>
      </x:c>
      <x:c r="K47" s="13" t="n">
        <x:v>0.75</x:v>
      </x:c>
      <x:c r="L47" s="13" t="str">
        <x:v>Yatırımcı ilgisi ve piyasa canlılığı olumlu ton taşıyor.</x:v>
      </x:c>
      <x:c r="M47" s="13" t="str">
        <x:f>IF(E47=I47,"same","different_review")</x:f>
        <x:v>different_review</x:v>
      </x:c>
      <x:c r="N47" s="13" t="str">
        <x:f>IF(M47="same","","FinBERT label differs; review if needed")</x:f>
        <x:v>FinBERT label differs; review if needed</x:v>
      </x:c>
    </x:row>
    <x:row r="48">
      <x:c r="A48" s="13" t="n">
        <x:v>47</x:v>
      </x:c>
      <x:c r="B48" s="13" t="str">
        <x:v>REUTERS_ANN_01797</x:v>
      </x:c>
      <x:c r="C48" s="13" t="str">
        <x:v>2007-04-26 00:00:00</x:v>
      </x:c>
      <x:c r="D48" s="13" t="n">
        <x:v>-1</x:v>
      </x:c>
      <x:c r="E48" s="13" t="str">
        <x:v>negative</x:v>
      </x:c>
      <x:c r="F48" s="13" t="n">
        <x:v>0.6028003096580505</x:v>
      </x:c>
      <x:c r="G48" s="13" t="str">
        <x:v>wendys ceo says review was boards decision</x:v>
      </x:c>
      <x:c r="H48" s="13" t="str">
        <x:v>Wendy’s CEO’su incelemenin yönetim kurulunun kararı olduğunu söyledi</x:v>
      </x:c>
      <x:c r="I48" s="13" t="str">
        <x:v>neutral</x:v>
      </x:c>
      <x:c r="J48" s="13" t="n">
        <x:v>0</x:v>
      </x:c>
      <x:c r="K48" s="13" t="n">
        <x:v>0.78</x:v>
      </x:c>
      <x:c r="L48" s="13" t="str">
        <x:v>Şirket içi değerlendirme sürecine dair açıklama; finansal yön yok.</x:v>
      </x:c>
      <x:c r="M48" s="13" t="str">
        <x:f>IF(E48=I48,"same","different_review")</x:f>
        <x:v>different_review</x:v>
      </x:c>
      <x:c r="N48" s="13" t="str">
        <x:f>IF(M48="same","","FinBERT label differs; review if needed")</x:f>
        <x:v>FinBERT label differs; review if needed</x:v>
      </x:c>
    </x:row>
    <x:row r="49">
      <x:c r="A49" s="13" t="n">
        <x:v>48</x:v>
      </x:c>
      <x:c r="B49" s="13" t="str">
        <x:v>REUTERS_ANN_01798</x:v>
      </x:c>
      <x:c r="C49" s="13" t="str">
        <x:v>2007-01-05 00:00:00</x:v>
      </x:c>
      <x:c r="D49" s="13" t="n">
        <x:v>-1</x:v>
      </x:c>
      <x:c r="E49" s="13" t="str">
        <x:v>negative</x:v>
      </x:c>
      <x:c r="F49" s="13" t="n">
        <x:v>0.97284197807312</x:v>
      </x:c>
      <x:c r="G49" s="13" t="str">
        <x:v>shares off on rate worry</x:v>
      </x:c>
      <x:c r="H49" s="13" t="str">
        <x:v>Faiz endişesiyle hisseler geriledi</x:v>
      </x:c>
      <x:c r="I49" s="13" t="str">
        <x:v>negative</x:v>
      </x:c>
      <x:c r="J49" s="13" t="n">
        <x:v>-1</x:v>
      </x:c>
      <x:c r="K49" s="13" t="n">
        <x:v>0.92</x:v>
      </x:c>
      <x:c r="L49" s="13" t="str">
        <x:v>Faiz endişesi ve hisse düşüşü açık olumsuz piyasa sinyali.</x:v>
      </x:c>
      <x:c r="M49" s="13" t="str">
        <x:f>IF(E49=I49,"same","different_review")</x:f>
        <x:v>same</x:v>
      </x:c>
      <x:c r="N49" s="13" t="str">
        <x:f>IF(M49="same","","FinBERT label differs; review if needed")</x:f>
      </x:c>
    </x:row>
    <x:row r="50">
      <x:c r="A50" s="13" t="n">
        <x:v>49</x:v>
      </x:c>
      <x:c r="B50" s="13" t="str">
        <x:v>REUTERS_ANN_01799</x:v>
      </x:c>
      <x:c r="C50" s="13" t="str">
        <x:v>2007-02-06 00:00:00</x:v>
      </x:c>
      <x:c r="D50" s="13" t="n">
        <x:v>1</x:v>
      </x:c>
      <x:c r="E50" s="13" t="str">
        <x:v>positive</x:v>
      </x:c>
      <x:c r="F50" s="13" t="n">
        <x:v>0.95080828666687</x:v>
      </x:c>
      <x:c r="G50" s="13" t="str">
        <x:v>man posts 57 pct rise in q4 operating profit</x:v>
      </x:c>
      <x:c r="H50" s="13" t="str">
        <x:v>MAN dördüncü çeyrek faaliyet kârında yüzde 57 artış açıkladı</x:v>
      </x:c>
      <x:c r="I50" s="13" t="str">
        <x:v>positive</x:v>
      </x:c>
      <x:c r="J50" s="13" t="n">
        <x:v>1</x:v>
      </x:c>
      <x:c r="K50" s="13" t="n">
        <x:v>0.95</x:v>
      </x:c>
      <x:c r="L50" s="13" t="str">
        <x:v>Faaliyet kârındaki güçlü artış olumlu.</x:v>
      </x:c>
      <x:c r="M50" s="13" t="str">
        <x:f>IF(E50=I50,"same","different_review")</x:f>
        <x:v>same</x:v>
      </x:c>
      <x:c r="N50" s="13" t="str">
        <x:f>IF(M50="same","","FinBERT label differs; review if needed")</x:f>
      </x:c>
    </x:row>
    <x:row r="51">
      <x:c r="A51" s="13" t="n">
        <x:v>50</x:v>
      </x:c>
      <x:c r="B51" s="13" t="str">
        <x:v>REUTERS_ANN_01800</x:v>
      </x:c>
      <x:c r="C51" s="13" t="str">
        <x:v>2007-04-30 00:00:00</x:v>
      </x:c>
      <x:c r="D51" s="13" t="n">
        <x:v>0</x:v>
      </x:c>
      <x:c r="E51" s="13" t="str">
        <x:v>neutral</x:v>
      </x:c>
      <x:c r="F51" s="13" t="n">
        <x:v>0.7159981727600098</x:v>
      </x:c>
      <x:c r="G51" s="13" t="str">
        <x:v>bce to complete review in q3, may privatize</x:v>
      </x:c>
      <x:c r="H51" s="13" t="str">
        <x:v>BCE incelemeyi üçüncü çeyrekte tamamlayacak, özelleştirme olabilir</x:v>
      </x:c>
      <x:c r="I51" s="13" t="str">
        <x:v>neutral</x:v>
      </x:c>
      <x:c r="J51" s="13" t="n">
        <x:v>0</x:v>
      </x:c>
      <x:c r="K51" s="13" t="n">
        <x:v>0.72</x:v>
      </x:c>
      <x:c r="L51" s="13" t="str">
        <x:v>İnceleme ve olası özelleştirme belirsizlik içeriyor; yön net değil.</x:v>
      </x:c>
      <x:c r="M51" s="13" t="str">
        <x:f>IF(E51=I51,"same","different_review")</x:f>
        <x:v>same</x:v>
      </x:c>
      <x:c r="N51" s="13" t="str">
        <x:f>IF(M51="same","","FinBERT label differs; review if needed")</x:f>
      </x:c>
    </x:row>
  </x:sheetData>
  <x:conditionalFormatting sqref="I2:I5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conditionalFormatting sqref="M2:M51">
    <x:cfRule type="expression" dxfId="3" priority="4">
      <x:formula>M2="different_review"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a99634f8db4b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7" t="str">
        <x:v>REUTERS Annotation Batch 036</x:v>
      </x:c>
      <x:c r="B1"/>
      <x:c r="C1"/>
      <x:c r="D1"/>
    </x:row>
    <x:row r="2">
      <x:c r="A2" t="str">
        <x:v>Rows</x:v>
      </x:c>
      <x:c r="B2" t="str">
        <x:v>1750 - 1799</x:v>
      </x:c>
      <x:c r="C2"/>
      <x:c r="D2"/>
    </x:row>
    <x:row r="3">
      <x:c r="A3" t="str">
        <x:v>Total records</x:v>
      </x:c>
      <x:c r="B3" t="n">
        <x:v>50</x:v>
      </x:c>
      <x:c r="C3"/>
      <x:c r="D3"/>
    </x:row>
    <x:row r="4">
      <x:c r="A4" t="str"/>
      <x:c r="B4" t="str"/>
      <x:c r="C4" t="str"/>
      <x:c r="D4" t="str"/>
    </x:row>
    <x:row r="5">
      <x:c r="A5" s="5" t="str">
        <x:v>ChatGPT label</x:v>
      </x:c>
      <x:c r="B5" s="5" t="str">
        <x:v>Count</x:v>
      </x:c>
      <x:c r="C5" s="5" t="str">
        <x:v>Share</x:v>
      </x:c>
      <x:c r="D5" t="str"/>
    </x:row>
    <x:row r="6">
      <x:c r="A6" t="str">
        <x:v>positive</x:v>
      </x:c>
      <x:c r="B6" t="n">
        <x:f>COUNTIF(annotations!I:I,A6)</x:f>
        <x:v>21</x:v>
      </x:c>
      <x:c r="C6" s="20" t="n">
        <x:f>B6/$B$3</x:f>
        <x:v>0.42</x:v>
      </x:c>
      <x:c r="D6" t="str"/>
    </x:row>
    <x:row r="7">
      <x:c r="A7" t="str">
        <x:v>neutral</x:v>
      </x:c>
      <x:c r="B7" t="n">
        <x:f>COUNTIF(annotations!I:I,A7)</x:f>
        <x:v>10</x:v>
      </x:c>
      <x:c r="C7" s="20" t="n">
        <x:f>B7/$B$3</x:f>
        <x:v>0.2</x:v>
      </x:c>
      <x:c r="D7" t="str"/>
    </x:row>
    <x:row r="8">
      <x:c r="A8" t="str">
        <x:v>negative</x:v>
      </x:c>
      <x:c r="B8" t="n">
        <x:f>COUNTIF(annotations!I:I,A8)</x:f>
        <x:v>19</x:v>
      </x:c>
      <x:c r="C8" s="20" t="n">
        <x:f>B8/$B$3</x:f>
        <x:v>0.38</x:v>
      </x:c>
      <x:c r="D8" t="str"/>
    </x:row>
    <x:row r="9">
      <x:c r="A9" t="str"/>
      <x:c r="B9" t="str"/>
      <x:c r="C9" s="20" t="str"/>
      <x:c r="D9" t="str"/>
    </x:row>
    <x:row r="10">
      <x:c r="A10" s="5" t="str">
        <x:v>FinBERT comparison</x:v>
      </x:c>
      <x:c r="B10" s="5" t="str">
        <x:v>Count</x:v>
      </x:c>
      <x:c r="C10" s="21" t="str">
        <x:v>Share</x:v>
      </x:c>
      <x:c r="D10" t="str"/>
    </x:row>
    <x:row r="11">
      <x:c r="A11" t="str">
        <x:v>same</x:v>
      </x:c>
      <x:c r="B11" t="n">
        <x:f>COUNTIF(annotations!M:M,A11)</x:f>
        <x:v>29</x:v>
      </x:c>
      <x:c r="C11" s="20" t="n">
        <x:f>B11/$B$3</x:f>
        <x:v>0.58</x:v>
      </x:c>
      <x:c r="D11" t="str"/>
    </x:row>
    <x:row r="12">
      <x:c r="A12" t="str">
        <x:v>different_review</x:v>
      </x:c>
      <x:c r="B12" t="n">
        <x:f>COUNTIF(annotations!M:M,A12)</x:f>
        <x:v>21</x:v>
      </x:c>
      <x:c r="C12" s="20" t="n">
        <x:f>B12/$B$3</x:f>
        <x:v>0.42</x:v>
      </x:c>
      <x:c r="D12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t="str">
        <x:v>text_tr</x:v>
      </x:c>
      <x:c r="B2" t="str">
        <x:v>Original Reuters headline translated into Turkish.</x:v>
      </x:c>
    </x:row>
    <x:row r="3">
      <x:c r="A3" t="str">
        <x:v>chatgpt_label</x:v>
      </x:c>
      <x:c r="B3" t="str">
        <x:v>Final sentiment label based on dominant financial/market/company signal.</x:v>
      </x:c>
    </x:row>
    <x:row r="4">
      <x:c r="A4" t="str">
        <x:v>chatgpt_confidence</x:v>
      </x:c>
      <x:c r="B4" t="str">
        <x:v>Human-style confidence score from 0 to 1.</x:v>
      </x:c>
    </x:row>
    <x:row r="5">
      <x:c r="A5" t="str">
        <x:v>chatgpt_reason_tr</x:v>
      </x:c>
      <x:c r="B5" t="str">
        <x:v>Short Turkish rationale for the chosen label.</x:v>
      </x:c>
    </x:row>
    <x:row r="6">
      <x:c r="A6" t="str">
        <x:v>finbert_match</x:v>
      </x:c>
      <x:c r="B6" t="str">
        <x:v>Formula-based comparison between FinBERT label and ChatGPT label.</x:v>
      </x:c>
    </x:row>
    <x:row r="7">
      <x:c r="A7" t="str">
        <x:v>Rule of thumb</x:v>
      </x:c>
      <x:c r="B7" t="str">
        <x:v>Profit/revenue/guidance increases are positive; losses, lawsuits, recalls, delays, weak sales, job cuts and market drops are negative; purely factual M&amp;A/process/headcount/appointment/factbox items are neutral unless the title implies clear value creation or harm.</x:v>
      </x:c>
    </x:row>
  </x:sheetData>
  <x:pageMargins left="0.7" right="0.7" top="0.75" bottom="0.75" header="0.3" footer="0.3"/>
</x:worksheet>
</file>