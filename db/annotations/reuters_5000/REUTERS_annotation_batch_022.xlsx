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a6c6d9230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c29a2dab1864bb6"/>
    <x:sheet xmlns:r="http://schemas.openxmlformats.org/officeDocument/2006/relationships" name="summary" sheetId="2" r:id="Ra1d5b5aa40a04db8"/>
    <x:sheet xmlns:r="http://schemas.openxmlformats.org/officeDocument/2006/relationships" name="labeling_notes" sheetId="3" r:id="Rca437b334457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d1809155f483d" /><Relationship Type="http://schemas.openxmlformats.org/officeDocument/2006/relationships/theme" Target="/xl/theme/theme1.xml" Id="Rf4f6097b03e14c99" /><Relationship Type="http://schemas.openxmlformats.org/officeDocument/2006/relationships/sharedStrings" Target="/xl/sharedStrings.xml" Id="R12d6141c556a4be9" /><Relationship Type="http://schemas.openxmlformats.org/officeDocument/2006/relationships/worksheet" Target="/xl/worksheets/sheet1.xml" Id="Rfc29a2dab1864bb6" /><Relationship Type="http://schemas.openxmlformats.org/officeDocument/2006/relationships/worksheet" Target="/xl/worksheets/sheet2.xml" Id="Ra1d5b5aa40a04db8" /><Relationship Type="http://schemas.openxmlformats.org/officeDocument/2006/relationships/worksheet" Target="/xl/worksheets/sheet3.xml" Id="Rca437b3344574bce" /></Relationships>
</file>

<file path=xl/tables/table1.xml><?xml version="1.0" encoding="utf-8"?>
<x:table xmlns:x="http://schemas.openxmlformats.org/spreadsheetml/2006/main" id="1" name="ReutersBatch022Table" displayName="ReutersBatch022Table" ref="A1:O51" headerRowCount="1">
  <x:tableColumns count="15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score"/>
    <x:tableColumn id="10" name="chatgpt_confidence"/>
    <x:tableColumn id="11" name="chatgpt_reason_tr"/>
    <x:tableColumn id="12" name="finbert_comparison"/>
    <x:tableColumn id="13" name="review_needed"/>
    <x:tableColumn id="14" name="label_source_type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a7036bde140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8" hidden="0" customWidth="1"/>
    <x:col min="8" max="8" width="16" hidden="0" customWidth="1"/>
    <x:col min="9" max="9" width="12" hidden="0" customWidth="1"/>
    <x:col min="10" max="10" width="18" hidden="0" customWidth="1"/>
    <x:col min="11" max="11" width="56" hidden="0" customWidth="1"/>
    <x:col min="12" max="12" width="18" hidden="0" customWidth="1"/>
    <x:col min="13" max="13" width="14" hidden="0" customWidth="1"/>
    <x:col min="14" max="14" width="28" hidden="0" customWidth="1"/>
    <x:col min="15" max="15" width="20" hidden="0" customWidth="1"/>
  </x:cols>
  <x:sheetData>
    <x:row r="1">
      <x:c r="A1" s="20" t="str">
        <x:v>annotation_id</x:v>
      </x:c>
      <x:c r="B1" s="20" t="str">
        <x:v>date</x:v>
      </x:c>
      <x:c r="C1" s="20" t="str">
        <x:v>finbert_score</x:v>
      </x:c>
      <x:c r="D1" s="20" t="str">
        <x:v>finbert_label</x:v>
      </x:c>
      <x:c r="E1" s="20" t="str">
        <x:v>finbert_confidence</x:v>
      </x:c>
      <x:c r="F1" s="20" t="str">
        <x:v>text_en</x:v>
      </x:c>
      <x:c r="G1" s="20" t="str">
        <x:v>text_tr</x:v>
      </x:c>
      <x:c r="H1" s="20" t="str">
        <x:v>chatgpt_label</x:v>
      </x:c>
      <x:c r="I1" s="20" t="str">
        <x:v>chatgpt_score</x:v>
      </x:c>
      <x:c r="J1" s="20" t="str">
        <x:v>chatgpt_confidence</x:v>
      </x:c>
      <x:c r="K1" s="20" t="str">
        <x:v>chatgpt_reason_tr</x:v>
      </x:c>
      <x:c r="L1" s="20" t="str">
        <x:v>finbert_comparison</x:v>
      </x:c>
      <x:c r="M1" s="20" t="str">
        <x:v>review_needed</x:v>
      </x:c>
      <x:c r="N1" s="20" t="str">
        <x:v>label_source_type</x:v>
      </x:c>
      <x:c r="O1" s="20" t="str">
        <x:v>row_note</x:v>
      </x:c>
    </x:row>
    <x:row r="2">
      <x:c r="A2" s="21" t="str">
        <x:v>REUTERS_ANN_01051</x:v>
      </x:c>
      <x:c r="B2" s="22" t="n">
        <x:v>39178</x:v>
      </x:c>
      <x:c r="C2" s="21" t="n">
        <x:v>0</x:v>
      </x:c>
      <x:c r="D2" s="21" t="str">
        <x:v>neutral</x:v>
      </x:c>
      <x:c r="E2" s="23" t="n">
        <x:v>0.9236706495285034</x:v>
      </x:c>
      <x:c r="F2" s="21" t="str">
        <x:v>tribune deal would give zell broad powers</x:v>
      </x:c>
      <x:c r="G2" s="21" t="str">
        <x:v>Tribune anlaşması Zell’e geniş yetkiler verecekti.</x:v>
      </x:c>
      <x:c r="H2" s="21" t="str">
        <x:v>neutral</x:v>
      </x:c>
      <x:c r="I2" s="21" t="n">
        <x:v>0</x:v>
      </x:c>
      <x:c r="J2" s="24" t="n">
        <x:v>0.78</x:v>
      </x:c>
      <x:c r="K2" s="21" t="str">
        <x:v>Anlaşma ve yetki yapısı anlatılıyor; doğrudan olumlu/olumsuz finansal sonuç belirtilmiyor.</x:v>
      </x:c>
      <x:c r="L2" s="21" t="str">
        <x:f>IF(D2=H2,"same","different")</x:f>
        <x:v>same</x:v>
      </x:c>
      <x:c r="M2" s="21" t="str">
        <x:f>IF(L2="different","review","")</x:f>
      </x:c>
      <x:c r="N2" s="21" t="str">
        <x:v>headline_level_manual_chatgpt_review</x:v>
      </x:c>
      <x:c r="O2" s="21" t="str"/>
    </x:row>
    <x:row r="3">
      <x:c r="A3" s="21" t="str">
        <x:v>REUTERS_ANN_01052</x:v>
      </x:c>
      <x:c r="B3" s="22" t="n">
        <x:v>39063</x:v>
      </x:c>
      <x:c r="C3" s="21" t="n">
        <x:v>-1</x:v>
      </x:c>
      <x:c r="D3" s="21" t="str">
        <x:v>negative</x:v>
      </x:c>
      <x:c r="E3" s="23" t="n">
        <x:v>0.9638209342956544</x:v>
      </x:c>
      <x:c r="F3" s="21" t="str">
        <x:v>bp execs worried about cost cutting, safety paper</x:v>
      </x:c>
      <x:c r="G3" s="21" t="str">
        <x:v>BP yöneticileri maliyet kesintileri ve güvenlik konusunda endişelendi.</x:v>
      </x:c>
      <x:c r="H3" s="21" t="str">
        <x:v>negative</x:v>
      </x:c>
      <x:c r="I3" s="21" t="n">
        <x:v>-1</x:v>
      </x:c>
      <x:c r="J3" s="24" t="n">
        <x:v>0.93</x:v>
      </x:c>
      <x:c r="K3" s="21" t="str">
        <x:v>Güvenlik ve maliyet baskısı şirket riski yarattığı için olumsuz.</x:v>
      </x:c>
      <x:c r="L3" s="21" t="str">
        <x:f>IF(D3=H3,"same","different")</x:f>
        <x:v>same</x:v>
      </x:c>
      <x:c r="M3" s="21" t="str">
        <x:f>IF(L3="different","review","")</x:f>
      </x:c>
      <x:c r="N3" s="21" t="str">
        <x:v>headline_level_manual_chatgpt_review</x:v>
      </x:c>
      <x:c r="O3" s="21" t="str"/>
    </x:row>
    <x:row r="4">
      <x:c r="A4" s="21" t="str">
        <x:v>REUTERS_ANN_01053</x:v>
      </x:c>
      <x:c r="B4" s="22" t="n">
        <x:v>39057</x:v>
      </x:c>
      <x:c r="C4" s="21" t="n">
        <x:v>0</x:v>
      </x:c>
      <x:c r="D4" s="21" t="str">
        <x:v>neutral</x:v>
      </x:c>
      <x:c r="E4" s="23" t="n">
        <x:v>0.8290888071060181</x:v>
      </x:c>
      <x:c r="F4" s="21" t="str">
        <x:v>delphi steering unit has $3.3 bln of new business</x:v>
      </x:c>
      <x:c r="G4" s="21" t="str">
        <x:v>Delphi’nin direksiyon birimi 3,3 milyar dolarlık yeni iş aldı.</x:v>
      </x:c>
      <x:c r="H4" s="21" t="str">
        <x:v>positive</x:v>
      </x:c>
      <x:c r="I4" s="21" t="n">
        <x:v>1</x:v>
      </x:c>
      <x:c r="J4" s="24" t="n">
        <x:v>0.88</x:v>
      </x:c>
      <x:c r="K4" s="21" t="str">
        <x:v>Yeni iş hacmi ve gelir potansiyeli olumlu sinyal.</x:v>
      </x:c>
      <x:c r="L4" s="21" t="str">
        <x:f>IF(D4=H4,"same","different")</x:f>
        <x:v>different</x:v>
      </x:c>
      <x:c r="M4" s="21" t="str">
        <x:f>IF(L4="different","review","")</x:f>
        <x:v>review</x:v>
      </x:c>
      <x:c r="N4" s="21" t="str">
        <x:v>headline_level_manual_chatgpt_review</x:v>
      </x:c>
      <x:c r="O4" s="21" t="str"/>
    </x:row>
    <x:row r="5">
      <x:c r="A5" s="21" t="str">
        <x:v>REUTERS_ANN_01054</x:v>
      </x:c>
      <x:c r="B5" s="22" t="n">
        <x:v>39034</x:v>
      </x:c>
      <x:c r="C5" s="21" t="n">
        <x:v>0</x:v>
      </x:c>
      <x:c r="D5" s="21" t="str">
        <x:v>neutral</x:v>
      </x:c>
      <x:c r="E5" s="23" t="n">
        <x:v>0.6879903078079224</x:v>
      </x:c>
      <x:c r="F5" s="21" t="str">
        <x:v>american express to buy harbor payments</x:v>
      </x:c>
      <x:c r="G5" s="21" t="str">
        <x:v>American Express, Harbor Payments’ı satın alacak.</x:v>
      </x:c>
      <x:c r="H5" s="21" t="str">
        <x:v>neutral</x:v>
      </x:c>
      <x:c r="I5" s="21" t="n">
        <x:v>0</x:v>
      </x:c>
      <x:c r="J5" s="24" t="n">
        <x:v>0.72</x:v>
      </x:c>
      <x:c r="K5" s="21" t="str">
        <x:v>Satın alma haberi var ancak değer etkisi ve piyasa tepkisi net değil.</x:v>
      </x:c>
      <x:c r="L5" s="21" t="str">
        <x:f>IF(D5=H5,"same","different")</x:f>
        <x:v>same</x:v>
      </x:c>
      <x:c r="M5" s="21" t="str">
        <x:f>IF(L5="different","review","")</x:f>
      </x:c>
      <x:c r="N5" s="21" t="str">
        <x:v>headline_level_manual_chatgpt_review</x:v>
      </x:c>
      <x:c r="O5" s="21" t="str"/>
    </x:row>
    <x:row r="6">
      <x:c r="A6" s="21" t="str">
        <x:v>REUTERS_ANN_01055</x:v>
      </x:c>
      <x:c r="B6" s="22" t="n">
        <x:v>39185</x:v>
      </x:c>
      <x:c r="C6" s="21" t="n">
        <x:v>0</x:v>
      </x:c>
      <x:c r="D6" s="21" t="str">
        <x:v>neutral</x:v>
      </x:c>
      <x:c r="E6" s="23" t="n">
        <x:v>0.4816620945930481</x:v>
      </x:c>
      <x:c r="F6" s="21" t="str">
        <x:v>judge approves ca ex-ceos $800 million restitution</x:v>
      </x:c>
      <x:c r="G6" s="21" t="str">
        <x:v>Hakim, CA eski CEO’larının 800 milyon dolarlık tazminatını onayladı.</x:v>
      </x:c>
      <x:c r="H6" s="21" t="str">
        <x:v>neutral</x:v>
      </x:c>
      <x:c r="I6" s="21" t="n">
        <x:v>0</x:v>
      </x:c>
      <x:c r="J6" s="24" t="n">
        <x:v>0.64</x:v>
      </x:c>
      <x:c r="K6" s="21" t="str">
        <x:v>Hukuki sonuç bildiriliyor; şirket/varlık açısından tek yönlü yatırım sinyali sınırlı.</x:v>
      </x:c>
      <x:c r="L6" s="21" t="str">
        <x:f>IF(D6=H6,"same","different")</x:f>
        <x:v>same</x:v>
      </x:c>
      <x:c r="M6" s="21" t="str">
        <x:f>IF(L6="different","review","")</x:f>
      </x:c>
      <x:c r="N6" s="21" t="str">
        <x:v>headline_level_manual_chatgpt_review</x:v>
      </x:c>
      <x:c r="O6" s="21" t="str"/>
    </x:row>
    <x:row r="7">
      <x:c r="A7" s="21" t="str">
        <x:v>REUTERS_ANN_01056</x:v>
      </x:c>
      <x:c r="B7" s="22" t="n">
        <x:v>39128</x:v>
      </x:c>
      <x:c r="C7" s="21" t="n">
        <x:v>0</x:v>
      </x:c>
      <x:c r="D7" s="21" t="str">
        <x:v>neutral</x:v>
      </x:c>
      <x:c r="E7" s="23" t="n">
        <x:v>0.9189178347587584</x:v>
      </x:c>
      <x:c r="F7" s="21" t="str">
        <x:v>dell hires solectrons cannon to head new division</x:v>
      </x:c>
      <x:c r="G7" s="21" t="str">
        <x:v>Dell, Solectron’dan Cannon’ı yeni birimin başına getirdi.</x:v>
      </x:c>
      <x:c r="H7" s="21" t="str">
        <x:v>neutral</x:v>
      </x:c>
      <x:c r="I7" s="21" t="n">
        <x:v>0</x:v>
      </x:c>
      <x:c r="J7" s="24" t="n">
        <x:v>0.74</x:v>
      </x:c>
      <x:c r="K7" s="21" t="str">
        <x:v>Yönetici ataması operasyonel haber; doğrudan finansal etki belirsiz.</x:v>
      </x:c>
      <x:c r="L7" s="21" t="str">
        <x:f>IF(D7=H7,"same","different")</x:f>
        <x:v>same</x:v>
      </x:c>
      <x:c r="M7" s="21" t="str">
        <x:f>IF(L7="different","review","")</x:f>
      </x:c>
      <x:c r="N7" s="21" t="str">
        <x:v>headline_level_manual_chatgpt_review</x:v>
      </x:c>
      <x:c r="O7" s="21" t="str"/>
    </x:row>
    <x:row r="8">
      <x:c r="A8" s="21" t="str">
        <x:v>REUTERS_ANN_01057</x:v>
      </x:c>
      <x:c r="B8" s="22" t="n">
        <x:v>39128</x:v>
      </x:c>
      <x:c r="C8" s="21" t="n">
        <x:v>1</x:v>
      </x:c>
      <x:c r="D8" s="21" t="str">
        <x:v>positive</x:v>
      </x:c>
      <x:c r="E8" s="23" t="n">
        <x:v>0.9318243265151978</x:v>
      </x:c>
      <x:c r="F8" s="21" t="str">
        <x:v>coca-cola raises quarterly dividend by 10 percent</x:v>
      </x:c>
      <x:c r="G8" s="21" t="str">
        <x:v>Coca-Cola üç aylık temettüsünü yüzde 10 artırdı.</x:v>
      </x:c>
      <x:c r="H8" s="21" t="str">
        <x:v>positive</x:v>
      </x:c>
      <x:c r="I8" s="21" t="n">
        <x:v>1</x:v>
      </x:c>
      <x:c r="J8" s="24" t="n">
        <x:v>0.95</x:v>
      </x:c>
      <x:c r="K8" s="21" t="str">
        <x:v>Temettü artışı hissedar getirisi açısından olumlu.</x:v>
      </x:c>
      <x:c r="L8" s="21" t="str">
        <x:f>IF(D8=H8,"same","different")</x:f>
        <x:v>same</x:v>
      </x:c>
      <x:c r="M8" s="21" t="str">
        <x:f>IF(L8="different","review","")</x:f>
      </x:c>
      <x:c r="N8" s="21" t="str">
        <x:v>headline_level_manual_chatgpt_review</x:v>
      </x:c>
      <x:c r="O8" s="21" t="str"/>
    </x:row>
    <x:row r="9">
      <x:c r="A9" s="21" t="str">
        <x:v>REUTERS_ANN_01058</x:v>
      </x:c>
      <x:c r="B9" s="22" t="n">
        <x:v>39188</x:v>
      </x:c>
      <x:c r="C9" s="21" t="n">
        <x:v>0</x:v>
      </x:c>
      <x:c r="D9" s="21" t="str">
        <x:v>neutral</x:v>
      </x:c>
      <x:c r="E9" s="23" t="n">
        <x:v>0.603416919708252</x:v>
      </x:c>
      <x:c r="F9" s="21" t="str">
        <x:v>everbright bank buying into prudential china fund jv</x:v>
      </x:c>
      <x:c r="G9" s="21" t="str">
        <x:v>Everbright Bank, Prudential’ın Çin fon ortak girişimine ortak oluyor.</x:v>
      </x:c>
      <x:c r="H9" s="21" t="str">
        <x:v>neutral</x:v>
      </x:c>
      <x:c r="I9" s="21" t="n">
        <x:v>0</x:v>
      </x:c>
      <x:c r="J9" s="24" t="n">
        <x:v>0.73</x:v>
      </x:c>
      <x:c r="K9" s="21" t="str">
        <x:v>Ortaklık/satın alma niteliğinde; etkisi için ek bilgi yok.</x:v>
      </x:c>
      <x:c r="L9" s="21" t="str">
        <x:f>IF(D9=H9,"same","different")</x:f>
        <x:v>same</x:v>
      </x:c>
      <x:c r="M9" s="21" t="str">
        <x:f>IF(L9="different","review","")</x:f>
      </x:c>
      <x:c r="N9" s="21" t="str">
        <x:v>headline_level_manual_chatgpt_review</x:v>
      </x:c>
      <x:c r="O9" s="21" t="str"/>
    </x:row>
    <x:row r="10">
      <x:c r="A10" s="21" t="str">
        <x:v>REUTERS_ANN_01059</x:v>
      </x:c>
      <x:c r="B10" s="22" t="n">
        <x:v>39079</x:v>
      </x:c>
      <x:c r="C10" s="21" t="n">
        <x:v>-1</x:v>
      </x:c>
      <x:c r="D10" s="21" t="str">
        <x:v>negative</x:v>
      </x:c>
      <x:c r="E10" s="23" t="n">
        <x:v>0.7898359894752502</x:v>
      </x:c>
      <x:c r="F10" s="21" t="str">
        <x:v>federal reserve to delay fomc minutes to january 3</x:v>
      </x:c>
      <x:c r="G10" s="21" t="str">
        <x:v>Fed, FOMC tutanaklarını 3 Ocak’a erteleyecek.</x:v>
      </x:c>
      <x:c r="H10" s="21" t="str">
        <x:v>neutral</x:v>
      </x:c>
      <x:c r="I10" s="21" t="n">
        <x:v>0</x:v>
      </x:c>
      <x:c r="J10" s="24" t="n">
        <x:v>0.72</x:v>
      </x:c>
      <x:c r="K10" s="21" t="str">
        <x:v>Takvimsel erteleme; doğrudan piyasa yönü net değil.</x:v>
      </x:c>
      <x:c r="L10" s="21" t="str">
        <x:f>IF(D10=H10,"same","different")</x:f>
        <x:v>different</x:v>
      </x:c>
      <x:c r="M10" s="21" t="str">
        <x:f>IF(L10="different","review","")</x:f>
        <x:v>review</x:v>
      </x:c>
      <x:c r="N10" s="21" t="str">
        <x:v>headline_level_manual_chatgpt_review</x:v>
      </x:c>
      <x:c r="O10" s="21" t="str"/>
    </x:row>
    <x:row r="11">
      <x:c r="A11" s="21" t="str">
        <x:v>REUTERS_ANN_01060</x:v>
      </x:c>
      <x:c r="B11" s="22" t="n">
        <x:v>39155</x:v>
      </x:c>
      <x:c r="C11" s="21" t="n">
        <x:v>-1</x:v>
      </x:c>
      <x:c r="D11" s="21" t="str">
        <x:v>negative</x:v>
      </x:c>
      <x:c r="E11" s="23" t="n">
        <x:v>0.8387636542320251</x:v>
      </x:c>
      <x:c r="F11" s="21" t="str">
        <x:v>bank of america paying $26 mln to settle sec case</x:v>
      </x:c>
      <x:c r="G11" s="21" t="str">
        <x:v>Bank of America, SEC davasını kapatmak için 26 milyon dolar ödeyecek.</x:v>
      </x:c>
      <x:c r="H11" s="21" t="str">
        <x:v>negative</x:v>
      </x:c>
      <x:c r="I11" s="21" t="n">
        <x:v>-1</x:v>
      </x:c>
      <x:c r="J11" s="24" t="n">
        <x:v>0.89</x:v>
      </x:c>
      <x:c r="K11" s="21" t="str">
        <x:v>Regülatör uzlaşması ve ödeme şirket için olumsuz hukuki/maliyet sinyali.</x:v>
      </x:c>
      <x:c r="L11" s="21" t="str">
        <x:f>IF(D11=H11,"same","different")</x:f>
        <x:v>same</x:v>
      </x:c>
      <x:c r="M11" s="21" t="str">
        <x:f>IF(L11="different","review","")</x:f>
      </x:c>
      <x:c r="N11" s="21" t="str">
        <x:v>headline_level_manual_chatgpt_review</x:v>
      </x:c>
      <x:c r="O11" s="21" t="str"/>
    </x:row>
    <x:row r="12">
      <x:c r="A12" s="21" t="str">
        <x:v>REUTERS_ANN_01061</x:v>
      </x:c>
      <x:c r="B12" s="22" t="n">
        <x:v>39119</x:v>
      </x:c>
      <x:c r="C12" s="21" t="n">
        <x:v>-1</x:v>
      </x:c>
      <x:c r="D12" s="21" t="str">
        <x:v>negative</x:v>
      </x:c>
      <x:c r="E12" s="23" t="n">
        <x:v>0.9223759174346924</x:v>
      </x:c>
      <x:c r="F12" s="21" t="str">
        <x:v>nike to open 100 stores worldwide within 3 years</x:v>
      </x:c>
      <x:c r="G12" s="21" t="str">
        <x:v>Nike üç yıl içinde dünya çapında 100 mağaza açacak.</x:v>
      </x:c>
      <x:c r="H12" s="21" t="str">
        <x:v>positive</x:v>
      </x:c>
      <x:c r="I12" s="21" t="n">
        <x:v>1</x:v>
      </x:c>
      <x:c r="J12" s="24" t="n">
        <x:v>0.86</x:v>
      </x:c>
      <x:c r="K12" s="21" t="str">
        <x:v>Mağaza açılışı büyüme ve genişleme sinyali veriyor.</x:v>
      </x:c>
      <x:c r="L12" s="21" t="str">
        <x:f>IF(D12=H12,"same","different")</x:f>
        <x:v>different</x:v>
      </x:c>
      <x:c r="M12" s="21" t="str">
        <x:f>IF(L12="different","review","")</x:f>
        <x:v>review</x:v>
      </x:c>
      <x:c r="N12" s="21" t="str">
        <x:v>headline_level_manual_chatgpt_review</x:v>
      </x:c>
      <x:c r="O12" s="21" t="str"/>
    </x:row>
    <x:row r="13">
      <x:c r="A13" s="21" t="str">
        <x:v>REUTERS_ANN_01062</x:v>
      </x:c>
      <x:c r="B13" s="22" t="n">
        <x:v>39051</x:v>
      </x:c>
      <x:c r="C13" s="21" t="n">
        <x:v>-1</x:v>
      </x:c>
      <x:c r="D13" s="21" t="str">
        <x:v>negative</x:v>
      </x:c>
      <x:c r="E13" s="23" t="n">
        <x:v>0.975925087928772</x:v>
      </x:c>
      <x:c r="F13" s="21" t="str">
        <x:v>anntaylor november same-store sales fall 4.3 pct</x:v>
      </x:c>
      <x:c r="G13" s="21" t="str">
        <x:v>AnnTaylor’ın kasım aynı mağaza satışları yüzde 4,3 düştü.</x:v>
      </x:c>
      <x:c r="H13" s="21" t="str">
        <x:v>negative</x:v>
      </x:c>
      <x:c r="I13" s="21" t="n">
        <x:v>-1</x:v>
      </x:c>
      <x:c r="J13" s="24" t="n">
        <x:v>0.95</x:v>
      </x:c>
      <x:c r="K13" s="21" t="str">
        <x:v>Satış düşüşü perakende performansı açısından olumsuz.</x:v>
      </x:c>
      <x:c r="L13" s="21" t="str">
        <x:f>IF(D13=H13,"same","different")</x:f>
        <x:v>same</x:v>
      </x:c>
      <x:c r="M13" s="21" t="str">
        <x:f>IF(L13="different","review","")</x:f>
      </x:c>
      <x:c r="N13" s="21" t="str">
        <x:v>headline_level_manual_chatgpt_review</x:v>
      </x:c>
      <x:c r="O13" s="21" t="str"/>
    </x:row>
    <x:row r="14">
      <x:c r="A14" s="21" t="str">
        <x:v>REUTERS_ANN_01063</x:v>
      </x:c>
      <x:c r="B14" s="22" t="n">
        <x:v>39078</x:v>
      </x:c>
      <x:c r="C14" s="21" t="n">
        <x:v>0</x:v>
      </x:c>
      <x:c r="D14" s="21" t="str">
        <x:v>neutral</x:v>
      </x:c>
      <x:c r="E14" s="23" t="n">
        <x:v>0.9321994185447692</x:v>
      </x:c>
      <x:c r="F14" s="21" t="str">
        <x:v>finance new year, new goals -- one step at a time</x:v>
      </x:c>
      <x:c r="G14" s="21" t="str">
        <x:v>Finans: Yeni yıl, yeni hedefler — adım adım ilerleme.</x:v>
      </x:c>
      <x:c r="H14" s="21" t="str">
        <x:v>neutral</x:v>
      </x:c>
      <x:c r="I14" s="21" t="n">
        <x:v>0</x:v>
      </x:c>
      <x:c r="J14" s="24" t="n">
        <x:v>0.68</x:v>
      </x:c>
      <x:c r="K14" s="21" t="str">
        <x:v>Kişisel finans/rehber içerik; şirket veya piyasa yönü yok.</x:v>
      </x:c>
      <x:c r="L14" s="21" t="str">
        <x:f>IF(D14=H14,"same","different")</x:f>
        <x:v>same</x:v>
      </x:c>
      <x:c r="M14" s="21" t="str">
        <x:f>IF(L14="different","review","")</x:f>
      </x:c>
      <x:c r="N14" s="21" t="str">
        <x:v>headline_level_manual_chatgpt_review</x:v>
      </x:c>
      <x:c r="O14" s="21" t="str"/>
    </x:row>
    <x:row r="15">
      <x:c r="A15" s="21" t="str">
        <x:v>REUTERS_ANN_01064</x:v>
      </x:c>
      <x:c r="B15" s="22" t="n">
        <x:v>39192</x:v>
      </x:c>
      <x:c r="C15" s="21" t="n">
        <x:v>-1</x:v>
      </x:c>
      <x:c r="D15" s="21" t="str">
        <x:v>negative</x:v>
      </x:c>
      <x:c r="E15" s="23" t="n">
        <x:v>0.8179857134819031</x:v>
      </x:c>
      <x:c r="F15" s="21" t="str">
        <x:v>ticketmaster takes legal action against ebays stubhub</x:v>
      </x:c>
      <x:c r="G15" s="21" t="str">
        <x:v>Ticketmaster, eBay’in StubHub’ına karşı yasal işlem başlattı.</x:v>
      </x:c>
      <x:c r="H15" s="21" t="str">
        <x:v>negative</x:v>
      </x:c>
      <x:c r="I15" s="21" t="n">
        <x:v>-1</x:v>
      </x:c>
      <x:c r="J15" s="24" t="n">
        <x:v>0.86</x:v>
      </x:c>
      <x:c r="K15" s="21" t="str">
        <x:v>Hukuki ihtilaf ve dava riski olumsuz.</x:v>
      </x:c>
      <x:c r="L15" s="21" t="str">
        <x:f>IF(D15=H15,"same","different")</x:f>
        <x:v>same</x:v>
      </x:c>
      <x:c r="M15" s="21" t="str">
        <x:f>IF(L15="different","review","")</x:f>
      </x:c>
      <x:c r="N15" s="21" t="str">
        <x:v>headline_level_manual_chatgpt_review</x:v>
      </x:c>
      <x:c r="O15" s="21" t="str"/>
    </x:row>
    <x:row r="16">
      <x:c r="A16" s="21" t="str">
        <x:v>REUTERS_ANN_01065</x:v>
      </x:c>
      <x:c r="B16" s="22" t="n">
        <x:v>39069</x:v>
      </x:c>
      <x:c r="C16" s="21" t="n">
        <x:v>-1</x:v>
      </x:c>
      <x:c r="D16" s="21" t="str">
        <x:v>negative</x:v>
      </x:c>
      <x:c r="E16" s="23" t="n">
        <x:v>0.7969047427177429</x:v>
      </x:c>
      <x:c r="F16" s="21" t="str">
        <x:v>vnu to cut 4,000 jobs, sell european unit to 3i</x:v>
      </x:c>
      <x:c r="G16" s="21" t="str">
        <x:v>VNU 4.000 kişiyi işten çıkaracak ve Avrupa birimini 3i’ye satacak.</x:v>
      </x:c>
      <x:c r="H16" s="21" t="str">
        <x:v>negative</x:v>
      </x:c>
      <x:c r="I16" s="21" t="n">
        <x:v>-1</x:v>
      </x:c>
      <x:c r="J16" s="24" t="n">
        <x:v>0.91</x:v>
      </x:c>
      <x:c r="K16" s="21" t="str">
        <x:v>İşten çıkarma ve yeniden yapılanma baskısı olumsuz ağırlık taşıyor.</x:v>
      </x:c>
      <x:c r="L16" s="21" t="str">
        <x:f>IF(D16=H16,"same","different")</x:f>
        <x:v>same</x:v>
      </x:c>
      <x:c r="M16" s="21" t="str">
        <x:f>IF(L16="different","review","")</x:f>
      </x:c>
      <x:c r="N16" s="21" t="str">
        <x:v>headline_level_manual_chatgpt_review</x:v>
      </x:c>
      <x:c r="O16" s="21" t="str"/>
    </x:row>
    <x:row r="17">
      <x:c r="A17" s="21" t="str">
        <x:v>REUTERS_ANN_01066</x:v>
      </x:c>
      <x:c r="B17" s="22" t="n">
        <x:v>39093</x:v>
      </x:c>
      <x:c r="C17" s="21" t="n">
        <x:v>1</x:v>
      </x:c>
      <x:c r="D17" s="21" t="str">
        <x:v>positive</x:v>
      </x:c>
      <x:c r="E17" s="23" t="n">
        <x:v>0.9397159218788148</x:v>
      </x:c>
      <x:c r="F17" s="21" t="str">
        <x:v>brokerage says essilor may buy cooper companies</x:v>
      </x:c>
      <x:c r="G17" s="21" t="str">
        <x:v>Aracı kurum, Essilor’un Cooper Companies’i alabileceğini söyledi.</x:v>
      </x:c>
      <x:c r="H17" s="21" t="str">
        <x:v>positive</x:v>
      </x:c>
      <x:c r="I17" s="21" t="n">
        <x:v>1</x:v>
      </x:c>
      <x:c r="J17" s="24" t="n">
        <x:v>0.72</x:v>
      </x:c>
      <x:c r="K17" s="21" t="str">
        <x:v>Olası satın alma büyüme/stratejik genişleme sinyali.</x:v>
      </x:c>
      <x:c r="L17" s="21" t="str">
        <x:f>IF(D17=H17,"same","different")</x:f>
        <x:v>same</x:v>
      </x:c>
      <x:c r="M17" s="21" t="str">
        <x:f>IF(L17="different","review","")</x:f>
      </x:c>
      <x:c r="N17" s="21" t="str">
        <x:v>headline_level_manual_chatgpt_review</x:v>
      </x:c>
      <x:c r="O17" s="21" t="str"/>
    </x:row>
    <x:row r="18">
      <x:c r="A18" s="21" t="str">
        <x:v>REUTERS_ANN_01067</x:v>
      </x:c>
      <x:c r="B18" s="22" t="n">
        <x:v>39171</x:v>
      </x:c>
      <x:c r="C18" s="21" t="n">
        <x:v>0</x:v>
      </x:c>
      <x:c r="D18" s="21" t="str">
        <x:v>neutral</x:v>
      </x:c>
      <x:c r="E18" s="23" t="n">
        <x:v>0.9287890195846558</x:v>
      </x:c>
      <x:c r="F18" s="21" t="str">
        <x:v>bain, blackstone among ceridian bidders sources</x:v>
      </x:c>
      <x:c r="G18" s="21" t="str">
        <x:v>Kaynaklara göre Bain ve Blackstone, Ceridian için teklif verenler arasında.</x:v>
      </x:c>
      <x:c r="H18" s="21" t="str">
        <x:v>neutral</x:v>
      </x:c>
      <x:c r="I18" s="21" t="n">
        <x:v>0</x:v>
      </x:c>
      <x:c r="J18" s="24" t="n">
        <x:v>0.73</x:v>
      </x:c>
      <x:c r="K18" s="21" t="str">
        <x:v>Potansiyel teklif haberi; sonuç ve değer etkisi belirsiz.</x:v>
      </x:c>
      <x:c r="L18" s="21" t="str">
        <x:f>IF(D18=H18,"same","different")</x:f>
        <x:v>same</x:v>
      </x:c>
      <x:c r="M18" s="21" t="str">
        <x:f>IF(L18="different","review","")</x:f>
      </x:c>
      <x:c r="N18" s="21" t="str">
        <x:v>headline_level_manual_chatgpt_review</x:v>
      </x:c>
      <x:c r="O18" s="21" t="str"/>
    </x:row>
    <x:row r="19">
      <x:c r="A19" s="21" t="str">
        <x:v>REUTERS_ANN_01068</x:v>
      </x:c>
      <x:c r="B19" s="22" t="n">
        <x:v>39069</x:v>
      </x:c>
      <x:c r="C19" s="21" t="n">
        <x:v>0</x:v>
      </x:c>
      <x:c r="D19" s="21" t="str">
        <x:v>neutral</x:v>
      </x:c>
      <x:c r="E19" s="23" t="n">
        <x:v>0.8386443257331848</x:v>
      </x:c>
      <x:c r="F19" s="21" t="str">
        <x:v>delphi to get up to $3.4 billion investment</x:v>
      </x:c>
      <x:c r="G19" s="21" t="str">
        <x:v>Delphi 3,4 milyar dolara kadar yatırım alacak.</x:v>
      </x:c>
      <x:c r="H19" s="21" t="str">
        <x:v>positive</x:v>
      </x:c>
      <x:c r="I19" s="21" t="n">
        <x:v>1</x:v>
      </x:c>
      <x:c r="J19" s="24" t="n">
        <x:v>0.9</x:v>
      </x:c>
      <x:c r="K19" s="21" t="str">
        <x:v>Yüksek tutarlı yatırım/finansman şirket için olumlu.</x:v>
      </x:c>
      <x:c r="L19" s="21" t="str">
        <x:f>IF(D19=H19,"same","different")</x:f>
        <x:v>different</x:v>
      </x:c>
      <x:c r="M19" s="21" t="str">
        <x:f>IF(L19="different","review","")</x:f>
        <x:v>review</x:v>
      </x:c>
      <x:c r="N19" s="21" t="str">
        <x:v>headline_level_manual_chatgpt_review</x:v>
      </x:c>
      <x:c r="O19" s="21" t="str"/>
    </x:row>
    <x:row r="20">
      <x:c r="A20" s="21" t="str">
        <x:v>REUTERS_ANN_01069</x:v>
      </x:c>
      <x:c r="B20" s="22" t="n">
        <x:v>39076</x:v>
      </x:c>
      <x:c r="C20" s="21" t="n">
        <x:v>-1</x:v>
      </x:c>
      <x:c r="D20" s="21" t="str">
        <x:v>negative</x:v>
      </x:c>
      <x:c r="E20" s="23" t="n">
        <x:v>0.8032249808311462</x:v>
      </x:c>
      <x:c r="F20" s="21" t="str">
        <x:v>japan keeps view that economy is recovering</x:v>
      </x:c>
      <x:c r="G20" s="21" t="str">
        <x:v>Japonya ekonominin toparlandığı görüşünü koruyor.</x:v>
      </x:c>
      <x:c r="H20" s="21" t="str">
        <x:v>positive</x:v>
      </x:c>
      <x:c r="I20" s="21" t="n">
        <x:v>1</x:v>
      </x:c>
      <x:c r="J20" s="24" t="n">
        <x:v>0.85</x:v>
      </x:c>
      <x:c r="K20" s="21" t="str">
        <x:v>Ekonomik toparlanma ifadesi makro açıdan olumlu.</x:v>
      </x:c>
      <x:c r="L20" s="21" t="str">
        <x:f>IF(D20=H20,"same","different")</x:f>
        <x:v>different</x:v>
      </x:c>
      <x:c r="M20" s="21" t="str">
        <x:f>IF(L20="different","review","")</x:f>
        <x:v>review</x:v>
      </x:c>
      <x:c r="N20" s="21" t="str">
        <x:v>headline_level_manual_chatgpt_review</x:v>
      </x:c>
      <x:c r="O20" s="21" t="str"/>
    </x:row>
    <x:row r="21">
      <x:c r="A21" s="21" t="str">
        <x:v>REUTERS_ANN_01070</x:v>
      </x:c>
      <x:c r="B21" s="22" t="n">
        <x:v>39051</x:v>
      </x:c>
      <x:c r="C21" s="21" t="n">
        <x:v>-1</x:v>
      </x:c>
      <x:c r="D21" s="21" t="str">
        <x:v>negative</x:v>
      </x:c>
      <x:c r="E21" s="23" t="n">
        <x:v>0.9060481786727904</x:v>
      </x:c>
      <x:c r="F21" s="21" t="str">
        <x:v>stock options of unitedhealth ceo frozen</x:v>
      </x:c>
      <x:c r="G21" s="21" t="str">
        <x:v>UnitedHealth CEO’sunun hisse opsiyonları donduruldu.</x:v>
      </x:c>
      <x:c r="H21" s="21" t="str">
        <x:v>negative</x:v>
      </x:c>
      <x:c r="I21" s="21" t="n">
        <x:v>-1</x:v>
      </x:c>
      <x:c r="J21" s="24" t="n">
        <x:v>0.84</x:v>
      </x:c>
      <x:c r="K21" s="21" t="str">
        <x:v>Yönetim ve opsiyon soruşturması/tedbiri kurumsal risk yaratıyor.</x:v>
      </x:c>
      <x:c r="L21" s="21" t="str">
        <x:f>IF(D21=H21,"same","different")</x:f>
        <x:v>same</x:v>
      </x:c>
      <x:c r="M21" s="21" t="str">
        <x:f>IF(L21="different","review","")</x:f>
      </x:c>
      <x:c r="N21" s="21" t="str">
        <x:v>headline_level_manual_chatgpt_review</x:v>
      </x:c>
      <x:c r="O21" s="21" t="str"/>
    </x:row>
    <x:row r="22">
      <x:c r="A22" s="21" t="str">
        <x:v>REUTERS_ANN_01071</x:v>
      </x:c>
      <x:c r="B22" s="22" t="n">
        <x:v>39029</x:v>
      </x:c>
      <x:c r="C22" s="21" t="n">
        <x:v>0</x:v>
      </x:c>
      <x:c r="D22" s="21" t="str">
        <x:v>neutral</x:v>
      </x:c>
      <x:c r="E22" s="23" t="n">
        <x:v>0.9325810074806212</x:v>
      </x:c>
      <x:c r="F22" s="21" t="str">
        <x:v>ex-tyco ceo kozlowski to sell colorado home for $10 mln</x:v>
      </x:c>
      <x:c r="G22" s="21" t="str">
        <x:v>Eski Tyco CEO’su Kozlowski, Colorado’daki evini 10 milyon dolara satacak.</x:v>
      </x:c>
      <x:c r="H22" s="21" t="str">
        <x:v>neutral</x:v>
      </x:c>
      <x:c r="I22" s="21" t="n">
        <x:v>0</x:v>
      </x:c>
      <x:c r="J22" s="24" t="n">
        <x:v>0.7</x:v>
      </x:c>
      <x:c r="K22" s="21" t="str">
        <x:v>Kişisel varlık satışı; piyasa/şirket sentimenti zayıf.</x:v>
      </x:c>
      <x:c r="L22" s="21" t="str">
        <x:f>IF(D22=H22,"same","different")</x:f>
        <x:v>same</x:v>
      </x:c>
      <x:c r="M22" s="21" t="str">
        <x:f>IF(L22="different","review","")</x:f>
      </x:c>
      <x:c r="N22" s="21" t="str">
        <x:v>headline_level_manual_chatgpt_review</x:v>
      </x:c>
      <x:c r="O22" s="21" t="str"/>
    </x:row>
    <x:row r="23">
      <x:c r="A23" s="21" t="str">
        <x:v>REUTERS_ANN_01072</x:v>
      </x:c>
      <x:c r="B23" s="22" t="n">
        <x:v>39070</x:v>
      </x:c>
      <x:c r="C23" s="21" t="n">
        <x:v>1</x:v>
      </x:c>
      <x:c r="D23" s="21" t="str">
        <x:v>positive</x:v>
      </x:c>
      <x:c r="E23" s="23" t="n">
        <x:v>0.9374223351478576</x:v>
      </x:c>
      <x:c r="F23" s="21" t="str">
        <x:v>unitedhealth sees 2007 revenue about $79.5 bln</x:v>
      </x:c>
      <x:c r="G23" s="21" t="str">
        <x:v>UnitedHealth, 2007 gelirini yaklaşık 79,5 milyar dolar görüyor.</x:v>
      </x:c>
      <x:c r="H23" s="21" t="str">
        <x:v>positive</x:v>
      </x:c>
      <x:c r="I23" s="21" t="n">
        <x:v>1</x:v>
      </x:c>
      <x:c r="J23" s="24" t="n">
        <x:v>0.87</x:v>
      </x:c>
      <x:c r="K23" s="21" t="str">
        <x:v>Gelir beklentisi olumlu büyüklükte ve rehberlik niteliğinde.</x:v>
      </x:c>
      <x:c r="L23" s="21" t="str">
        <x:f>IF(D23=H23,"same","different")</x:f>
        <x:v>same</x:v>
      </x:c>
      <x:c r="M23" s="21" t="str">
        <x:f>IF(L23="different","review","")</x:f>
      </x:c>
      <x:c r="N23" s="21" t="str">
        <x:v>headline_level_manual_chatgpt_review</x:v>
      </x:c>
      <x:c r="O23" s="21" t="str"/>
    </x:row>
    <x:row r="24">
      <x:c r="A24" s="21" t="str">
        <x:v>REUTERS_ANN_01073</x:v>
      </x:c>
      <x:c r="B24" s="22" t="n">
        <x:v>39184</x:v>
      </x:c>
      <x:c r="C24" s="21" t="n">
        <x:v>1</x:v>
      </x:c>
      <x:c r="D24" s="21" t="str">
        <x:v>positive</x:v>
      </x:c>
      <x:c r="E24" s="23" t="n">
        <x:v>0.9375663995742798</x:v>
      </x:c>
      <x:c r="F24" s="21" t="str">
        <x:v>march retail sales, without autos, gain modestly</x:v>
      </x:c>
      <x:c r="G24" s="21" t="str">
        <x:v>Mart perakende satışları, otomobiller hariç, mütevazı arttı.</x:v>
      </x:c>
      <x:c r="H24" s="21" t="str">
        <x:v>positive</x:v>
      </x:c>
      <x:c r="I24" s="21" t="n">
        <x:v>1</x:v>
      </x:c>
      <x:c r="J24" s="24" t="n">
        <x:v>0.8</x:v>
      </x:c>
      <x:c r="K24" s="21" t="str">
        <x:v>Perakende satışlarda artış olumlu, ancak artış sınırlı.</x:v>
      </x:c>
      <x:c r="L24" s="21" t="str">
        <x:f>IF(D24=H24,"same","different")</x:f>
        <x:v>same</x:v>
      </x:c>
      <x:c r="M24" s="21" t="str">
        <x:f>IF(L24="different","review","")</x:f>
      </x:c>
      <x:c r="N24" s="21" t="str">
        <x:v>headline_level_manual_chatgpt_review</x:v>
      </x:c>
      <x:c r="O24" s="21" t="str"/>
    </x:row>
    <x:row r="25">
      <x:c r="A25" s="21" t="str">
        <x:v>REUTERS_ANN_01074</x:v>
      </x:c>
      <x:c r="B25" s="22" t="n">
        <x:v>39136</x:v>
      </x:c>
      <x:c r="C25" s="21" t="n">
        <x:v>-1</x:v>
      </x:c>
      <x:c r="D25" s="21" t="str">
        <x:v>negative</x:v>
      </x:c>
      <x:c r="E25" s="23" t="n">
        <x:v>0.9159836769104004</x:v>
      </x:c>
      <x:c r="F25" s="21" t="str">
        <x:v>chrysler says aims for 1,000 salaried cuts by june</x:v>
      </x:c>
      <x:c r="G25" s="21" t="str">
        <x:v>Chrysler, hazirana kadar 1.000 maaşlı çalışanı azaltmayı hedeflediğini söyledi.</x:v>
      </x:c>
      <x:c r="H25" s="21" t="str">
        <x:v>negative</x:v>
      </x:c>
      <x:c r="I25" s="21" t="n">
        <x:v>-1</x:v>
      </x:c>
      <x:c r="J25" s="24" t="n">
        <x:v>0.92</x:v>
      </x:c>
      <x:c r="K25" s="21" t="str">
        <x:v>İşten çıkarma ve maliyet baskısı olumsuz.</x:v>
      </x:c>
      <x:c r="L25" s="21" t="str">
        <x:f>IF(D25=H25,"same","different")</x:f>
        <x:v>same</x:v>
      </x:c>
      <x:c r="M25" s="21" t="str">
        <x:f>IF(L25="different","review","")</x:f>
      </x:c>
      <x:c r="N25" s="21" t="str">
        <x:v>headline_level_manual_chatgpt_review</x:v>
      </x:c>
      <x:c r="O25" s="21" t="str"/>
    </x:row>
    <x:row r="26">
      <x:c r="A26" s="21" t="str">
        <x:v>REUTERS_ANN_01075</x:v>
      </x:c>
      <x:c r="B26" s="22" t="n">
        <x:v>39157</x:v>
      </x:c>
      <x:c r="C26" s="21" t="n">
        <x:v>1</x:v>
      </x:c>
      <x:c r="D26" s="21" t="str">
        <x:v>positive</x:v>
      </x:c>
      <x:c r="E26" s="23" t="n">
        <x:v>0.7793127298355103</x:v>
      </x:c>
      <x:c r="F26" s="21" t="str">
        <x:v>trade powers must agree on core wto deal soon-eu</x:v>
      </x:c>
      <x:c r="G26" s="21" t="str">
        <x:v>AB’ye göre ticaret güçleri temel WTO anlaşmasında yakında uzlaşmalı.</x:v>
      </x:c>
      <x:c r="H26" s="21" t="str">
        <x:v>neutral</x:v>
      </x:c>
      <x:c r="I26" s="21" t="n">
        <x:v>0</x:v>
      </x:c>
      <x:c r="J26" s="24" t="n">
        <x:v>0.67</x:v>
      </x:c>
      <x:c r="K26" s="21" t="str">
        <x:v>Çağrı ve müzakere mesajı var; somut anlaşma sonucu yok.</x:v>
      </x:c>
      <x:c r="L26" s="21" t="str">
        <x:f>IF(D26=H26,"same","different")</x:f>
        <x:v>different</x:v>
      </x:c>
      <x:c r="M26" s="21" t="str">
        <x:f>IF(L26="different","review","")</x:f>
        <x:v>review</x:v>
      </x:c>
      <x:c r="N26" s="21" t="str">
        <x:v>headline_level_manual_chatgpt_review</x:v>
      </x:c>
      <x:c r="O26" s="21" t="str"/>
    </x:row>
    <x:row r="27">
      <x:c r="A27" s="21" t="str">
        <x:v>REUTERS_ANN_01076</x:v>
      </x:c>
      <x:c r="B27" s="22" t="n">
        <x:v>39085</x:v>
      </x:c>
      <x:c r="C27" s="21" t="n">
        <x:v>0</x:v>
      </x:c>
      <x:c r="D27" s="21" t="str">
        <x:v>neutral</x:v>
      </x:c>
      <x:c r="E27" s="23" t="n">
        <x:v>0.5944246053695679</x:v>
      </x:c>
      <x:c r="F27" s="21" t="str">
        <x:v>pay, stock price doomed hds nardelli analysts</x:v>
      </x:c>
      <x:c r="G27" s="21" t="str">
        <x:v>Analistlere göre ücret ve hisse fiyatı Home Depot’tan Nardelli’nin sonunu getirdi.</x:v>
      </x:c>
      <x:c r="H27" s="21" t="str">
        <x:v>negative</x:v>
      </x:c>
      <x:c r="I27" s="21" t="n">
        <x:v>-1</x:v>
      </x:c>
      <x:c r="J27" s="24" t="n">
        <x:v>0.86</x:v>
      </x:c>
      <x:c r="K27" s="21" t="str">
        <x:v>Yönetim krizi ve hisse baskısı olumsuz.</x:v>
      </x:c>
      <x:c r="L27" s="21" t="str">
        <x:f>IF(D27=H27,"same","different")</x:f>
        <x:v>different</x:v>
      </x:c>
      <x:c r="M27" s="21" t="str">
        <x:f>IF(L27="different","review","")</x:f>
        <x:v>review</x:v>
      </x:c>
      <x:c r="N27" s="21" t="str">
        <x:v>headline_level_manual_chatgpt_review</x:v>
      </x:c>
      <x:c r="O27" s="21" t="str"/>
    </x:row>
    <x:row r="28">
      <x:c r="A28" s="21" t="str">
        <x:v>REUTERS_ANN_01077</x:v>
      </x:c>
      <x:c r="B28" s="22" t="n">
        <x:v>39098</x:v>
      </x:c>
      <x:c r="C28" s="21" t="n">
        <x:v>-1</x:v>
      </x:c>
      <x:c r="D28" s="21" t="str">
        <x:v>negative</x:v>
      </x:c>
      <x:c r="E28" s="23" t="n">
        <x:v>0.5544736385345459</x:v>
      </x:c>
      <x:c r="F28" s="21" t="str">
        <x:v>commerce bancorp probed by u.s. regulators</x:v>
      </x:c>
      <x:c r="G28" s="21" t="str">
        <x:v>Commerce Bancorp ABD düzenleyicileri tarafından soruşturuluyor.</x:v>
      </x:c>
      <x:c r="H28" s="21" t="str">
        <x:v>negative</x:v>
      </x:c>
      <x:c r="I28" s="21" t="n">
        <x:v>-1</x:v>
      </x:c>
      <x:c r="J28" s="24" t="n">
        <x:v>0.91</x:v>
      </x:c>
      <x:c r="K28" s="21" t="str">
        <x:v>Regülatör soruşturması şirket riski taşıyor.</x:v>
      </x:c>
      <x:c r="L28" s="21" t="str">
        <x:f>IF(D28=H28,"same","different")</x:f>
        <x:v>same</x:v>
      </x:c>
      <x:c r="M28" s="21" t="str">
        <x:f>IF(L28="different","review","")</x:f>
      </x:c>
      <x:c r="N28" s="21" t="str">
        <x:v>headline_level_manual_chatgpt_review</x:v>
      </x:c>
      <x:c r="O28" s="21" t="str"/>
    </x:row>
    <x:row r="29">
      <x:c r="A29" s="21" t="str">
        <x:v>REUTERS_ANN_01078</x:v>
      </x:c>
      <x:c r="B29" s="22" t="n">
        <x:v>39026</x:v>
      </x:c>
      <x:c r="C29" s="21" t="n">
        <x:v>-1</x:v>
      </x:c>
      <x:c r="D29" s="21" t="str">
        <x:v>negative</x:v>
      </x:c>
      <x:c r="E29" s="23" t="n">
        <x:v>0.9750242829322816</x:v>
      </x:c>
      <x:c r="F29" s="21" t="str">
        <x:v>gasoline prices edge lower to $2.18 per gallon</x:v>
      </x:c>
      <x:c r="G29" s="21" t="str">
        <x:v>Benzin fiyatları galon başına 2,18 dolara geriledi.</x:v>
      </x:c>
      <x:c r="H29" s="21" t="str">
        <x:v>neutral</x:v>
      </x:c>
      <x:c r="I29" s="21" t="n">
        <x:v>0</x:v>
      </x:c>
      <x:c r="J29" s="24" t="n">
        <x:v>0.66</x:v>
      </x:c>
      <x:c r="K29" s="21" t="str">
        <x:v>Fiyat düşüşü tüketici için iyi, enerji fiyatı açısından zayıf; net yön karışık.</x:v>
      </x:c>
      <x:c r="L29" s="21" t="str">
        <x:f>IF(D29=H29,"same","different")</x:f>
        <x:v>different</x:v>
      </x:c>
      <x:c r="M29" s="21" t="str">
        <x:f>IF(L29="different","review","")</x:f>
        <x:v>review</x:v>
      </x:c>
      <x:c r="N29" s="21" t="str">
        <x:v>headline_level_manual_chatgpt_review</x:v>
      </x:c>
      <x:c r="O29" s="21" t="str"/>
    </x:row>
    <x:row r="30">
      <x:c r="A30" s="21" t="str">
        <x:v>REUTERS_ANN_01079</x:v>
      </x:c>
      <x:c r="B30" s="22" t="n">
        <x:v>39133</x:v>
      </x:c>
      <x:c r="C30" s="21" t="n">
        <x:v>1</x:v>
      </x:c>
      <x:c r="D30" s="21" t="str">
        <x:v>positive</x:v>
      </x:c>
      <x:c r="E30" s="23" t="n">
        <x:v>0.9482553005218506</x:v>
      </x:c>
      <x:c r="F30" s="21" t="str">
        <x:v>wal-mart quarterly profit up</x:v>
      </x:c>
      <x:c r="G30" s="21" t="str">
        <x:v>Wal-Mart’ın üç aylık kârı arttı.</x:v>
      </x:c>
      <x:c r="H30" s="21" t="str">
        <x:v>positive</x:v>
      </x:c>
      <x:c r="I30" s="21" t="n">
        <x:v>1</x:v>
      </x:c>
      <x:c r="J30" s="24" t="n">
        <x:v>0.94</x:v>
      </x:c>
      <x:c r="K30" s="21" t="str">
        <x:v>Kâr artışı açık olumlu finansal sonuç.</x:v>
      </x:c>
      <x:c r="L30" s="21" t="str">
        <x:f>IF(D30=H30,"same","different")</x:f>
        <x:v>same</x:v>
      </x:c>
      <x:c r="M30" s="21" t="str">
        <x:f>IF(L30="different","review","")</x:f>
      </x:c>
      <x:c r="N30" s="21" t="str">
        <x:v>headline_level_manual_chatgpt_review</x:v>
      </x:c>
      <x:c r="O30" s="21" t="str"/>
    </x:row>
    <x:row r="31">
      <x:c r="A31" s="21" t="str">
        <x:v>REUTERS_ANN_01080</x:v>
      </x:c>
      <x:c r="B31" s="22" t="n">
        <x:v>39073</x:v>
      </x:c>
      <x:c r="C31" s="21" t="n">
        <x:v>0</x:v>
      </x:c>
      <x:c r="D31" s="21" t="str">
        <x:v>neutral</x:v>
      </x:c>
      <x:c r="E31" s="23" t="n">
        <x:v>0.7387501001358032</x:v>
      </x:c>
      <x:c r="F31" s="21" t="str">
        <x:v>creditor group expects delta to weigh options</x:v>
      </x:c>
      <x:c r="G31" s="21" t="str">
        <x:v>Alacaklı grup, Delta’nın seçenekleri değerlendirmesini bekliyor.</x:v>
      </x:c>
      <x:c r="H31" s="21" t="str">
        <x:v>neutral</x:v>
      </x:c>
      <x:c r="I31" s="21" t="n">
        <x:v>0</x:v>
      </x:c>
      <x:c r="J31" s="24" t="n">
        <x:v>0.69</x:v>
      </x:c>
      <x:c r="K31" s="21" t="str">
        <x:v>Süreç ve beklenti haberi; net olumlu/olumsuz sonuç yok.</x:v>
      </x:c>
      <x:c r="L31" s="21" t="str">
        <x:f>IF(D31=H31,"same","different")</x:f>
        <x:v>same</x:v>
      </x:c>
      <x:c r="M31" s="21" t="str">
        <x:f>IF(L31="different","review","")</x:f>
      </x:c>
      <x:c r="N31" s="21" t="str">
        <x:v>headline_level_manual_chatgpt_review</x:v>
      </x:c>
      <x:c r="O31" s="21" t="str"/>
    </x:row>
    <x:row r="32">
      <x:c r="A32" s="21" t="str">
        <x:v>REUTERS_ANN_01081</x:v>
      </x:c>
      <x:c r="B32" s="22" t="n">
        <x:v>39189</x:v>
      </x:c>
      <x:c r="C32" s="21" t="n">
        <x:v>-1</x:v>
      </x:c>
      <x:c r="D32" s="21" t="str">
        <x:v>negative</x:v>
      </x:c>
      <x:c r="E32" s="23" t="n">
        <x:v>0.9524864554405212</x:v>
      </x:c>
      <x:c r="F32" s="21" t="str">
        <x:v>sec warns auditors firms may manipulate new rule</x:v>
      </x:c>
      <x:c r="G32" s="21" t="str">
        <x:v>SEC, denetçileri şirketlerin yeni kuralı manipüle edebileceği konusunda uyardı.</x:v>
      </x:c>
      <x:c r="H32" s="21" t="str">
        <x:v>negative</x:v>
      </x:c>
      <x:c r="I32" s="21" t="n">
        <x:v>-1</x:v>
      </x:c>
      <x:c r="J32" s="24" t="n">
        <x:v>0.84</x:v>
      </x:c>
      <x:c r="K32" s="21" t="str">
        <x:v>Manipülasyon uyarısı ve denetim riski olumsuz.</x:v>
      </x:c>
      <x:c r="L32" s="21" t="str">
        <x:f>IF(D32=H32,"same","different")</x:f>
        <x:v>same</x:v>
      </x:c>
      <x:c r="M32" s="21" t="str">
        <x:f>IF(L32="different","review","")</x:f>
      </x:c>
      <x:c r="N32" s="21" t="str">
        <x:v>headline_level_manual_chatgpt_review</x:v>
      </x:c>
      <x:c r="O32" s="21" t="str"/>
    </x:row>
    <x:row r="33">
      <x:c r="A33" s="21" t="str">
        <x:v>REUTERS_ANN_01082</x:v>
      </x:c>
      <x:c r="B33" s="22" t="n">
        <x:v>39093</x:v>
      </x:c>
      <x:c r="C33" s="21" t="n">
        <x:v>1</x:v>
      </x:c>
      <x:c r="D33" s="21" t="str">
        <x:v>positive</x:v>
      </x:c>
      <x:c r="E33" s="23" t="n">
        <x:v>0.9473429322242736</x:v>
      </x:c>
      <x:c r="F33" s="21" t="str">
        <x:v>alcoa shares up after strong earnings</x:v>
      </x:c>
      <x:c r="G33" s="21" t="str">
        <x:v>Alcoa hisseleri güçlü kârların ardından yükseldi.</x:v>
      </x:c>
      <x:c r="H33" s="21" t="str">
        <x:v>positive</x:v>
      </x:c>
      <x:c r="I33" s="21" t="n">
        <x:v>1</x:v>
      </x:c>
      <x:c r="J33" s="24" t="n">
        <x:v>0.96</x:v>
      </x:c>
      <x:c r="K33" s="21" t="str">
        <x:v>Güçlü kâr ve hisse artışı açık olumlu.</x:v>
      </x:c>
      <x:c r="L33" s="21" t="str">
        <x:f>IF(D33=H33,"same","different")</x:f>
        <x:v>same</x:v>
      </x:c>
      <x:c r="M33" s="21" t="str">
        <x:f>IF(L33="different","review","")</x:f>
      </x:c>
      <x:c r="N33" s="21" t="str">
        <x:v>headline_level_manual_chatgpt_review</x:v>
      </x:c>
      <x:c r="O33" s="21" t="str"/>
    </x:row>
    <x:row r="34">
      <x:c r="A34" s="21" t="str">
        <x:v>REUTERS_ANN_01083</x:v>
      </x:c>
      <x:c r="B34" s="22" t="n">
        <x:v>39021</x:v>
      </x:c>
      <x:c r="C34" s="21" t="n">
        <x:v>-1</x:v>
      </x:c>
      <x:c r="D34" s="21" t="str">
        <x:v>negative</x:v>
      </x:c>
      <x:c r="E34" s="23" t="n">
        <x:v>0.9474309682846068</x:v>
      </x:c>
      <x:c r="F34" s="21" t="str">
        <x:v>u.s. drops royalty claims against chevron nytimes</x:v>
      </x:c>
      <x:c r="G34" s="21" t="str">
        <x:v>ABD, Chevron’a karşı telif hakkı/royalty taleplerini düşürdü - NYTimes.</x:v>
      </x:c>
      <x:c r="H34" s="21" t="str">
        <x:v>positive</x:v>
      </x:c>
      <x:c r="I34" s="21" t="n">
        <x:v>1</x:v>
      </x:c>
      <x:c r="J34" s="24" t="n">
        <x:v>0.8</x:v>
      </x:c>
      <x:c r="K34" s="21" t="str">
        <x:v>Şirket üzerindeki hukuki/mali talebin düşmesi olumlu.</x:v>
      </x:c>
      <x:c r="L34" s="21" t="str">
        <x:f>IF(D34=H34,"same","different")</x:f>
        <x:v>different</x:v>
      </x:c>
      <x:c r="M34" s="21" t="str">
        <x:f>IF(L34="different","review","")</x:f>
        <x:v>review</x:v>
      </x:c>
      <x:c r="N34" s="21" t="str">
        <x:v>headline_level_manual_chatgpt_review</x:v>
      </x:c>
      <x:c r="O34" s="21" t="str"/>
    </x:row>
    <x:row r="35">
      <x:c r="A35" s="21" t="str">
        <x:v>REUTERS_ANN_01084</x:v>
      </x:c>
      <x:c r="B35" s="22" t="n">
        <x:v>39105</x:v>
      </x:c>
      <x:c r="C35" s="21" t="n">
        <x:v>-1</x:v>
      </x:c>
      <x:c r="D35" s="21" t="str">
        <x:v>negative</x:v>
      </x:c>
      <x:c r="E35" s="23" t="n">
        <x:v>0.9634687304496764</x:v>
      </x:c>
      <x:c r="F35" s="21" t="str">
        <x:v>amd sees challenging pricing through 2007</x:v>
      </x:c>
      <x:c r="G35" s="21" t="str">
        <x:v>AMD 2007 boyunca zorlu fiyatlama koşulları bekliyor.</x:v>
      </x:c>
      <x:c r="H35" s="21" t="str">
        <x:v>negative</x:v>
      </x:c>
      <x:c r="I35" s="21" t="n">
        <x:v>-1</x:v>
      </x:c>
      <x:c r="J35" s="24" t="n">
        <x:v>0.9</x:v>
      </x:c>
      <x:c r="K35" s="21" t="str">
        <x:v>Zorlu fiyatlama marj baskısı anlamına gelir.</x:v>
      </x:c>
      <x:c r="L35" s="21" t="str">
        <x:f>IF(D35=H35,"same","different")</x:f>
        <x:v>same</x:v>
      </x:c>
      <x:c r="M35" s="21" t="str">
        <x:f>IF(L35="different","review","")</x:f>
      </x:c>
      <x:c r="N35" s="21" t="str">
        <x:v>headline_level_manual_chatgpt_review</x:v>
      </x:c>
      <x:c r="O35" s="21" t="str"/>
    </x:row>
    <x:row r="36">
      <x:c r="A36" s="21" t="str">
        <x:v>REUTERS_ANN_01085</x:v>
      </x:c>
      <x:c r="B36" s="22" t="n">
        <x:v>39157</x:v>
      </x:c>
      <x:c r="C36" s="21" t="n">
        <x:v>1</x:v>
      </x:c>
      <x:c r="D36" s="21" t="str">
        <x:v>positive</x:v>
      </x:c>
      <x:c r="E36" s="23" t="n">
        <x:v>0.9323381185531616</x:v>
      </x:c>
      <x:c r="F36" s="21" t="str">
        <x:v>consumer prices rise on energy cost bounce</x:v>
      </x:c>
      <x:c r="G36" s="21" t="str">
        <x:v>Tüketici fiyatları enerji maliyeti sıçramasıyla arttı.</x:v>
      </x:c>
      <x:c r="H36" s="21" t="str">
        <x:v>negative</x:v>
      </x:c>
      <x:c r="I36" s="21" t="n">
        <x:v>-1</x:v>
      </x:c>
      <x:c r="J36" s="24" t="n">
        <x:v>0.88</x:v>
      </x:c>
      <x:c r="K36" s="21" t="str">
        <x:v>Enflasyon baskısı ve enerji maliyeti artışı piyasa açısından olumsuz.</x:v>
      </x:c>
      <x:c r="L36" s="21" t="str">
        <x:f>IF(D36=H36,"same","different")</x:f>
        <x:v>different</x:v>
      </x:c>
      <x:c r="M36" s="21" t="str">
        <x:f>IF(L36="different","review","")</x:f>
        <x:v>review</x:v>
      </x:c>
      <x:c r="N36" s="21" t="str">
        <x:v>headline_level_manual_chatgpt_review</x:v>
      </x:c>
      <x:c r="O36" s="21" t="str"/>
    </x:row>
    <x:row r="37">
      <x:c r="A37" s="21" t="str">
        <x:v>REUTERS_ANN_01086</x:v>
      </x:c>
      <x:c r="B37" s="22" t="n">
        <x:v>39079</x:v>
      </x:c>
      <x:c r="C37" s="21" t="n">
        <x:v>1</x:v>
      </x:c>
      <x:c r="D37" s="21" t="str">
        <x:v>positive</x:v>
      </x:c>
      <x:c r="E37" s="23" t="n">
        <x:v>0.9423912167549132</x:v>
      </x:c>
      <x:c r="F37" s="21" t="str">
        <x:v>consumer confidence hits 8-month high</x:v>
      </x:c>
      <x:c r="G37" s="21" t="str">
        <x:v>Tüketici güveni sekiz ayın en yüksek seviyesine çıktı.</x:v>
      </x:c>
      <x:c r="H37" s="21" t="str">
        <x:v>positive</x:v>
      </x:c>
      <x:c r="I37" s="21" t="n">
        <x:v>1</x:v>
      </x:c>
      <x:c r="J37" s="24" t="n">
        <x:v>0.92</x:v>
      </x:c>
      <x:c r="K37" s="21" t="str">
        <x:v>Güven artışı makro talep açısından olumlu.</x:v>
      </x:c>
      <x:c r="L37" s="21" t="str">
        <x:f>IF(D37=H37,"same","different")</x:f>
        <x:v>same</x:v>
      </x:c>
      <x:c r="M37" s="21" t="str">
        <x:f>IF(L37="different","review","")</x:f>
      </x:c>
      <x:c r="N37" s="21" t="str">
        <x:v>headline_level_manual_chatgpt_review</x:v>
      </x:c>
      <x:c r="O37" s="21" t="str"/>
    </x:row>
    <x:row r="38">
      <x:c r="A38" s="21" t="str">
        <x:v>REUTERS_ANN_01087</x:v>
      </x:c>
      <x:c r="B38" s="22" t="n">
        <x:v>39115</x:v>
      </x:c>
      <x:c r="C38" s="21" t="n">
        <x:v>-1</x:v>
      </x:c>
      <x:c r="D38" s="21" t="str">
        <x:v>negative</x:v>
      </x:c>
      <x:c r="E38" s="23" t="n">
        <x:v>0.5309146046638489</x:v>
      </x:c>
      <x:c r="F38" s="21" t="str">
        <x:v>jobs growth modest in january</x:v>
      </x:c>
      <x:c r="G38" s="21" t="str">
        <x:v>Ocakta istihdam büyümesi mütevazı kaldı.</x:v>
      </x:c>
      <x:c r="H38" s="21" t="str">
        <x:v>negative</x:v>
      </x:c>
      <x:c r="I38" s="21" t="n">
        <x:v>-1</x:v>
      </x:c>
      <x:c r="J38" s="24" t="n">
        <x:v>0.74</x:v>
      </x:c>
      <x:c r="K38" s="21" t="str">
        <x:v>Zayıf/mütevazı istihdam büyümesi olumsuz veya zayıf sinyal.</x:v>
      </x:c>
      <x:c r="L38" s="21" t="str">
        <x:f>IF(D38=H38,"same","different")</x:f>
        <x:v>same</x:v>
      </x:c>
      <x:c r="M38" s="21" t="str">
        <x:f>IF(L38="different","review","")</x:f>
      </x:c>
      <x:c r="N38" s="21" t="str">
        <x:v>headline_level_manual_chatgpt_review</x:v>
      </x:c>
      <x:c r="O38" s="21" t="str"/>
    </x:row>
    <x:row r="39">
      <x:c r="A39" s="21" t="str">
        <x:v>REUTERS_ANN_01088</x:v>
      </x:c>
      <x:c r="B39" s="22" t="n">
        <x:v>39055</x:v>
      </x:c>
      <x:c r="C39" s="21" t="n">
        <x:v>-1</x:v>
      </x:c>
      <x:c r="D39" s="21" t="str">
        <x:v>negative</x:v>
      </x:c>
      <x:c r="E39" s="23" t="n">
        <x:v>0.976090669631958</x:v>
      </x:c>
      <x:c r="F39" s="21" t="str">
        <x:v>pending home sales index falls</x:v>
      </x:c>
      <x:c r="G39" s="21" t="str">
        <x:v>Bekleyen konut satışları endeksi düştü.</x:v>
      </x:c>
      <x:c r="H39" s="21" t="str">
        <x:v>negative</x:v>
      </x:c>
      <x:c r="I39" s="21" t="n">
        <x:v>-1</x:v>
      </x:c>
      <x:c r="J39" s="24" t="n">
        <x:v>0.94</x:v>
      </x:c>
      <x:c r="K39" s="21" t="str">
        <x:v>Konut piyasasında talep düşüşü olumsuz.</x:v>
      </x:c>
      <x:c r="L39" s="21" t="str">
        <x:f>IF(D39=H39,"same","different")</x:f>
        <x:v>same</x:v>
      </x:c>
      <x:c r="M39" s="21" t="str">
        <x:f>IF(L39="different","review","")</x:f>
      </x:c>
      <x:c r="N39" s="21" t="str">
        <x:v>headline_level_manual_chatgpt_review</x:v>
      </x:c>
      <x:c r="O39" s="21" t="str"/>
    </x:row>
    <x:row r="40">
      <x:c r="A40" s="21" t="str">
        <x:v>REUTERS_ANN_01089</x:v>
      </x:c>
      <x:c r="B40" s="22" t="n">
        <x:v>39063</x:v>
      </x:c>
      <x:c r="C40" s="21" t="n">
        <x:v>1</x:v>
      </x:c>
      <x:c r="D40" s="21" t="str">
        <x:v>positive</x:v>
      </x:c>
      <x:c r="E40" s="23" t="n">
        <x:v>0.6390846371650696</x:v>
      </x:c>
      <x:c r="F40" s="21" t="str">
        <x:v>yahoo opens panama ad system upgrade to newcomers</x:v>
      </x:c>
      <x:c r="G40" s="21" t="str">
        <x:v>Yahoo, Panama reklam sistemi güncellemesini yeni kullanıcılara açtı.</x:v>
      </x:c>
      <x:c r="H40" s="21" t="str">
        <x:v>positive</x:v>
      </x:c>
      <x:c r="I40" s="21" t="n">
        <x:v>1</x:v>
      </x:c>
      <x:c r="J40" s="24" t="n">
        <x:v>0.78</x:v>
      </x:c>
      <x:c r="K40" s="21" t="str">
        <x:v>Reklam sistemi genişletmesi ürün/gelir potansiyeli açısından olumlu.</x:v>
      </x:c>
      <x:c r="L40" s="21" t="str">
        <x:f>IF(D40=H40,"same","different")</x:f>
        <x:v>same</x:v>
      </x:c>
      <x:c r="M40" s="21" t="str">
        <x:f>IF(L40="different","review","")</x:f>
      </x:c>
      <x:c r="N40" s="21" t="str">
        <x:v>headline_level_manual_chatgpt_review</x:v>
      </x:c>
      <x:c r="O40" s="21" t="str"/>
    </x:row>
    <x:row r="41">
      <x:c r="A41" s="21" t="str">
        <x:v>REUTERS_ANN_01090</x:v>
      </x:c>
      <x:c r="B41" s="22" t="n">
        <x:v>39136</x:v>
      </x:c>
      <x:c r="C41" s="21" t="n">
        <x:v>0</x:v>
      </x:c>
      <x:c r="D41" s="21" t="str">
        <x:v>neutral</x:v>
      </x:c>
      <x:c r="E41" s="23" t="n">
        <x:v>0.6819726228713989</x:v>
      </x:c>
      <x:c r="F41" s="21" t="str">
        <x:v>private equity firms eyeing chrysler report</x:v>
      </x:c>
      <x:c r="G41" s="21" t="str">
        <x:v>Özel sermaye şirketleri Chrysler ile ilgileniyor - rapor.</x:v>
      </x:c>
      <x:c r="H41" s="21" t="str">
        <x:v>neutral</x:v>
      </x:c>
      <x:c r="I41" s="21" t="n">
        <x:v>0</x:v>
      </x:c>
      <x:c r="J41" s="24" t="n">
        <x:v>0.7</x:v>
      </x:c>
      <x:c r="K41" s="21" t="str">
        <x:v>Olası ilgi ve söylenti düzeyinde; sonuç kesin değil.</x:v>
      </x:c>
      <x:c r="L41" s="21" t="str">
        <x:f>IF(D41=H41,"same","different")</x:f>
        <x:v>same</x:v>
      </x:c>
      <x:c r="M41" s="21" t="str">
        <x:f>IF(L41="different","review","")</x:f>
      </x:c>
      <x:c r="N41" s="21" t="str">
        <x:v>headline_level_manual_chatgpt_review</x:v>
      </x:c>
      <x:c r="O41" s="21" t="str"/>
    </x:row>
    <x:row r="42">
      <x:c r="A42" s="21" t="str">
        <x:v>REUTERS_ANN_01091</x:v>
      </x:c>
      <x:c r="B42" s="22" t="n">
        <x:v>39036</x:v>
      </x:c>
      <x:c r="C42" s="21" t="n">
        <x:v>0</x:v>
      </x:c>
      <x:c r="D42" s="21" t="str">
        <x:v>neutral</x:v>
      </x:c>
      <x:c r="E42" s="23" t="n">
        <x:v>0.8398093581199646</x:v>
      </x:c>
      <x:c r="F42" s="21" t="str">
        <x:v>microsoft ceo touts company bet on web services</x:v>
      </x:c>
      <x:c r="G42" s="21" t="str">
        <x:v>Microsoft CEO’su şirketin web hizmetlerine yaptığı bahsi öne çıkardı.</x:v>
      </x:c>
      <x:c r="H42" s="21" t="str">
        <x:v>neutral</x:v>
      </x:c>
      <x:c r="I42" s="21" t="n">
        <x:v>0</x:v>
      </x:c>
      <x:c r="J42" s="24" t="n">
        <x:v>0.7</x:v>
      </x:c>
      <x:c r="K42" s="21" t="str">
        <x:v>Strateji açıklaması var; somut finansal sonuç belirtilmiyor.</x:v>
      </x:c>
      <x:c r="L42" s="21" t="str">
        <x:f>IF(D42=H42,"same","different")</x:f>
        <x:v>same</x:v>
      </x:c>
      <x:c r="M42" s="21" t="str">
        <x:f>IF(L42="different","review","")</x:f>
      </x:c>
      <x:c r="N42" s="21" t="str">
        <x:v>headline_level_manual_chatgpt_review</x:v>
      </x:c>
      <x:c r="O42" s="21" t="str"/>
    </x:row>
    <x:row r="43">
      <x:c r="A43" s="21" t="str">
        <x:v>REUTERS_ANN_01092</x:v>
      </x:c>
      <x:c r="B43" s="22" t="n">
        <x:v>39161</x:v>
      </x:c>
      <x:c r="C43" s="21" t="n">
        <x:v>1</x:v>
      </x:c>
      <x:c r="D43" s="21" t="str">
        <x:v>positive</x:v>
      </x:c>
      <x:c r="E43" s="23" t="n">
        <x:v>0.934772253036499</x:v>
      </x:c>
      <x:c r="F43" s="21" t="str">
        <x:v>accredited shares up 30 pct on new financing deal</x:v>
      </x:c>
      <x:c r="G43" s="21" t="str">
        <x:v>Accredited hisseleri yeni finansman anlaşmasıyla yüzde 30 yükseldi.</x:v>
      </x:c>
      <x:c r="H43" s="21" t="str">
        <x:v>positive</x:v>
      </x:c>
      <x:c r="I43" s="21" t="n">
        <x:v>1</x:v>
      </x:c>
      <x:c r="J43" s="24" t="n">
        <x:v>0.95</x:v>
      </x:c>
      <x:c r="K43" s="21" t="str">
        <x:v>Yeni finansman ve güçlü hisse tepkisi olumlu.</x:v>
      </x:c>
      <x:c r="L43" s="21" t="str">
        <x:f>IF(D43=H43,"same","different")</x:f>
        <x:v>same</x:v>
      </x:c>
      <x:c r="M43" s="21" t="str">
        <x:f>IF(L43="different","review","")</x:f>
      </x:c>
      <x:c r="N43" s="21" t="str">
        <x:v>headline_level_manual_chatgpt_review</x:v>
      </x:c>
      <x:c r="O43" s="21" t="str"/>
    </x:row>
    <x:row r="44">
      <x:c r="A44" s="21" t="str">
        <x:v>REUTERS_ANN_01093</x:v>
      </x:c>
      <x:c r="B44" s="22" t="n">
        <x:v>39203</x:v>
      </x:c>
      <x:c r="C44" s="21" t="n">
        <x:v>-1</x:v>
      </x:c>
      <x:c r="D44" s="21" t="str">
        <x:v>negative</x:v>
      </x:c>
      <x:c r="E44" s="23" t="n">
        <x:v>0.9749003648757936</x:v>
      </x:c>
      <x:c r="F44" s="21" t="str">
        <x:v>ford u.s. april sales fall 13 pct</x:v>
      </x:c>
      <x:c r="G44" s="21" t="str">
        <x:v>Ford’un ABD nisan satışları yüzde 13 düştü.</x:v>
      </x:c>
      <x:c r="H44" s="21" t="str">
        <x:v>negative</x:v>
      </x:c>
      <x:c r="I44" s="21" t="n">
        <x:v>-1</x:v>
      </x:c>
      <x:c r="J44" s="24" t="n">
        <x:v>0.96</x:v>
      </x:c>
      <x:c r="K44" s="21" t="str">
        <x:v>Satış düşüşü açık olumsuz.</x:v>
      </x:c>
      <x:c r="L44" s="21" t="str">
        <x:f>IF(D44=H44,"same","different")</x:f>
        <x:v>same</x:v>
      </x:c>
      <x:c r="M44" s="21" t="str">
        <x:f>IF(L44="different","review","")</x:f>
      </x:c>
      <x:c r="N44" s="21" t="str">
        <x:v>headline_level_manual_chatgpt_review</x:v>
      </x:c>
      <x:c r="O44" s="21" t="str"/>
    </x:row>
    <x:row r="45">
      <x:c r="A45" s="21" t="str">
        <x:v>REUTERS_ANN_01094</x:v>
      </x:c>
      <x:c r="B45" s="22" t="n">
        <x:v>39097</x:v>
      </x:c>
      <x:c r="C45" s="21" t="n">
        <x:v>1</x:v>
      </x:c>
      <x:c r="D45" s="21" t="str">
        <x:v>positive</x:v>
      </x:c>
      <x:c r="E45" s="23" t="n">
        <x:v>0.9054292440414428</x:v>
      </x:c>
      <x:c r="F45" s="21" t="str">
        <x:v>update 4-u.s. arris bids $1.2 bln for norways tandberg tv</x:v>
      </x:c>
      <x:c r="G45" s="21" t="str">
        <x:v>ABD’li Arris, Norveçli Tandberg TV için 1,2 milyar dolarlık teklif verdi.</x:v>
      </x:c>
      <x:c r="H45" s="21" t="str">
        <x:v>positive</x:v>
      </x:c>
      <x:c r="I45" s="21" t="n">
        <x:v>1</x:v>
      </x:c>
      <x:c r="J45" s="24" t="n">
        <x:v>0.78</x:v>
      </x:c>
      <x:c r="K45" s="21" t="str">
        <x:v>Satın alma teklifi stratejik büyüme ve hedef şirket değeri açısından olumlu.</x:v>
      </x:c>
      <x:c r="L45" s="21" t="str">
        <x:f>IF(D45=H45,"same","different")</x:f>
        <x:v>same</x:v>
      </x:c>
      <x:c r="M45" s="21" t="str">
        <x:f>IF(L45="different","review","")</x:f>
      </x:c>
      <x:c r="N45" s="21" t="str">
        <x:v>headline_level_manual_chatgpt_review</x:v>
      </x:c>
      <x:c r="O45" s="21" t="str"/>
    </x:row>
    <x:row r="46">
      <x:c r="A46" s="21" t="str">
        <x:v>REUTERS_ANN_01095</x:v>
      </x:c>
      <x:c r="B46" s="22" t="n">
        <x:v>39159</x:v>
      </x:c>
      <x:c r="C46" s="21" t="n">
        <x:v>1</x:v>
      </x:c>
      <x:c r="D46" s="21" t="str">
        <x:v>positive</x:v>
      </x:c>
      <x:c r="E46" s="23" t="n">
        <x:v>0.676913321018219</x:v>
      </x:c>
      <x:c r="F46" s="21" t="str">
        <x:v>sun-times reaches settlement with former president</x:v>
      </x:c>
      <x:c r="G46" s="21" t="str">
        <x:v>Sun-Times eski başkanıyla uzlaşmaya vardı.</x:v>
      </x:c>
      <x:c r="H46" s="21" t="str">
        <x:v>neutral</x:v>
      </x:c>
      <x:c r="I46" s="21" t="n">
        <x:v>0</x:v>
      </x:c>
      <x:c r="J46" s="24" t="n">
        <x:v>0.68</x:v>
      </x:c>
      <x:c r="K46" s="21" t="str">
        <x:v>Hukuki süreçte uzlaşma var; net finansal etki sınırlı.</x:v>
      </x:c>
      <x:c r="L46" s="21" t="str">
        <x:f>IF(D46=H46,"same","different")</x:f>
        <x:v>different</x:v>
      </x:c>
      <x:c r="M46" s="21" t="str">
        <x:f>IF(L46="different","review","")</x:f>
        <x:v>review</x:v>
      </x:c>
      <x:c r="N46" s="21" t="str">
        <x:v>headline_level_manual_chatgpt_review</x:v>
      </x:c>
      <x:c r="O46" s="21" t="str"/>
    </x:row>
    <x:row r="47">
      <x:c r="A47" s="21" t="str">
        <x:v>REUTERS_ANN_01096</x:v>
      </x:c>
      <x:c r="B47" s="22" t="n">
        <x:v>39203</x:v>
      </x:c>
      <x:c r="C47" s="21" t="n">
        <x:v>-1</x:v>
      </x:c>
      <x:c r="D47" s="21" t="str">
        <x:v>negative</x:v>
      </x:c>
      <x:c r="E47" s="23" t="n">
        <x:v>0.976106345653534</x:v>
      </x:c>
      <x:c r="F47" s="21" t="str">
        <x:v>u.s. march pending home sales index falls 4.9 pct</x:v>
      </x:c>
      <x:c r="G47" s="21" t="str">
        <x:v>ABD mart bekleyen konut satışları endeksi yüzde 4,9 düştü.</x:v>
      </x:c>
      <x:c r="H47" s="21" t="str">
        <x:v>negative</x:v>
      </x:c>
      <x:c r="I47" s="21" t="n">
        <x:v>-1</x:v>
      </x:c>
      <x:c r="J47" s="24" t="n">
        <x:v>0.96</x:v>
      </x:c>
      <x:c r="K47" s="21" t="str">
        <x:v>Konut talebinde belirgin düşüş olumsuz.</x:v>
      </x:c>
      <x:c r="L47" s="21" t="str">
        <x:f>IF(D47=H47,"same","different")</x:f>
        <x:v>same</x:v>
      </x:c>
      <x:c r="M47" s="21" t="str">
        <x:f>IF(L47="different","review","")</x:f>
      </x:c>
      <x:c r="N47" s="21" t="str">
        <x:v>headline_level_manual_chatgpt_review</x:v>
      </x:c>
      <x:c r="O47" s="21" t="str"/>
    </x:row>
    <x:row r="48">
      <x:c r="A48" s="21" t="str">
        <x:v>REUTERS_ANN_01097</x:v>
      </x:c>
      <x:c r="B48" s="22" t="n">
        <x:v>39127</x:v>
      </x:c>
      <x:c r="C48" s="21" t="n">
        <x:v>-1</x:v>
      </x:c>
      <x:c r="D48" s="21" t="str">
        <x:v>negative</x:v>
      </x:c>
      <x:c r="E48" s="23" t="n">
        <x:v>0.7371184825897217</x:v>
      </x:c>
      <x:c r="F48" s="21" t="str">
        <x:v>office depot posts higher fourth-quarter profit</x:v>
      </x:c>
      <x:c r="G48" s="21" t="str">
        <x:v>Office Depot dördüncü çeyrekte daha yüksek kâr açıkladı.</x:v>
      </x:c>
      <x:c r="H48" s="21" t="str">
        <x:v>positive</x:v>
      </x:c>
      <x:c r="I48" s="21" t="n">
        <x:v>1</x:v>
      </x:c>
      <x:c r="J48" s="24" t="n">
        <x:v>0.9</x:v>
      </x:c>
      <x:c r="K48" s="21" t="str">
        <x:v>Kâr artışı olumlu finansal sonuç.</x:v>
      </x:c>
      <x:c r="L48" s="21" t="str">
        <x:f>IF(D48=H48,"same","different")</x:f>
        <x:v>different</x:v>
      </x:c>
      <x:c r="M48" s="21" t="str">
        <x:f>IF(L48="different","review","")</x:f>
        <x:v>review</x:v>
      </x:c>
      <x:c r="N48" s="21" t="str">
        <x:v>headline_level_manual_chatgpt_review</x:v>
      </x:c>
      <x:c r="O48" s="21" t="str"/>
    </x:row>
    <x:row r="49">
      <x:c r="A49" s="21" t="str">
        <x:v>REUTERS_ANN_01098</x:v>
      </x:c>
      <x:c r="B49" s="22" t="n">
        <x:v>39058</x:v>
      </x:c>
      <x:c r="C49" s="21" t="n">
        <x:v>-1</x:v>
      </x:c>
      <x:c r="D49" s="21" t="str">
        <x:v>negative</x:v>
      </x:c>
      <x:c r="E49" s="23" t="n">
        <x:v>0.961341917514801</x:v>
      </x:c>
      <x:c r="F49" s="21" t="str">
        <x:v>fleetwood posts wider quarterly loss</x:v>
      </x:c>
      <x:c r="G49" s="21" t="str">
        <x:v>Fleetwood daha geniş üç aylık zarar açıkladı.</x:v>
      </x:c>
      <x:c r="H49" s="21" t="str">
        <x:v>negative</x:v>
      </x:c>
      <x:c r="I49" s="21" t="n">
        <x:v>-1</x:v>
      </x:c>
      <x:c r="J49" s="24" t="n">
        <x:v>0.95</x:v>
      </x:c>
      <x:c r="K49" s="21" t="str">
        <x:v>Zararın büyümesi olumsuz.</x:v>
      </x:c>
      <x:c r="L49" s="21" t="str">
        <x:f>IF(D49=H49,"same","different")</x:f>
        <x:v>same</x:v>
      </x:c>
      <x:c r="M49" s="21" t="str">
        <x:f>IF(L49="different","review","")</x:f>
      </x:c>
      <x:c r="N49" s="21" t="str">
        <x:v>headline_level_manual_chatgpt_review</x:v>
      </x:c>
      <x:c r="O49" s="21" t="str"/>
    </x:row>
    <x:row r="50">
      <x:c r="A50" s="21" t="str">
        <x:v>REUTERS_ANN_01099</x:v>
      </x:c>
      <x:c r="B50" s="22" t="n">
        <x:v>39150</x:v>
      </x:c>
      <x:c r="C50" s="21" t="n">
        <x:v>-1</x:v>
      </x:c>
      <x:c r="D50" s="21" t="str">
        <x:v>negative</x:v>
      </x:c>
      <x:c r="E50" s="23" t="n">
        <x:v>0.9055191278457642</x:v>
      </x:c>
      <x:c r="F50" s="21" t="str">
        <x:v>chrysler to recall over 489,000 vehicles</x:v>
      </x:c>
      <x:c r="G50" s="21" t="str">
        <x:v>Chrysler 489.000’den fazla aracı geri çağıracak.</x:v>
      </x:c>
      <x:c r="H50" s="21" t="str">
        <x:v>negative</x:v>
      </x:c>
      <x:c r="I50" s="21" t="n">
        <x:v>-1</x:v>
      </x:c>
      <x:c r="J50" s="24" t="n">
        <x:v>0.92</x:v>
      </x:c>
      <x:c r="K50" s="21" t="str">
        <x:v>Geri çağırma maliyet ve itibar riski yaratır.</x:v>
      </x:c>
      <x:c r="L50" s="21" t="str">
        <x:f>IF(D50=H50,"same","different")</x:f>
        <x:v>same</x:v>
      </x:c>
      <x:c r="M50" s="21" t="str">
        <x:f>IF(L50="different","review","")</x:f>
      </x:c>
      <x:c r="N50" s="21" t="str">
        <x:v>headline_level_manual_chatgpt_review</x:v>
      </x:c>
      <x:c r="O50" s="21" t="str"/>
    </x:row>
    <x:row r="51">
      <x:c r="A51" s="21" t="str">
        <x:v>REUTERS_ANN_01100</x:v>
      </x:c>
      <x:c r="B51" s="22" t="n">
        <x:v>39160</x:v>
      </x:c>
      <x:c r="C51" s="21" t="n">
        <x:v>1</x:v>
      </x:c>
      <x:c r="D51" s="21" t="str">
        <x:v>positive</x:v>
      </x:c>
      <x:c r="E51" s="23" t="n">
        <x:v>0.9394221901893616</x:v>
      </x:c>
      <x:c r="F51" s="21" t="str">
        <x:v>tuis travel unit to merge with first choice</x:v>
      </x:c>
      <x:c r="G51" s="21" t="str">
        <x:v>TUI’nin seyahat birimi First Choice ile birleşecek.</x:v>
      </x:c>
      <x:c r="H51" s="21" t="str">
        <x:v>positive</x:v>
      </x:c>
      <x:c r="I51" s="21" t="n">
        <x:v>1</x:v>
      </x:c>
      <x:c r="J51" s="24" t="n">
        <x:v>0.8</x:v>
      </x:c>
      <x:c r="K51" s="21" t="str">
        <x:v>Birleşme stratejik ölçek ve sinerji potansiyeli taşır.</x:v>
      </x:c>
      <x:c r="L51" s="21" t="str">
        <x:f>IF(D51=H51,"same","different")</x:f>
        <x:v>same</x:v>
      </x:c>
      <x:c r="M51" s="21" t="str">
        <x:f>IF(L51="different","review","")</x:f>
      </x:c>
      <x:c r="N51" s="21" t="str">
        <x:v>headline_level_manual_chatgpt_review</x:v>
      </x:c>
      <x:c r="O51" s="21" t="str"/>
    </x:row>
  </x:sheetData>
  <x:conditionalFormatting sqref="H2:H51">
    <x:cfRule type="expression" dxfId="0" priority="1">
      <x:formula>H2="positive"</x:formula>
    </x:cfRule>
    <x:cfRule type="expression" dxfId="1" priority="2">
      <x:formula>H2="neutral"</x:formula>
    </x:cfRule>
    <x:cfRule type="expression" dxfId="2" priority="3">
      <x:formula>H2="negative"</x:formula>
    </x:cfRule>
  </x:conditionalFormatting>
  <x:conditionalFormatting sqref="L2:L51">
    <x:cfRule type="expression" dxfId="3" priority="4">
      <x:formula>L2="different"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a7036bde140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</x:cols>
  <x:sheetData>
    <x:row r="1">
      <x:c r="A1" s="30" t="str">
        <x:v>REUTERS Annotation Batch 022 Summary</x:v>
      </x:c>
      <x:c r="B1" s="30" t="str"/>
    </x:row>
    <x:row r="2">
      <x:c r="A2" t="str">
        <x:v>Rows</x:v>
      </x:c>
      <x:c r="B2" t="n">
        <x:v>50</x:v>
      </x:c>
    </x:row>
    <x:row r="3">
      <x:c r="A3" t="str">
        <x:v>Range</x:v>
      </x:c>
      <x:c r="B3" t="str">
        <x:v>1050 - 1099</x:v>
      </x:c>
    </x:row>
    <x:row r="4">
      <x:c r="A4" t="str">
        <x:v>Output file</x:v>
      </x:c>
      <x:c r="B4" t="str">
        <x:v>REUTERS_annotation_batch_022.xlsx</x:v>
      </x:c>
    </x:row>
    <x:row r="5">
      <x:c r="A5" t="str"/>
      <x:c r="B5" t="str"/>
    </x:row>
    <x:row r="6">
      <x:c r="A6" s="33" t="str">
        <x:v>Metric</x:v>
      </x:c>
      <x:c r="B6" s="33" t="str">
        <x:v>Value</x:v>
      </x:c>
    </x:row>
    <x:row r="7">
      <x:c r="A7" t="str">
        <x:v>ChatGPT positive</x:v>
      </x:c>
      <x:c r="B7" t="n">
        <x:f>COUNTIF(annotations!H2:H51,"positive")</x:f>
        <x:v>17</x:v>
      </x:c>
    </x:row>
    <x:row r="8">
      <x:c r="A8" t="str">
        <x:v>ChatGPT neutral</x:v>
      </x:c>
      <x:c r="B8" t="n">
        <x:f>COUNTIF(annotations!H2:H51,"neutral")</x:f>
        <x:v>15</x:v>
      </x:c>
    </x:row>
    <x:row r="9">
      <x:c r="A9" t="str">
        <x:v>ChatGPT negative</x:v>
      </x:c>
      <x:c r="B9" t="n">
        <x:f>COUNTIF(annotations!H2:H51,"negative")</x:f>
        <x:v>18</x:v>
      </x:c>
    </x:row>
    <x:row r="10">
      <x:c r="A10" t="str">
        <x:v>FinBERT same</x:v>
      </x:c>
      <x:c r="B10" t="n">
        <x:f>COUNTIF(annotations!L2:L51,"same")</x:f>
        <x:v>38</x:v>
      </x:c>
    </x:row>
    <x:row r="11">
      <x:c r="A11" t="str">
        <x:v>FinBERT different / review</x:v>
      </x:c>
      <x:c r="B11" t="n">
        <x:f>COUNTIF(annotations!L2:L51,"different")</x:f>
        <x:v>12</x:v>
      </x:c>
    </x:row>
    <x:row r="12">
      <x:c r="A12" t="str">
        <x:v>Average ChatGPT confidence</x:v>
      </x:c>
      <x:c r="B12" s="36" t="n">
        <x:f>AVERAGE(annotations!J2:J51)</x:f>
        <x:v>0.8272000000000003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" t="str">
        <x:v>Labeling notes</x:v>
      </x:c>
    </x:row>
    <x:row r="2">
      <x:c r="A2" s="12" t="str">
        <x:v>positive: Başlığın şirket, sektör, piyasa veya makro görünüm açısından açık olumlu sinyal taşıması.</x:v>
      </x:c>
    </x:row>
    <x:row r="3">
      <x:c r="A3" s="12" t="str">
        <x:v>neutral: Haber süreç, anlaşma, atama, olası teklif, takvim veya bilgi aktarımı içeriyor; net yatırım yönü yok.</x:v>
      </x:c>
    </x:row>
    <x:row r="4">
      <x:c r="A4" s="12" t="str">
        <x:v>negative: Zarar, satış düşüşü, dava/soruşturma, işten çıkarma, güvenlik riski, zayıf görünüm veya olumsuz makro sinyal.</x:v>
      </x:c>
    </x:row>
    <x:row r="5">
      <x:c r="A5" s="12" t="str">
        <x:v>FinBERT comparison sütunu Excel formülüyle ChatGPT etiketi ile FinBERT etiketini karşılaştırır.</x:v>
      </x:c>
    </x:row>
    <x:row r="6">
      <x:c r="A6" s="12" t="str">
        <x:v>review_needed: Farklı etiketlerde manuel gözden geçirme için işaretlenir.</x:v>
      </x:c>
    </x:row>
  </x:sheetData>
  <x:pageMargins left="0.7" right="0.7" top="0.75" bottom="0.75" header="0.3" footer="0.3"/>
</x:worksheet>
</file>