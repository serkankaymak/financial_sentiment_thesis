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c7e45742a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90da5e4853604fcd"/>
    <x:sheet xmlns:r="http://schemas.openxmlformats.org/officeDocument/2006/relationships" name="summary" sheetId="2" r:id="R568b2086dfc146bb"/>
    <x:sheet xmlns:r="http://schemas.openxmlformats.org/officeDocument/2006/relationships" name="labeling_notes" sheetId="3" r:id="Rb3162ac38d8b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b6773dc5d45c0" /><Relationship Type="http://schemas.openxmlformats.org/officeDocument/2006/relationships/theme" Target="/xl/theme/theme1.xml" Id="Ra30258d3bd8f494b" /><Relationship Type="http://schemas.openxmlformats.org/officeDocument/2006/relationships/sharedStrings" Target="/xl/sharedStrings.xml" Id="R61b0600716f84724" /><Relationship Type="http://schemas.openxmlformats.org/officeDocument/2006/relationships/worksheet" Target="/xl/worksheets/sheet1.xml" Id="R90da5e4853604fcd" /><Relationship Type="http://schemas.openxmlformats.org/officeDocument/2006/relationships/worksheet" Target="/xl/worksheets/sheet2.xml" Id="R568b2086dfc146bb" /><Relationship Type="http://schemas.openxmlformats.org/officeDocument/2006/relationships/worksheet" Target="/xl/worksheets/sheet3.xml" Id="Rb3162ac38d8b4141" /></Relationships>
</file>

<file path=xl/tables/table1.xml><?xml version="1.0" encoding="utf-8"?>
<x:table xmlns:x="http://schemas.openxmlformats.org/spreadsheetml/2006/main" id="1" name="ReutersAnnotations026" displayName="ReutersAnnotations026" ref="A1:L51" headerRowCount="1">
  <x:tableColumns count="12">
    <x:tableColumn id="1" name="annotation_id"/>
    <x:tableColumn id="2" name="date"/>
    <x:tableColumn id="3" name="text_en"/>
    <x:tableColumn id="4" name="text_tr"/>
    <x:tableColumn id="5" name="finbert_score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4bf3dcac6d414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44" hidden="0" customWidth="1"/>
    <x:col min="4" max="4" width="48" hidden="0" customWidth="1"/>
    <x:col min="5" max="5" width="12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52" hidden="0" customWidth="1"/>
    <x:col min="11" max="11" width="18" hidden="0" customWidth="1"/>
    <x:col min="12" max="12" width="32" hidden="0" customWidth="1"/>
  </x:cols>
  <x:sheetData>
    <x:row r="1" ht="32" customHeight="1">
      <x:c r="A1" s="6" t="str">
        <x:v>annotation_id</x:v>
      </x:c>
      <x:c r="B1" s="6" t="str">
        <x:v>date</x:v>
      </x:c>
      <x:c r="C1" s="6" t="str">
        <x:v>text_en</x:v>
      </x:c>
      <x:c r="D1" s="6" t="str">
        <x:v>text_tr</x:v>
      </x:c>
      <x:c r="E1" s="6" t="str">
        <x:v>finbert_score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review_note</x:v>
      </x:c>
    </x:row>
    <x:row r="2" ht="32" customHeight="1">
      <x:c r="A2" s="12" t="str">
        <x:v>REUTERS_ANN_01251</x:v>
      </x:c>
      <x:c r="B2" s="14" t="n">
        <x:v>39094</x:v>
      </x:c>
      <x:c r="C2" s="12" t="str">
        <x:v>wall st week ahead stocks focus on earnings, inflation</x:v>
      </x:c>
      <x:c r="D2" s="12" t="str">
        <x:v>Wall Street haftaya bakış: hisseler kazançlara ve enflasyona odaklanıyor</x:v>
      </x:c>
      <x:c r="E2" s="12" t="n">
        <x:v>1</x:v>
      </x:c>
      <x:c r="F2" s="12" t="str">
        <x:v>positive</x:v>
      </x:c>
      <x:c r="G2" s="16" t="n">
        <x:v>0.6497784852981567</x:v>
      </x:c>
      <x:c r="H2" s="12" t="str">
        <x:v>neutral</x:v>
      </x:c>
      <x:c r="I2" s="18" t="n">
        <x:v>0.84</x:v>
      </x:c>
      <x:c r="J2" s="12" t="str">
        <x:v>Başlık yön belirtmiyor; piyasanın hangi verilere odaklanacağını anlatıyor.</x:v>
      </x:c>
      <x:c r="K2" s="12" t="str">
        <x:f>IF(F2=H2,"same","different")</x:f>
        <x:v>different</x:v>
      </x:c>
      <x:c r="L2" s="12" t="str">
        <x:f>IF(K2="same","FinBERT ile uyumlu","FinBERT farklı; manuel kontrol önerilir")</x:f>
        <x:v>FinBERT farklı; manuel kontrol önerilir</x:v>
      </x:c>
    </x:row>
    <x:row r="3" ht="32" customHeight="1">
      <x:c r="A3" s="12" t="str">
        <x:v>REUTERS_ANN_01252</x:v>
      </x:c>
      <x:c r="B3" s="14" t="n">
        <x:v>39063</x:v>
      </x:c>
      <x:c r="C3" s="12" t="str">
        <x:v>nasdaq launches $5.3 billion hostile bid for lse</x:v>
      </x:c>
      <x:c r="D3" s="12" t="str">
        <x:v>Nasdaq, Londra Borsası için 5,3 milyar dolarlık düşmanca teklif başlattı</x:v>
      </x:c>
      <x:c r="E3" s="12" t="n">
        <x:v>0</x:v>
      </x:c>
      <x:c r="F3" s="12" t="str">
        <x:v>neutral</x:v>
      </x:c>
      <x:c r="G3" s="16" t="n">
        <x:v>0.5251328945159912</x:v>
      </x:c>
      <x:c r="H3" s="12" t="str">
        <x:v>neutral</x:v>
      </x:c>
      <x:c r="I3" s="18" t="n">
        <x:v>0.8</x:v>
      </x:c>
      <x:c r="J3" s="12" t="str">
        <x:v>Bir satın alma teklifi haberi; tek başına olumlu ya da olumsuz finansal sonuç kesin değil.</x:v>
      </x:c>
      <x:c r="K3" s="12" t="str">
        <x:f>IF(F3=H3,"same","different")</x:f>
        <x:v>same</x:v>
      </x:c>
      <x:c r="L3" s="12" t="str">
        <x:f>IF(K3="same","FinBERT ile uyumlu","FinBERT farklı; manuel kontrol önerilir")</x:f>
        <x:v>FinBERT ile uyumlu</x:v>
      </x:c>
    </x:row>
    <x:row r="4" ht="32" customHeight="1">
      <x:c r="A4" s="12" t="str">
        <x:v>REUTERS_ANN_01253</x:v>
      </x:c>
      <x:c r="B4" s="14" t="n">
        <x:v>39122</x:v>
      </x:c>
      <x:c r="C4" s="12" t="str">
        <x:v>chrysler revamp details to eclipse daimler results</x:v>
      </x:c>
      <x:c r="D4" s="12" t="str">
        <x:v>Chrysler yeniden yapılanma ayrıntıları Daimler sonuçlarının önüne geçecek</x:v>
      </x:c>
      <x:c r="E4" s="12" t="n">
        <x:v>-1</x:v>
      </x:c>
      <x:c r="F4" s="12" t="str">
        <x:v>negative</x:v>
      </x:c>
      <x:c r="G4" s="16" t="n">
        <x:v>0.9495218992233276</x:v>
      </x:c>
      <x:c r="H4" s="12" t="str">
        <x:v>negative</x:v>
      </x:c>
      <x:c r="I4" s="18" t="n">
        <x:v>0.83</x:v>
      </x:c>
      <x:c r="J4" s="12" t="str">
        <x:v>Yeniden yapılanma ve sonuçların gölgede kalması şirket açısından baskı sinyali veriyor.</x:v>
      </x:c>
      <x:c r="K4" s="12" t="str">
        <x:f>IF(F4=H4,"same","different")</x:f>
        <x:v>same</x:v>
      </x:c>
      <x:c r="L4" s="12" t="str">
        <x:f>IF(K4="same","FinBERT ile uyumlu","FinBERT farklı; manuel kontrol önerilir")</x:f>
        <x:v>FinBERT ile uyumlu</x:v>
      </x:c>
    </x:row>
    <x:row r="5" ht="32" customHeight="1">
      <x:c r="A5" s="12" t="str">
        <x:v>REUTERS_ANN_01254</x:v>
      </x:c>
      <x:c r="B5" s="14" t="n">
        <x:v>39105</x:v>
      </x:c>
      <x:c r="C5" s="12" t="str">
        <x:v>citigroup loses bid to end $10 bln parmalat suit</x:v>
      </x:c>
      <x:c r="D5" s="12" t="str">
        <x:v>Citigroup, 10 milyar dolarlık Parmalat davasını sona erdirme girişimini kaybetti</x:v>
      </x:c>
      <x:c r="E5" s="12" t="n">
        <x:v>-1</x:v>
      </x:c>
      <x:c r="F5" s="12" t="str">
        <x:v>negative</x:v>
      </x:c>
      <x:c r="G5" s="16" t="n">
        <x:v>0.8077196478843689</x:v>
      </x:c>
      <x:c r="H5" s="12" t="str">
        <x:v>negative</x:v>
      </x:c>
      <x:c r="I5" s="18" t="n">
        <x:v>0.94</x:v>
      </x:c>
      <x:c r="J5" s="12" t="str">
        <x:v>Büyük dava riskinin devam etmesi şirket için olumsuz.</x:v>
      </x:c>
      <x:c r="K5" s="12" t="str">
        <x:f>IF(F5=H5,"same","different")</x:f>
        <x:v>same</x:v>
      </x:c>
      <x:c r="L5" s="12" t="str">
        <x:f>IF(K5="same","FinBERT ile uyumlu","FinBERT farklı; manuel kontrol önerilir")</x:f>
        <x:v>FinBERT ile uyumlu</x:v>
      </x:c>
    </x:row>
    <x:row r="6" ht="32" customHeight="1">
      <x:c r="A6" s="12" t="str">
        <x:v>REUTERS_ANN_01255</x:v>
      </x:c>
      <x:c r="B6" s="14" t="n">
        <x:v>39150</x:v>
      </x:c>
      <x:c r="C6" s="12" t="str">
        <x:v>ford credit says restructuring to cost $290 mln</x:v>
      </x:c>
      <x:c r="D6" s="12" t="str">
        <x:v>Ford Credit, yeniden yapılanmanın 290 milyon dolara mal olacağını söyledi</x:v>
      </x:c>
      <x:c r="E6" s="12" t="n">
        <x:v>-1</x:v>
      </x:c>
      <x:c r="F6" s="12" t="str">
        <x:v>negative</x:v>
      </x:c>
      <x:c r="G6" s="16" t="n">
        <x:v>0.937400758266449</x:v>
      </x:c>
      <x:c r="H6" s="12" t="str">
        <x:v>negative</x:v>
      </x:c>
      <x:c r="I6" s="18" t="n">
        <x:v>0.9</x:v>
      </x:c>
      <x:c r="J6" s="12" t="str">
        <x:v>Yeniden yapılanma maliyeti doğrudan kâr baskısı yaratıyor.</x:v>
      </x:c>
      <x:c r="K6" s="12" t="str">
        <x:f>IF(F6=H6,"same","different")</x:f>
        <x:v>same</x:v>
      </x:c>
      <x:c r="L6" s="12" t="str">
        <x:f>IF(K6="same","FinBERT ile uyumlu","FinBERT farklı; manuel kontrol önerilir")</x:f>
        <x:v>FinBERT ile uyumlu</x:v>
      </x:c>
    </x:row>
    <x:row r="7" ht="32" customHeight="1">
      <x:c r="A7" s="12" t="str">
        <x:v>REUTERS_ANN_01256</x:v>
      </x:c>
      <x:c r="B7" s="14" t="n">
        <x:v>39035</x:v>
      </x:c>
      <x:c r="C7" s="12" t="str">
        <x:v>target beats forecasts, confident about holidays</x:v>
      </x:c>
      <x:c r="D7" s="12" t="str">
        <x:v>Target beklentileri aştı, tatil dönemi konusunda güvenli</x:v>
      </x:c>
      <x:c r="E7" s="12" t="n">
        <x:v>1</x:v>
      </x:c>
      <x:c r="F7" s="12" t="str">
        <x:v>positive</x:v>
      </x:c>
      <x:c r="G7" s="16" t="n">
        <x:v>0.9494651556015016</x:v>
      </x:c>
      <x:c r="H7" s="12" t="str">
        <x:v>positive</x:v>
      </x:c>
      <x:c r="I7" s="18" t="n">
        <x:v>0.95</x:v>
      </x:c>
      <x:c r="J7" s="12" t="str">
        <x:v>Beklentilerin aşılması ve güçlü tatil beklentisi olumlu.</x:v>
      </x:c>
      <x:c r="K7" s="12" t="str">
        <x:f>IF(F7=H7,"same","different")</x:f>
        <x:v>same</x:v>
      </x:c>
      <x:c r="L7" s="12" t="str">
        <x:f>IF(K7="same","FinBERT ile uyumlu","FinBERT farklı; manuel kontrol önerilir")</x:f>
        <x:v>FinBERT ile uyumlu</x:v>
      </x:c>
    </x:row>
    <x:row r="8" ht="32" customHeight="1">
      <x:c r="A8" s="12" t="str">
        <x:v>REUTERS_ANN_01257</x:v>
      </x:c>
      <x:c r="B8" s="14" t="n">
        <x:v>39042</x:v>
      </x:c>
      <x:c r="C8" s="12" t="str">
        <x:v>gamestop posts profit, shares up</x:v>
      </x:c>
      <x:c r="D8" s="12" t="str">
        <x:v>GameStop kâr açıkladı, hisseleri yükseldi</x:v>
      </x:c>
      <x:c r="E8" s="12" t="n">
        <x:v>1</x:v>
      </x:c>
      <x:c r="F8" s="12" t="str">
        <x:v>positive</x:v>
      </x:c>
      <x:c r="G8" s="16" t="n">
        <x:v>0.7708866596221924</x:v>
      </x:c>
      <x:c r="H8" s="12" t="str">
        <x:v>positive</x:v>
      </x:c>
      <x:c r="I8" s="18" t="n">
        <x:v>0.94</x:v>
      </x:c>
      <x:c r="J8" s="12" t="str">
        <x:v>Kâr açıklaması ve hisse yükselişi açık olumlu sinyal.</x:v>
      </x:c>
      <x:c r="K8" s="12" t="str">
        <x:f>IF(F8=H8,"same","different")</x:f>
        <x:v>same</x:v>
      </x:c>
      <x:c r="L8" s="12" t="str">
        <x:f>IF(K8="same","FinBERT ile uyumlu","FinBERT farklı; manuel kontrol önerilir")</x:f>
        <x:v>FinBERT ile uyumlu</x:v>
      </x:c>
    </x:row>
    <x:row r="9" ht="32" customHeight="1">
      <x:c r="A9" s="12" t="str">
        <x:v>REUTERS_ANN_01258</x:v>
      </x:c>
      <x:c r="B9" s="14" t="n">
        <x:v>39079</x:v>
      </x:c>
      <x:c r="C9" s="12" t="str">
        <x:v>reliance steel to acquire encore group</x:v>
      </x:c>
      <x:c r="D9" s="12" t="str">
        <x:v>Reliance Steel, Encore Group'u satın alacak</x:v>
      </x:c>
      <x:c r="E9" s="12" t="n">
        <x:v>0</x:v>
      </x:c>
      <x:c r="F9" s="12" t="str">
        <x:v>neutral</x:v>
      </x:c>
      <x:c r="G9" s="16" t="n">
        <x:v>0.9370748400688172</x:v>
      </x:c>
      <x:c r="H9" s="12" t="str">
        <x:v>neutral</x:v>
      </x:c>
      <x:c r="I9" s="18" t="n">
        <x:v>0.78</x:v>
      </x:c>
      <x:c r="J9" s="12" t="str">
        <x:v>Satın alma haberi; değer etkisi başlıktan net anlaşılmıyor.</x:v>
      </x:c>
      <x:c r="K9" s="12" t="str">
        <x:f>IF(F9=H9,"same","different")</x:f>
        <x:v>same</x:v>
      </x:c>
      <x:c r="L9" s="12" t="str">
        <x:f>IF(K9="same","FinBERT ile uyumlu","FinBERT farklı; manuel kontrol önerilir")</x:f>
        <x:v>FinBERT ile uyumlu</x:v>
      </x:c>
    </x:row>
    <x:row r="10" ht="32" customHeight="1">
      <x:c r="A10" s="12" t="str">
        <x:v>REUTERS_ANN_01259</x:v>
      </x:c>
      <x:c r="B10" s="14" t="n">
        <x:v>39136</x:v>
      </x:c>
      <x:c r="C10" s="12" t="str">
        <x:v>australias coles up for sale, shares surge</x:v>
      </x:c>
      <x:c r="D10" s="12" t="str">
        <x:v>Avustralya'nın Coles'u satışa çıkarıldı, hisseleri sıçradı</x:v>
      </x:c>
      <x:c r="E10" s="12" t="n">
        <x:v>1</x:v>
      </x:c>
      <x:c r="F10" s="12" t="str">
        <x:v>positive</x:v>
      </x:c>
      <x:c r="G10" s="16" t="n">
        <x:v>0.9226568937301636</x:v>
      </x:c>
      <x:c r="H10" s="12" t="str">
        <x:v>positive</x:v>
      </x:c>
      <x:c r="I10" s="18" t="n">
        <x:v>0.92</x:v>
      </x:c>
      <x:c r="J10" s="12" t="str">
        <x:v>Satış süreci ve hisse sıçraması olumlu piyasa tepkisi gösteriyor.</x:v>
      </x:c>
      <x:c r="K10" s="12" t="str">
        <x:f>IF(F10=H10,"same","different")</x:f>
        <x:v>same</x:v>
      </x:c>
      <x:c r="L10" s="12" t="str">
        <x:f>IF(K10="same","FinBERT ile uyumlu","FinBERT farklı; manuel kontrol önerilir")</x:f>
        <x:v>FinBERT ile uyumlu</x:v>
      </x:c>
    </x:row>
    <x:row r="11" ht="32" customHeight="1">
      <x:c r="A11" s="12" t="str">
        <x:v>REUTERS_ANN_01260</x:v>
      </x:c>
      <x:c r="B11" s="14" t="n">
        <x:v>39150</x:v>
      </x:c>
      <x:c r="C11" s="12" t="str">
        <x:v>dealmakers optimistic despite global mergers lull</x:v>
      </x:c>
      <x:c r="D11" s="12" t="str">
        <x:v>Küresel birleşme durgunluğuna rağmen anlaşma yapıcılar iyimser</x:v>
      </x:c>
      <x:c r="E11" s="12" t="n">
        <x:v>-1</x:v>
      </x:c>
      <x:c r="F11" s="12" t="str">
        <x:v>negative</x:v>
      </x:c>
      <x:c r="G11" s="16" t="n">
        <x:v>0.9587620496749878</x:v>
      </x:c>
      <x:c r="H11" s="12" t="str">
        <x:v>positive</x:v>
      </x:c>
      <x:c r="I11" s="18" t="n">
        <x:v>0.8</x:v>
      </x:c>
      <x:c r="J11" s="12" t="str">
        <x:v>Olumsuz zemin olsa da başlığın ana mesajı iyimserlik.</x:v>
      </x:c>
      <x:c r="K11" s="12" t="str">
        <x:f>IF(F11=H11,"same","different")</x:f>
        <x:v>different</x:v>
      </x:c>
      <x:c r="L11" s="12" t="str">
        <x:f>IF(K11="same","FinBERT ile uyumlu","FinBERT farklı; manuel kontrol önerilir")</x:f>
        <x:v>FinBERT farklı; manuel kontrol önerilir</x:v>
      </x:c>
    </x:row>
    <x:row r="12" ht="32" customHeight="1">
      <x:c r="A12" s="12" t="str">
        <x:v>REUTERS_ANN_01261</x:v>
      </x:c>
      <x:c r="B12" s="14" t="n">
        <x:v>39185</x:v>
      </x:c>
      <x:c r="C12" s="12" t="str">
        <x:v>sallie mae in talks to go private report</x:v>
      </x:c>
      <x:c r="D12" s="12" t="str">
        <x:v>Sallie Mae özel sermaye tarafından satın alınmak üzere görüşmelerde</x:v>
      </x:c>
      <x:c r="E12" s="12" t="n">
        <x:v>0</x:v>
      </x:c>
      <x:c r="F12" s="12" t="str">
        <x:v>neutral</x:v>
      </x:c>
      <x:c r="G12" s="16" t="n">
        <x:v>0.889090895652771</x:v>
      </x:c>
      <x:c r="H12" s="12" t="str">
        <x:v>neutral</x:v>
      </x:c>
      <x:c r="I12" s="18" t="n">
        <x:v>0.78</x:v>
      </x:c>
      <x:c r="J12" s="12" t="str">
        <x:v>Özel sermaye görüşmesi haberidir; kesin fiyat veya sonuç belirtilmediği için nötr.</x:v>
      </x:c>
      <x:c r="K12" s="12" t="str">
        <x:f>IF(F12=H12,"same","different")</x:f>
        <x:v>same</x:v>
      </x:c>
      <x:c r="L12" s="12" t="str">
        <x:f>IF(K12="same","FinBERT ile uyumlu","FinBERT farklı; manuel kontrol önerilir")</x:f>
        <x:v>FinBERT ile uyumlu</x:v>
      </x:c>
    </x:row>
    <x:row r="13" ht="32" customHeight="1">
      <x:c r="A13" s="12" t="str">
        <x:v>REUTERS_ANN_01262</x:v>
      </x:c>
      <x:c r="B13" s="14" t="n">
        <x:v>39191</x:v>
      </x:c>
      <x:c r="C13" s="12" t="str">
        <x:v>samsung exec pleads guilty in dram antitrust case</x:v>
      </x:c>
      <x:c r="D13" s="12" t="str">
        <x:v>Samsung yöneticisi DRAM antitröst davasında suçunu kabul etti</x:v>
      </x:c>
      <x:c r="E13" s="12" t="n">
        <x:v>0</x:v>
      </x:c>
      <x:c r="F13" s="12" t="str">
        <x:v>neutral</x:v>
      </x:c>
      <x:c r="G13" s="16" t="n">
        <x:v>0.4635153412818908</x:v>
      </x:c>
      <x:c r="H13" s="12" t="str">
        <x:v>negative</x:v>
      </x:c>
      <x:c r="I13" s="18" t="n">
        <x:v>0.93</x:v>
      </x:c>
      <x:c r="J13" s="12" t="str">
        <x:v>Suç kabulü ve antitröst davası hukuki/itibar riski taşır.</x:v>
      </x:c>
      <x:c r="K13" s="12" t="str">
        <x:f>IF(F13=H13,"same","different")</x:f>
        <x:v>different</x:v>
      </x:c>
      <x:c r="L13" s="12" t="str">
        <x:f>IF(K13="same","FinBERT ile uyumlu","FinBERT farklı; manuel kontrol önerilir")</x:f>
        <x:v>FinBERT farklı; manuel kontrol önerilir</x:v>
      </x:c>
    </x:row>
    <x:row r="14" ht="32" customHeight="1">
      <x:c r="A14" s="12" t="str">
        <x:v>REUTERS_ANN_01263</x:v>
      </x:c>
      <x:c r="B14" s="14" t="n">
        <x:v>39114</x:v>
      </x:c>
      <x:c r="C14" s="12" t="str">
        <x:v>nasdaq mulls working with rival platform, papers say</x:v>
      </x:c>
      <x:c r="D14" s="12" t="str">
        <x:v>Nasdaq rakip platformla çalışmayı değerlendiriyor, gazeteler söylüyor</x:v>
      </x:c>
      <x:c r="E14" s="12" t="n">
        <x:v>0</x:v>
      </x:c>
      <x:c r="F14" s="12" t="str">
        <x:v>neutral</x:v>
      </x:c>
      <x:c r="G14" s="16" t="n">
        <x:v>0.9133884310722352</x:v>
      </x:c>
      <x:c r="H14" s="12" t="str">
        <x:v>neutral</x:v>
      </x:c>
      <x:c r="I14" s="18" t="n">
        <x:v>0.8</x:v>
      </x:c>
      <x:c r="J14" s="12" t="str">
        <x:v>Stratejik olasılık haberi; yön etkisi belirsiz.</x:v>
      </x:c>
      <x:c r="K14" s="12" t="str">
        <x:f>IF(F14=H14,"same","different")</x:f>
        <x:v>same</x:v>
      </x:c>
      <x:c r="L14" s="12" t="str">
        <x:f>IF(K14="same","FinBERT ile uyumlu","FinBERT farklı; manuel kontrol önerilir")</x:f>
        <x:v>FinBERT ile uyumlu</x:v>
      </x:c>
    </x:row>
    <x:row r="15" ht="32" customHeight="1">
      <x:c r="A15" s="12" t="str">
        <x:v>REUTERS_ANN_01264</x:v>
      </x:c>
      <x:c r="B15" s="14" t="n">
        <x:v>39063</x:v>
      </x:c>
      <x:c r="C15" s="12" t="str">
        <x:v>u.s. job activity little changed in october labor</x:v>
      </x:c>
      <x:c r="D15" s="12" t="str">
        <x:v>ABD iş aktivitesi ekimde çok az değişti</x:v>
      </x:c>
      <x:c r="E15" s="12" t="n">
        <x:v>-1</x:v>
      </x:c>
      <x:c r="F15" s="12" t="str">
        <x:v>negative</x:v>
      </x:c>
      <x:c r="G15" s="16" t="n">
        <x:v>0.6931235194206238</x:v>
      </x:c>
      <x:c r="H15" s="12" t="str">
        <x:v>neutral</x:v>
      </x:c>
      <x:c r="I15" s="18" t="n">
        <x:v>0.76</x:v>
      </x:c>
      <x:c r="J15" s="12" t="str">
        <x:v>Belirgin artış ya da düşüş yok; makro sinyal sınırlı.</x:v>
      </x:c>
      <x:c r="K15" s="12" t="str">
        <x:f>IF(F15=H15,"same","different")</x:f>
        <x:v>different</x:v>
      </x:c>
      <x:c r="L15" s="12" t="str">
        <x:f>IF(K15="same","FinBERT ile uyumlu","FinBERT farklı; manuel kontrol önerilir")</x:f>
        <x:v>FinBERT farklı; manuel kontrol önerilir</x:v>
      </x:c>
    </x:row>
    <x:row r="16" ht="32" customHeight="1">
      <x:c r="A16" s="12" t="str">
        <x:v>REUTERS_ANN_01265</x:v>
      </x:c>
      <x:c r="B16" s="14" t="n">
        <x:v>39115</x:v>
      </x:c>
      <x:c r="C16" s="12" t="str">
        <x:v>american axle posts quarterly loss after charges</x:v>
      </x:c>
      <x:c r="D16" s="12" t="str">
        <x:v>American Axle, masraflar sonrası çeyreklik zarar açıkladı</x:v>
      </x:c>
      <x:c r="E16" s="12" t="n">
        <x:v>-1</x:v>
      </x:c>
      <x:c r="F16" s="12" t="str">
        <x:v>negative</x:v>
      </x:c>
      <x:c r="G16" s="16" t="n">
        <x:v>0.9758813977241516</x:v>
      </x:c>
      <x:c r="H16" s="12" t="str">
        <x:v>negative</x:v>
      </x:c>
      <x:c r="I16" s="18" t="n">
        <x:v>0.95</x:v>
      </x:c>
      <x:c r="J16" s="12" t="str">
        <x:v>Çeyreklik zarar ve ek masraflar açık olumsuz.</x:v>
      </x:c>
      <x:c r="K16" s="12" t="str">
        <x:f>IF(F16=H16,"same","different")</x:f>
        <x:v>same</x:v>
      </x:c>
      <x:c r="L16" s="12" t="str">
        <x:f>IF(K16="same","FinBERT ile uyumlu","FinBERT farklı; manuel kontrol önerilir")</x:f>
        <x:v>FinBERT ile uyumlu</x:v>
      </x:c>
    </x:row>
    <x:row r="17" ht="32" customHeight="1">
      <x:c r="A17" s="12" t="str">
        <x:v>REUTERS_ANN_01266</x:v>
      </x:c>
      <x:c r="B17" s="14" t="n">
        <x:v>39050</x:v>
      </x:c>
      <x:c r="C17" s="12" t="str">
        <x:v>former aig boss eyeing ny times takeover cnbc</x:v>
      </x:c>
      <x:c r="D17" s="12" t="str">
        <x:v>Eski AIG patronu New York Times'ı satın almayı değerlendiriyor</x:v>
      </x:c>
      <x:c r="E17" s="12" t="n">
        <x:v>0</x:v>
      </x:c>
      <x:c r="F17" s="12" t="str">
        <x:v>neutral</x:v>
      </x:c>
      <x:c r="G17" s="16" t="n">
        <x:v>0.8760337233543396</x:v>
      </x:c>
      <x:c r="H17" s="12" t="str">
        <x:v>neutral</x:v>
      </x:c>
      <x:c r="I17" s="18" t="n">
        <x:v>0.76</x:v>
      </x:c>
      <x:c r="J17" s="12" t="str">
        <x:v>Olası devralma ilgisi; gerçekleşmiş finansal sonuç yok.</x:v>
      </x:c>
      <x:c r="K17" s="12" t="str">
        <x:f>IF(F17=H17,"same","different")</x:f>
        <x:v>same</x:v>
      </x:c>
      <x:c r="L17" s="12" t="str">
        <x:f>IF(K17="same","FinBERT ile uyumlu","FinBERT farklı; manuel kontrol önerilir")</x:f>
        <x:v>FinBERT ile uyumlu</x:v>
      </x:c>
    </x:row>
    <x:row r="18" ht="32" customHeight="1">
      <x:c r="A18" s="12" t="str">
        <x:v>REUTERS_ANN_01267</x:v>
      </x:c>
      <x:c r="B18" s="14" t="n">
        <x:v>39197</x:v>
      </x:c>
      <x:c r="C18" s="12" t="str">
        <x:v>wellpoint posts higher quarterly profit</x:v>
      </x:c>
      <x:c r="D18" s="12" t="str">
        <x:v>WellPoint daha yüksek çeyreklik kâr açıkladı</x:v>
      </x:c>
      <x:c r="E18" s="12" t="n">
        <x:v>1</x:v>
      </x:c>
      <x:c r="F18" s="12" t="str">
        <x:v>positive</x:v>
      </x:c>
      <x:c r="G18" s="16" t="n">
        <x:v>0.9354465007781982</x:v>
      </x:c>
      <x:c r="H18" s="12" t="str">
        <x:v>positive</x:v>
      </x:c>
      <x:c r="I18" s="18" t="n">
        <x:v>0.95</x:v>
      </x:c>
      <x:c r="J18" s="12" t="str">
        <x:v>Kâr artışı şirket açısından olumlu.</x:v>
      </x:c>
      <x:c r="K18" s="12" t="str">
        <x:f>IF(F18=H18,"same","different")</x:f>
        <x:v>same</x:v>
      </x:c>
      <x:c r="L18" s="12" t="str">
        <x:f>IF(K18="same","FinBERT ile uyumlu","FinBERT farklı; manuel kontrol önerilir")</x:f>
        <x:v>FinBERT ile uyumlu</x:v>
      </x:c>
    </x:row>
    <x:row r="19" ht="32" customHeight="1">
      <x:c r="A19" s="12" t="str">
        <x:v>REUTERS_ANN_01268</x:v>
      </x:c>
      <x:c r="B19" s="14" t="n">
        <x:v>39209</x:v>
      </x:c>
      <x:c r="C19" s="12" t="str">
        <x:v>abn rejects rival rbs lasalle offer</x:v>
      </x:c>
      <x:c r="D19" s="12" t="str">
        <x:v>ABN, rakip RBS'nin LaSalle teklifini reddetti</x:v>
      </x:c>
      <x:c r="E19" s="12" t="n">
        <x:v>0</x:v>
      </x:c>
      <x:c r="F19" s="12" t="str">
        <x:v>neutral</x:v>
      </x:c>
      <x:c r="G19" s="16" t="n">
        <x:v>0.7287773489952087</x:v>
      </x:c>
      <x:c r="H19" s="12" t="str">
        <x:v>neutral</x:v>
      </x:c>
      <x:c r="I19" s="18" t="n">
        <x:v>0.7</x:v>
      </x:c>
      <x:c r="J19" s="12" t="str">
        <x:v>Teklif reddi belirsizlik yaratır ancak başlıkta net değer kaybı yok.</x:v>
      </x:c>
      <x:c r="K19" s="12" t="str">
        <x:f>IF(F19=H19,"same","different")</x:f>
        <x:v>same</x:v>
      </x:c>
      <x:c r="L19" s="12" t="str">
        <x:f>IF(K19="same","FinBERT ile uyumlu","FinBERT farklı; manuel kontrol önerilir")</x:f>
        <x:v>FinBERT ile uyumlu</x:v>
      </x:c>
    </x:row>
    <x:row r="20" ht="32" customHeight="1">
      <x:c r="A20" s="12" t="str">
        <x:v>REUTERS_ANN_01269</x:v>
      </x:c>
      <x:c r="B20" s="14" t="n">
        <x:v>39195</x:v>
      </x:c>
      <x:c r="C20" s="12" t="str">
        <x:v>bausch lomb stock jumps on buyout rumor traders</x:v>
      </x:c>
      <x:c r="D20" s="12" t="str">
        <x:v>Bausch &amp; Lomb hissesi satın alma söylentisiyle sıçradı</x:v>
      </x:c>
      <x:c r="E20" s="12" t="n">
        <x:v>1</x:v>
      </x:c>
      <x:c r="F20" s="12" t="str">
        <x:v>positive</x:v>
      </x:c>
      <x:c r="G20" s="16" t="n">
        <x:v>0.8172976970672607</x:v>
      </x:c>
      <x:c r="H20" s="12" t="str">
        <x:v>positive</x:v>
      </x:c>
      <x:c r="I20" s="18" t="n">
        <x:v>0.88</x:v>
      </x:c>
      <x:c r="J20" s="12" t="str">
        <x:v>Hisse sıçraması ve satın alma söylentisi olumlu piyasa etkisi gösteriyor.</x:v>
      </x:c>
      <x:c r="K20" s="12" t="str">
        <x:f>IF(F20=H20,"same","different")</x:f>
        <x:v>same</x:v>
      </x:c>
      <x:c r="L20" s="12" t="str">
        <x:f>IF(K20="same","FinBERT ile uyumlu","FinBERT farklı; manuel kontrol önerilir")</x:f>
        <x:v>FinBERT ile uyumlu</x:v>
      </x:c>
    </x:row>
    <x:row r="21" ht="32" customHeight="1">
      <x:c r="A21" s="12" t="str">
        <x:v>REUTERS_ANN_01270</x:v>
      </x:c>
      <x:c r="B21" s="14" t="n">
        <x:v>39159</x:v>
      </x:c>
      <x:c r="C21" s="12" t="str">
        <x:v>japan tv vendor sues hp for compensation nikkei</x:v>
      </x:c>
      <x:c r="D21" s="12" t="str">
        <x:v>Japon TV tedarikçisi HP'ye tazminat davası açtı</x:v>
      </x:c>
      <x:c r="E21" s="12" t="n">
        <x:v>-1</x:v>
      </x:c>
      <x:c r="F21" s="12" t="str">
        <x:v>negative</x:v>
      </x:c>
      <x:c r="G21" s="16" t="n">
        <x:v>0.8990139365196228</x:v>
      </x:c>
      <x:c r="H21" s="12" t="str">
        <x:v>negative</x:v>
      </x:c>
      <x:c r="I21" s="18" t="n">
        <x:v>0.91</x:v>
      </x:c>
      <x:c r="J21" s="12" t="str">
        <x:v>Dava ve tazminat talebi HP için hukuki risk.</x:v>
      </x:c>
      <x:c r="K21" s="12" t="str">
        <x:f>IF(F21=H21,"same","different")</x:f>
        <x:v>same</x:v>
      </x:c>
      <x:c r="L21" s="12" t="str">
        <x:f>IF(K21="same","FinBERT ile uyumlu","FinBERT farklı; manuel kontrol önerilir")</x:f>
        <x:v>FinBERT ile uyumlu</x:v>
      </x:c>
    </x:row>
    <x:row r="22" ht="32" customHeight="1">
      <x:c r="A22" s="12" t="str">
        <x:v>REUTERS_ANN_01271</x:v>
      </x:c>
      <x:c r="B22" s="14" t="n">
        <x:v>39132</x:v>
      </x:c>
      <x:c r="C22" s="12" t="str">
        <x:v>vulcan materials to buy florida rock for $4.6 billion</x:v>
      </x:c>
      <x:c r="D22" s="12" t="str">
        <x:v>Vulcan Materials, Florida Rock'ı 4,6 milyar dolara satın alacak</x:v>
      </x:c>
      <x:c r="E22" s="12" t="n">
        <x:v>0</x:v>
      </x:c>
      <x:c r="F22" s="12" t="str">
        <x:v>neutral</x:v>
      </x:c>
      <x:c r="G22" s="16" t="n">
        <x:v>0.894155740737915</x:v>
      </x:c>
      <x:c r="H22" s="12" t="str">
        <x:v>neutral</x:v>
      </x:c>
      <x:c r="I22" s="18" t="n">
        <x:v>0.78</x:v>
      </x:c>
      <x:c r="J22" s="12" t="str">
        <x:v>Büyük satın alma haberi; başlıktan olumlu/olumsuz etki net değil.</x:v>
      </x:c>
      <x:c r="K22" s="12" t="str">
        <x:f>IF(F22=H22,"same","different")</x:f>
        <x:v>same</x:v>
      </x:c>
      <x:c r="L22" s="12" t="str">
        <x:f>IF(K22="same","FinBERT ile uyumlu","FinBERT farklı; manuel kontrol önerilir")</x:f>
        <x:v>FinBERT ile uyumlu</x:v>
      </x:c>
    </x:row>
    <x:row r="23" ht="32" customHeight="1">
      <x:c r="A23" s="12" t="str">
        <x:v>REUTERS_ANN_01272</x:v>
      </x:c>
      <x:c r="B23" s="14" t="n">
        <x:v>39162</x:v>
      </x:c>
      <x:c r="C23" s="12" t="str">
        <x:v>paypal customers in europe number near 35 million</x:v>
      </x:c>
      <x:c r="D23" s="12" t="str">
        <x:v>Avrupa'daki PayPal müşteri sayısı 35 milyona yaklaştı</x:v>
      </x:c>
      <x:c r="E23" s="12" t="n">
        <x:v>0</x:v>
      </x:c>
      <x:c r="F23" s="12" t="str">
        <x:v>neutral</x:v>
      </x:c>
      <x:c r="G23" s="16" t="n">
        <x:v>0.941253125667572</x:v>
      </x:c>
      <x:c r="H23" s="12" t="str">
        <x:v>positive</x:v>
      </x:c>
      <x:c r="I23" s="18" t="n">
        <x:v>0.86</x:v>
      </x:c>
      <x:c r="J23" s="12" t="str">
        <x:v>Müşteri büyümesi iş hacmi açısından olumlu.</x:v>
      </x:c>
      <x:c r="K23" s="12" t="str">
        <x:f>IF(F23=H23,"same","different")</x:f>
        <x:v>different</x:v>
      </x:c>
      <x:c r="L23" s="12" t="str">
        <x:f>IF(K23="same","FinBERT ile uyumlu","FinBERT farklı; manuel kontrol önerilir")</x:f>
        <x:v>FinBERT farklı; manuel kontrol önerilir</x:v>
      </x:c>
    </x:row>
    <x:row r="24" ht="32" customHeight="1">
      <x:c r="A24" s="12" t="str">
        <x:v>REUTERS_ANN_01273</x:v>
      </x:c>
      <x:c r="B24" s="14" t="n">
        <x:v>39178</x:v>
      </x:c>
      <x:c r="C24" s="12" t="str">
        <x:v>ppr in talks to buy puma stake reports</x:v>
      </x:c>
      <x:c r="D24" s="12" t="str">
        <x:v>PPR, Puma hissesi almak için görüşmelerde</x:v>
      </x:c>
      <x:c r="E24" s="12" t="n">
        <x:v>0</x:v>
      </x:c>
      <x:c r="F24" s="12" t="str">
        <x:v>neutral</x:v>
      </x:c>
      <x:c r="G24" s="16" t="n">
        <x:v>0.8575249314308167</x:v>
      </x:c>
      <x:c r="H24" s="12" t="str">
        <x:v>neutral</x:v>
      </x:c>
      <x:c r="I24" s="18" t="n">
        <x:v>0.76</x:v>
      </x:c>
      <x:c r="J24" s="12" t="str">
        <x:v>Görüşme aşamasındaki M&amp;A haberi; sonuç kesin değil.</x:v>
      </x:c>
      <x:c r="K24" s="12" t="str">
        <x:f>IF(F24=H24,"same","different")</x:f>
        <x:v>same</x:v>
      </x:c>
      <x:c r="L24" s="12" t="str">
        <x:f>IF(K24="same","FinBERT ile uyumlu","FinBERT farklı; manuel kontrol önerilir")</x:f>
        <x:v>FinBERT ile uyumlu</x:v>
      </x:c>
    </x:row>
    <x:row r="25" ht="32" customHeight="1">
      <x:c r="A25" s="12" t="str">
        <x:v>REUTERS_ANN_01274</x:v>
      </x:c>
      <x:c r="B25" s="14" t="n">
        <x:v>39175</x:v>
      </x:c>
      <x:c r="C25" s="12" t="str">
        <x:v>marshall ilsley to split off metavante unit</x:v>
      </x:c>
      <x:c r="D25" s="12" t="str">
        <x:v>Marshall &amp; Ilsley, Metavante birimini ayıracak</x:v>
      </x:c>
      <x:c r="E25" s="12" t="n">
        <x:v>0</x:v>
      </x:c>
      <x:c r="F25" s="12" t="str">
        <x:v>neutral</x:v>
      </x:c>
      <x:c r="G25" s="16" t="n">
        <x:v>0.9102287292480468</x:v>
      </x:c>
      <x:c r="H25" s="12" t="str">
        <x:v>neutral</x:v>
      </x:c>
      <x:c r="I25" s="18" t="n">
        <x:v>0.78</x:v>
      </x:c>
      <x:c r="J25" s="12" t="str">
        <x:v>Şirket bölünmesi/ayırma haberi; değer etkisi net değil.</x:v>
      </x:c>
      <x:c r="K25" s="12" t="str">
        <x:f>IF(F25=H25,"same","different")</x:f>
        <x:v>same</x:v>
      </x:c>
      <x:c r="L25" s="12" t="str">
        <x:f>IF(K25="same","FinBERT ile uyumlu","FinBERT farklı; manuel kontrol önerilir")</x:f>
        <x:v>FinBERT ile uyumlu</x:v>
      </x:c>
    </x:row>
    <x:row r="26" ht="32" customHeight="1">
      <x:c r="A26" s="12" t="str">
        <x:v>REUTERS_ANN_01275</x:v>
      </x:c>
      <x:c r="B26" s="14" t="n">
        <x:v>39052</x:v>
      </x:c>
      <x:c r="C26" s="12" t="str">
        <x:v>thyssenkrupp to definitely build u.s. steel mill</x:v>
      </x:c>
      <x:c r="D26" s="12" t="str">
        <x:v>ThyssenKrupp ABD'de kesin olarak çelik tesisi kuracak</x:v>
      </x:c>
      <x:c r="E26" s="12" t="n">
        <x:v>0</x:v>
      </x:c>
      <x:c r="F26" s="12" t="str">
        <x:v>neutral</x:v>
      </x:c>
      <x:c r="G26" s="16" t="n">
        <x:v>0.8158063292503357</x:v>
      </x:c>
      <x:c r="H26" s="12" t="str">
        <x:v>positive</x:v>
      </x:c>
      <x:c r="I26" s="18" t="n">
        <x:v>0.82</x:v>
      </x:c>
      <x:c r="J26" s="12" t="str">
        <x:v>Yeni tesis yatırımı ve kapasite artışı büyüme sinyali.</x:v>
      </x:c>
      <x:c r="K26" s="12" t="str">
        <x:f>IF(F26=H26,"same","different")</x:f>
        <x:v>different</x:v>
      </x:c>
      <x:c r="L26" s="12" t="str">
        <x:f>IF(K26="same","FinBERT ile uyumlu","FinBERT farklı; manuel kontrol önerilir")</x:f>
        <x:v>FinBERT farklı; manuel kontrol önerilir</x:v>
      </x:c>
    </x:row>
    <x:row r="27" ht="32" customHeight="1">
      <x:c r="A27" s="12" t="str">
        <x:v>REUTERS_ANN_01276</x:v>
      </x:c>
      <x:c r="B27" s="14" t="n">
        <x:v>39141</x:v>
      </x:c>
      <x:c r="C27" s="12" t="str">
        <x:v>factbox-airbus statement details cost cuts, job losses</x:v>
      </x:c>
      <x:c r="D27" s="12" t="str">
        <x:v>Bilgi kutusu: Airbus açıklaması maliyet kesintileri ve iş kayıplarını detaylandırıyor</x:v>
      </x:c>
      <x:c r="E27" s="12" t="n">
        <x:v>0</x:v>
      </x:c>
      <x:c r="F27" s="12" t="str">
        <x:v>neutral</x:v>
      </x:c>
      <x:c r="G27" s="16" t="n">
        <x:v>0.4117860794067383</x:v>
      </x:c>
      <x:c r="H27" s="12" t="str">
        <x:v>negative</x:v>
      </x:c>
      <x:c r="I27" s="18" t="n">
        <x:v>0.88</x:v>
      </x:c>
      <x:c r="J27" s="12" t="str">
        <x:v>Maliyet kesintileri ve iş kayıpları operasyonel baskıya işaret ediyor.</x:v>
      </x:c>
      <x:c r="K27" s="12" t="str">
        <x:f>IF(F27=H27,"same","different")</x:f>
        <x:v>different</x:v>
      </x:c>
      <x:c r="L27" s="12" t="str">
        <x:f>IF(K27="same","FinBERT ile uyumlu","FinBERT farklı; manuel kontrol önerilir")</x:f>
        <x:v>FinBERT farklı; manuel kontrol önerilir</x:v>
      </x:c>
    </x:row>
    <x:row r="28" ht="32" customHeight="1">
      <x:c r="A28" s="12" t="str">
        <x:v>REUTERS_ANN_01277</x:v>
      </x:c>
      <x:c r="B28" s="14" t="n">
        <x:v>39090</x:v>
      </x:c>
      <x:c r="C28" s="12" t="str">
        <x:v>ups names coo, international chief</x:v>
      </x:c>
      <x:c r="D28" s="12" t="str">
        <x:v>UPS operasyon direktörünü ve uluslararası bölüm başkanını atadı</x:v>
      </x:c>
      <x:c r="E28" s="12" t="n">
        <x:v>0</x:v>
      </x:c>
      <x:c r="F28" s="12" t="str">
        <x:v>neutral</x:v>
      </x:c>
      <x:c r="G28" s="16" t="n">
        <x:v>0.899079442024231</x:v>
      </x:c>
      <x:c r="H28" s="12" t="str">
        <x:v>neutral</x:v>
      </x:c>
      <x:c r="I28" s="18" t="n">
        <x:v>0.88</x:v>
      </x:c>
      <x:c r="J28" s="12" t="str">
        <x:v>Yönetim ataması haberi; finansal yön etkisi sınırlı.</x:v>
      </x:c>
      <x:c r="K28" s="12" t="str">
        <x:f>IF(F28=H28,"same","different")</x:f>
        <x:v>same</x:v>
      </x:c>
      <x:c r="L28" s="12" t="str">
        <x:f>IF(K28="same","FinBERT ile uyumlu","FinBERT farklı; manuel kontrol önerilir")</x:f>
        <x:v>FinBERT ile uyumlu</x:v>
      </x:c>
    </x:row>
    <x:row r="29" ht="32" customHeight="1">
      <x:c r="A29" s="12" t="str">
        <x:v>REUTERS_ANN_01278</x:v>
      </x:c>
      <x:c r="B29" s="14" t="n">
        <x:v>39062</x:v>
      </x:c>
      <x:c r="C29" s="12" t="str">
        <x:v>nissan unveils plans for hybrids, other green cars</x:v>
      </x:c>
      <x:c r="D29" s="12" t="str">
        <x:v>Nissan hibritler ve diğer çevreci araçlar için planlarını açıkladı</x:v>
      </x:c>
      <x:c r="E29" s="12" t="n">
        <x:v>1</x:v>
      </x:c>
      <x:c r="F29" s="12" t="str">
        <x:v>positive</x:v>
      </x:c>
      <x:c r="G29" s="16" t="n">
        <x:v>0.6926295161247253</x:v>
      </x:c>
      <x:c r="H29" s="12" t="str">
        <x:v>positive</x:v>
      </x:c>
      <x:c r="I29" s="18" t="n">
        <x:v>0.8</x:v>
      </x:c>
      <x:c r="J29" s="12" t="str">
        <x:v>Yeni ürün/strateji planı büyüme ve inovasyon sinyali.</x:v>
      </x:c>
      <x:c r="K29" s="12" t="str">
        <x:f>IF(F29=H29,"same","different")</x:f>
        <x:v>same</x:v>
      </x:c>
      <x:c r="L29" s="12" t="str">
        <x:f>IF(K29="same","FinBERT ile uyumlu","FinBERT farklı; manuel kontrol önerilir")</x:f>
        <x:v>FinBERT ile uyumlu</x:v>
      </x:c>
    </x:row>
    <x:row r="30" ht="32" customHeight="1">
      <x:c r="A30" s="12" t="str">
        <x:v>REUTERS_ANN_01279</x:v>
      </x:c>
      <x:c r="B30" s="14" t="n">
        <x:v>39162</x:v>
      </x:c>
      <x:c r="C30" s="12" t="str">
        <x:v>starbucks schultz says memo wasnt criticism</x:v>
      </x:c>
      <x:c r="D30" s="12" t="str">
        <x:v>Starbucks'tan Schultz, notun eleştiri olmadığını söyledi</x:v>
      </x:c>
      <x:c r="E30" s="12" t="n">
        <x:v>0</x:v>
      </x:c>
      <x:c r="F30" s="12" t="str">
        <x:v>neutral</x:v>
      </x:c>
      <x:c r="G30" s="16" t="n">
        <x:v>0.5995209217071533</x:v>
      </x:c>
      <x:c r="H30" s="12" t="str">
        <x:v>neutral</x:v>
      </x:c>
      <x:c r="I30" s="18" t="n">
        <x:v>0.75</x:v>
      </x:c>
      <x:c r="J30" s="12" t="str">
        <x:v>Açıklama/iletişim haberi; doğrudan finansal yön yok.</x:v>
      </x:c>
      <x:c r="K30" s="12" t="str">
        <x:f>IF(F30=H30,"same","different")</x:f>
        <x:v>same</x:v>
      </x:c>
      <x:c r="L30" s="12" t="str">
        <x:f>IF(K30="same","FinBERT ile uyumlu","FinBERT farklı; manuel kontrol önerilir")</x:f>
        <x:v>FinBERT ile uyumlu</x:v>
      </x:c>
    </x:row>
    <x:row r="31" ht="32" customHeight="1">
      <x:c r="A31" s="12" t="str">
        <x:v>REUTERS_ANN_01280</x:v>
      </x:c>
      <x:c r="B31" s="14" t="n">
        <x:v>39100</x:v>
      </x:c>
      <x:c r="C31" s="12" t="str">
        <x:v>continental airlines loss narrows on higher fares</x:v>
      </x:c>
      <x:c r="D31" s="12" t="str">
        <x:v>Continental Airlines'ın zararı yüksek ücretlerle daraldı</x:v>
      </x:c>
      <x:c r="E31" s="12" t="n">
        <x:v>-1</x:v>
      </x:c>
      <x:c r="F31" s="12" t="str">
        <x:v>negative</x:v>
      </x:c>
      <x:c r="G31" s="16" t="n">
        <x:v>0.8838464617729187</x:v>
      </x:c>
      <x:c r="H31" s="12" t="str">
        <x:v>positive</x:v>
      </x:c>
      <x:c r="I31" s="18" t="n">
        <x:v>0.75</x:v>
      </x:c>
      <x:c r="J31" s="12" t="str">
        <x:v>Zarar devam etse de zararın daralması iyileşme sinyali.</x:v>
      </x:c>
      <x:c r="K31" s="12" t="str">
        <x:f>IF(F31=H31,"same","different")</x:f>
        <x:v>different</x:v>
      </x:c>
      <x:c r="L31" s="12" t="str">
        <x:f>IF(K31="same","FinBERT ile uyumlu","FinBERT farklı; manuel kontrol önerilir")</x:f>
        <x:v>FinBERT farklı; manuel kontrol önerilir</x:v>
      </x:c>
    </x:row>
    <x:row r="32" ht="32" customHeight="1">
      <x:c r="A32" s="12" t="str">
        <x:v>REUTERS_ANN_01281</x:v>
      </x:c>
      <x:c r="B32" s="14" t="n">
        <x:v>39059</x:v>
      </x:c>
      <x:c r="C32" s="12" t="str">
        <x:v>devon trims output forecast on canada drop</x:v>
      </x:c>
      <x:c r="D32" s="12" t="str">
        <x:v>Devon, Kanada düşüşü nedeniyle üretim tahminini azalttı</x:v>
      </x:c>
      <x:c r="E32" s="12" t="n">
        <x:v>-1</x:v>
      </x:c>
      <x:c r="F32" s="12" t="str">
        <x:v>negative</x:v>
      </x:c>
      <x:c r="G32" s="16" t="n">
        <x:v>0.9119327068328856</x:v>
      </x:c>
      <x:c r="H32" s="12" t="str">
        <x:v>negative</x:v>
      </x:c>
      <x:c r="I32" s="18" t="n">
        <x:v>0.9</x:v>
      </x:c>
      <x:c r="J32" s="12" t="str">
        <x:v>Üretim tahmininin düşürülmesi olumsuz operasyonel sinyal.</x:v>
      </x:c>
      <x:c r="K32" s="12" t="str">
        <x:f>IF(F32=H32,"same","different")</x:f>
        <x:v>same</x:v>
      </x:c>
      <x:c r="L32" s="12" t="str">
        <x:f>IF(K32="same","FinBERT ile uyumlu","FinBERT farklı; manuel kontrol önerilir")</x:f>
        <x:v>FinBERT ile uyumlu</x:v>
      </x:c>
    </x:row>
    <x:row r="33" ht="32" customHeight="1">
      <x:c r="A33" s="12" t="str">
        <x:v>REUTERS_ANN_01282</x:v>
      </x:c>
      <x:c r="B33" s="14" t="n">
        <x:v>39054</x:v>
      </x:c>
      <x:c r="C33" s="12" t="str">
        <x:v>jobs and data set stocks year-end course</x:v>
      </x:c>
      <x:c r="D33" s="12" t="str">
        <x:v>İstihdam ve veriler yıl sonu hisse yönünü belirleyecek</x:v>
      </x:c>
      <x:c r="E33" s="12" t="n">
        <x:v>-1</x:v>
      </x:c>
      <x:c r="F33" s="12" t="str">
        <x:v>negative</x:v>
      </x:c>
      <x:c r="G33" s="16" t="n">
        <x:v>0.8706077933311462</x:v>
      </x:c>
      <x:c r="H33" s="12" t="str">
        <x:v>neutral</x:v>
      </x:c>
      <x:c r="I33" s="18" t="n">
        <x:v>0.82</x:v>
      </x:c>
      <x:c r="J33" s="12" t="str">
        <x:v>Piyasa gündemi anlatılıyor; net olumlu/olumsuz yön yok.</x:v>
      </x:c>
      <x:c r="K33" s="12" t="str">
        <x:f>IF(F33=H33,"same","different")</x:f>
        <x:v>different</x:v>
      </x:c>
      <x:c r="L33" s="12" t="str">
        <x:f>IF(K33="same","FinBERT ile uyumlu","FinBERT farklı; manuel kontrol önerilir")</x:f>
        <x:v>FinBERT farklı; manuel kontrol önerilir</x:v>
      </x:c>
    </x:row>
    <x:row r="34" ht="32" customHeight="1">
      <x:c r="A34" s="12" t="str">
        <x:v>REUTERS_ANN_01283</x:v>
      </x:c>
      <x:c r="B34" s="14" t="n">
        <x:v>39140</x:v>
      </x:c>
      <x:c r="C34" s="12" t="str">
        <x:v>volvo to buy ingersoll-rand road unit for $1.3 billion</x:v>
      </x:c>
      <x:c r="D34" s="12" t="str">
        <x:v>Volvo, Ingersoll-Rand'in yol birimini 1,3 milyar dolara alacak</x:v>
      </x:c>
      <x:c r="E34" s="12" t="n">
        <x:v>1</x:v>
      </x:c>
      <x:c r="F34" s="12" t="str">
        <x:v>positive</x:v>
      </x:c>
      <x:c r="G34" s="16" t="n">
        <x:v>0.6986417174339294</x:v>
      </x:c>
      <x:c r="H34" s="12" t="str">
        <x:v>positive</x:v>
      </x:c>
      <x:c r="I34" s="18" t="n">
        <x:v>0.72</x:v>
      </x:c>
      <x:c r="J34" s="12" t="str">
        <x:v>Satın alma büyüme hamlesi olarak hafif olumlu değerlendirilebilir.</x:v>
      </x:c>
      <x:c r="K34" s="12" t="str">
        <x:f>IF(F34=H34,"same","different")</x:f>
        <x:v>same</x:v>
      </x:c>
      <x:c r="L34" s="12" t="str">
        <x:f>IF(K34="same","FinBERT ile uyumlu","FinBERT farklı; manuel kontrol önerilir")</x:f>
        <x:v>FinBERT ile uyumlu</x:v>
      </x:c>
    </x:row>
    <x:row r="35" ht="32" customHeight="1">
      <x:c r="A35" s="12" t="str">
        <x:v>REUTERS_ANN_01284</x:v>
      </x:c>
      <x:c r="B35" s="14" t="n">
        <x:v>39191</x:v>
      </x:c>
      <x:c r="C35" s="12" t="str">
        <x:v>amd shares rebound after results</x:v>
      </x:c>
      <x:c r="D35" s="12" t="str">
        <x:v>AMD hisseleri sonuçların ardından toparlandı</x:v>
      </x:c>
      <x:c r="E35" s="12" t="n">
        <x:v>1</x:v>
      </x:c>
      <x:c r="F35" s="12" t="str">
        <x:v>positive</x:v>
      </x:c>
      <x:c r="G35" s="16" t="n">
        <x:v>0.9371966123580932</x:v>
      </x:c>
      <x:c r="H35" s="12" t="str">
        <x:v>positive</x:v>
      </x:c>
      <x:c r="I35" s="18" t="n">
        <x:v>0.88</x:v>
      </x:c>
      <x:c r="J35" s="12" t="str">
        <x:v>Hisse toparlanması olumlu piyasa tepkisi gösteriyor.</x:v>
      </x:c>
      <x:c r="K35" s="12" t="str">
        <x:f>IF(F35=H35,"same","different")</x:f>
        <x:v>same</x:v>
      </x:c>
      <x:c r="L35" s="12" t="str">
        <x:f>IF(K35="same","FinBERT ile uyumlu","FinBERT farklı; manuel kontrol önerilir")</x:f>
        <x:v>FinBERT ile uyumlu</x:v>
      </x:c>
    </x:row>
    <x:row r="36" ht="32" customHeight="1">
      <x:c r="A36" s="12" t="str">
        <x:v>REUTERS_ANN_01285</x:v>
      </x:c>
      <x:c r="B36" s="14" t="n">
        <x:v>39162</x:v>
      </x:c>
      <x:c r="C36" s="12" t="str">
        <x:v>applebees closing 24 company-owned restaurants</x:v>
      </x:c>
      <x:c r="D36" s="12" t="str">
        <x:v>Applebee's şirkete ait 24 restoranı kapatıyor</x:v>
      </x:c>
      <x:c r="E36" s="12" t="n">
        <x:v>-1</x:v>
      </x:c>
      <x:c r="F36" s="12" t="str">
        <x:v>negative</x:v>
      </x:c>
      <x:c r="G36" s="16" t="n">
        <x:v>0.5781868696212769</x:v>
      </x:c>
      <x:c r="H36" s="12" t="str">
        <x:v>negative</x:v>
      </x:c>
      <x:c r="I36" s="18" t="n">
        <x:v>0.92</x:v>
      </x:c>
      <x:c r="J36" s="12" t="str">
        <x:v>Restoran kapatmaları operasyonel zayıflık ve maliyet baskısı gösterir.</x:v>
      </x:c>
      <x:c r="K36" s="12" t="str">
        <x:f>IF(F36=H36,"same","different")</x:f>
        <x:v>same</x:v>
      </x:c>
      <x:c r="L36" s="12" t="str">
        <x:f>IF(K36="same","FinBERT ile uyumlu","FinBERT farklı; manuel kontrol önerilir")</x:f>
        <x:v>FinBERT ile uyumlu</x:v>
      </x:c>
    </x:row>
    <x:row r="37" ht="32" customHeight="1">
      <x:c r="A37" s="12" t="str">
        <x:v>REUTERS_ANN_01286</x:v>
      </x:c>
      <x:c r="B37" s="14" t="n">
        <x:v>39184</x:v>
      </x:c>
      <x:c r="C37" s="12" t="str">
        <x:v>jeb bush joins board of tenet healthcare</x:v>
      </x:c>
      <x:c r="D37" s="12" t="str">
        <x:v>Jeb Bush, Tenet Healthcare yönetim kuruluna katıldı</x:v>
      </x:c>
      <x:c r="E37" s="12" t="n">
        <x:v>0</x:v>
      </x:c>
      <x:c r="F37" s="12" t="str">
        <x:v>neutral</x:v>
      </x:c>
      <x:c r="G37" s="16" t="n">
        <x:v>0.8350666761398315</x:v>
      </x:c>
      <x:c r="H37" s="12" t="str">
        <x:v>neutral</x:v>
      </x:c>
      <x:c r="I37" s="18" t="n">
        <x:v>0.9</x:v>
      </x:c>
      <x:c r="J37" s="12" t="str">
        <x:v>Yönetim kurulu ataması; doğrudan finansal etki belirsiz.</x:v>
      </x:c>
      <x:c r="K37" s="12" t="str">
        <x:f>IF(F37=H37,"same","different")</x:f>
        <x:v>same</x:v>
      </x:c>
      <x:c r="L37" s="12" t="str">
        <x:f>IF(K37="same","FinBERT ile uyumlu","FinBERT farklı; manuel kontrol önerilir")</x:f>
        <x:v>FinBERT ile uyumlu</x:v>
      </x:c>
    </x:row>
    <x:row r="38" ht="32" customHeight="1">
      <x:c r="A38" s="12" t="str">
        <x:v>REUTERS_ANN_01287</x:v>
      </x:c>
      <x:c r="B38" s="14" t="n">
        <x:v>39147</x:v>
      </x:c>
      <x:c r="C38" s="12" t="str">
        <x:v>wal-mart shipping web orders to stores for free</x:v>
      </x:c>
      <x:c r="D38" s="12" t="str">
        <x:v>Wal-Mart internet siparişlerini mağazalara ücretsiz gönderecek</x:v>
      </x:c>
      <x:c r="E38" s="12" t="n">
        <x:v>0</x:v>
      </x:c>
      <x:c r="F38" s="12" t="str">
        <x:v>neutral</x:v>
      </x:c>
      <x:c r="G38" s="16" t="n">
        <x:v>0.7234008312225342</x:v>
      </x:c>
      <x:c r="H38" s="12" t="str">
        <x:v>positive</x:v>
      </x:c>
      <x:c r="I38" s="18" t="n">
        <x:v>0.77</x:v>
      </x:c>
      <x:c r="J38" s="12" t="str">
        <x:v>Müşteri hizmeti ve çok kanallı satış stratejisi açısından olumlu.</x:v>
      </x:c>
      <x:c r="K38" s="12" t="str">
        <x:f>IF(F38=H38,"same","different")</x:f>
        <x:v>different</x:v>
      </x:c>
      <x:c r="L38" s="12" t="str">
        <x:f>IF(K38="same","FinBERT ile uyumlu","FinBERT farklı; manuel kontrol önerilir")</x:f>
        <x:v>FinBERT farklı; manuel kontrol önerilir</x:v>
      </x:c>
    </x:row>
    <x:row r="39" ht="32" customHeight="1">
      <x:c r="A39" s="12" t="str">
        <x:v>REUTERS_ANN_01288</x:v>
      </x:c>
      <x:c r="B39" s="14" t="n">
        <x:v>39128</x:v>
      </x:c>
      <x:c r="C39" s="12" t="str">
        <x:v>vista revenue forecasts too aggressive microsoft ceo</x:v>
      </x:c>
      <x:c r="D39" s="12" t="str">
        <x:v>Microsoft CEO'su Vista gelir tahminlerinin fazla agresif olduğunu söyledi</x:v>
      </x:c>
      <x:c r="E39" s="12" t="n">
        <x:v>-1</x:v>
      </x:c>
      <x:c r="F39" s="12" t="str">
        <x:v>negative</x:v>
      </x:c>
      <x:c r="G39" s="16" t="n">
        <x:v>0.9699839949607848</x:v>
      </x:c>
      <x:c r="H39" s="12" t="str">
        <x:v>negative</x:v>
      </x:c>
      <x:c r="I39" s="18" t="n">
        <x:v>0.88</x:v>
      </x:c>
      <x:c r="J39" s="12" t="str">
        <x:v>Gelir beklentilerinin aşağı yönlü sorgulanması olumsuz.</x:v>
      </x:c>
      <x:c r="K39" s="12" t="str">
        <x:f>IF(F39=H39,"same","different")</x:f>
        <x:v>same</x:v>
      </x:c>
      <x:c r="L39" s="12" t="str">
        <x:f>IF(K39="same","FinBERT ile uyumlu","FinBERT farklı; manuel kontrol önerilir")</x:f>
        <x:v>FinBERT ile uyumlu</x:v>
      </x:c>
    </x:row>
    <x:row r="40" ht="32" customHeight="1">
      <x:c r="A40" s="12" t="str">
        <x:v>REUTERS_ANN_01289</x:v>
      </x:c>
      <x:c r="B40" s="14" t="n">
        <x:v>39053</x:v>
      </x:c>
      <x:c r="C40" s="12" t="str">
        <x:v>fed sees inflation risk even as growth slows</x:v>
      </x:c>
      <x:c r="D40" s="12" t="str">
        <x:v>Fed, büyüme yavaşlasa da enflasyon riski görüyor</x:v>
      </x:c>
      <x:c r="E40" s="12" t="n">
        <x:v>-1</x:v>
      </x:c>
      <x:c r="F40" s="12" t="str">
        <x:v>negative</x:v>
      </x:c>
      <x:c r="G40" s="16" t="n">
        <x:v>0.915781319141388</x:v>
      </x:c>
      <x:c r="H40" s="12" t="str">
        <x:v>negative</x:v>
      </x:c>
      <x:c r="I40" s="18" t="n">
        <x:v>0.91</x:v>
      </x:c>
      <x:c r="J40" s="12" t="str">
        <x:v>Yavaş büyüme ve enflasyon riski makro açıdan olumsuz kombinasyon.</x:v>
      </x:c>
      <x:c r="K40" s="12" t="str">
        <x:f>IF(F40=H40,"same","different")</x:f>
        <x:v>same</x:v>
      </x:c>
      <x:c r="L40" s="12" t="str">
        <x:f>IF(K40="same","FinBERT ile uyumlu","FinBERT farklı; manuel kontrol önerilir")</x:f>
        <x:v>FinBERT ile uyumlu</x:v>
      </x:c>
    </x:row>
    <x:row r="41" ht="32" customHeight="1">
      <x:c r="A41" s="12" t="str">
        <x:v>REUTERS_ANN_01290</x:v>
      </x:c>
      <x:c r="B41" s="14" t="n">
        <x:v>39115</x:v>
      </x:c>
      <x:c r="C41" s="12" t="str">
        <x:v>ba ceo eyeing major plane order</x:v>
      </x:c>
      <x:c r="D41" s="12" t="str">
        <x:v>British Airways CEO'su büyük uçak siparişini değerlendiriyor</x:v>
      </x:c>
      <x:c r="E41" s="12" t="n">
        <x:v>0</x:v>
      </x:c>
      <x:c r="F41" s="12" t="str">
        <x:v>neutral</x:v>
      </x:c>
      <x:c r="G41" s="16" t="n">
        <x:v>0.6092745065689087</x:v>
      </x:c>
      <x:c r="H41" s="12" t="str">
        <x:v>positive</x:v>
      </x:c>
      <x:c r="I41" s="18" t="n">
        <x:v>0.75</x:v>
      </x:c>
      <x:c r="J41" s="12" t="str">
        <x:v>Büyük sipariş olasılığı büyüme/kapasite planı işaret ediyor.</x:v>
      </x:c>
      <x:c r="K41" s="12" t="str">
        <x:f>IF(F41=H41,"same","different")</x:f>
        <x:v>different</x:v>
      </x:c>
      <x:c r="L41" s="12" t="str">
        <x:f>IF(K41="same","FinBERT ile uyumlu","FinBERT farklı; manuel kontrol önerilir")</x:f>
        <x:v>FinBERT farklı; manuel kontrol önerilir</x:v>
      </x:c>
    </x:row>
    <x:row r="42" ht="32" customHeight="1">
      <x:c r="A42" s="12" t="str">
        <x:v>REUTERS_ANN_01291</x:v>
      </x:c>
      <x:c r="B42" s="14" t="n">
        <x:v>39057</x:v>
      </x:c>
      <x:c r="C42" s="12" t="str">
        <x:v>oil cost wont rise to $70/bbl anytime soon eia</x:v>
      </x:c>
      <x:c r="D42" s="12" t="str">
        <x:v>EIA'ya göre petrol maliyeti yakın zamanda varil başına 70 dolara çıkmayacak</x:v>
      </x:c>
      <x:c r="E42" s="12" t="n">
        <x:v>1</x:v>
      </x:c>
      <x:c r="F42" s="12" t="str">
        <x:v>positive</x:v>
      </x:c>
      <x:c r="G42" s="16" t="n">
        <x:v>0.8154169917106628</x:v>
      </x:c>
      <x:c r="H42" s="12" t="str">
        <x:v>neutral</x:v>
      </x:c>
      <x:c r="I42" s="18" t="n">
        <x:v>0.68</x:v>
      </x:c>
      <x:c r="J42" s="12" t="str">
        <x:v>Petrol fiyat beklentisi sektörlere göre farklı etki yaratır; genel yön net değil.</x:v>
      </x:c>
      <x:c r="K42" s="12" t="str">
        <x:f>IF(F42=H42,"same","different")</x:f>
        <x:v>different</x:v>
      </x:c>
      <x:c r="L42" s="12" t="str">
        <x:f>IF(K42="same","FinBERT ile uyumlu","FinBERT farklı; manuel kontrol önerilir")</x:f>
        <x:v>FinBERT farklı; manuel kontrol önerilir</x:v>
      </x:c>
    </x:row>
    <x:row r="43" ht="32" customHeight="1">
      <x:c r="A43" s="12" t="str">
        <x:v>REUTERS_ANN_01292</x:v>
      </x:c>
      <x:c r="B43" s="14" t="n">
        <x:v>39167</x:v>
      </x:c>
      <x:c r="C43" s="12" t="str">
        <x:v>ex-reagan budget director charged with fraud</x:v>
      </x:c>
      <x:c r="D43" s="12" t="str">
        <x:v>Eski Reagan bütçe direktörü dolandırıcılıkla suçlandı</x:v>
      </x:c>
      <x:c r="E43" s="12" t="n">
        <x:v>-1</x:v>
      </x:c>
      <x:c r="F43" s="12" t="str">
        <x:v>negative</x:v>
      </x:c>
      <x:c r="G43" s="16" t="n">
        <x:v>0.6376646757125854</x:v>
      </x:c>
      <x:c r="H43" s="12" t="str">
        <x:v>negative</x:v>
      </x:c>
      <x:c r="I43" s="18" t="n">
        <x:v>0.94</x:v>
      </x:c>
      <x:c r="J43" s="12" t="str">
        <x:v>Dolandırıcılık suçlaması açık hukuki/itibar riski.</x:v>
      </x:c>
      <x:c r="K43" s="12" t="str">
        <x:f>IF(F43=H43,"same","different")</x:f>
        <x:v>same</x:v>
      </x:c>
      <x:c r="L43" s="12" t="str">
        <x:f>IF(K43="same","FinBERT ile uyumlu","FinBERT farklı; manuel kontrol önerilir")</x:f>
        <x:v>FinBERT ile uyumlu</x:v>
      </x:c>
    </x:row>
    <x:row r="44" ht="32" customHeight="1">
      <x:c r="A44" s="12" t="str">
        <x:v>REUTERS_ANN_01293</x:v>
      </x:c>
      <x:c r="B44" s="14" t="n">
        <x:v>39120</x:v>
      </x:c>
      <x:c r="C44" s="12" t="str">
        <x:v>bmw says group unit sales rise 0.5 pct in january</x:v>
      </x:c>
      <x:c r="D44" s="12" t="str">
        <x:v>BMW, grup birim satışlarının ocakta yüzde 0,5 arttığını söyledi</x:v>
      </x:c>
      <x:c r="E44" s="12" t="n">
        <x:v>1</x:v>
      </x:c>
      <x:c r="F44" s="12" t="str">
        <x:v>positive</x:v>
      </x:c>
      <x:c r="G44" s="16" t="n">
        <x:v>0.9505958557128906</x:v>
      </x:c>
      <x:c r="H44" s="12" t="str">
        <x:v>positive</x:v>
      </x:c>
      <x:c r="I44" s="18" t="n">
        <x:v>0.88</x:v>
      </x:c>
      <x:c r="J44" s="12" t="str">
        <x:v>Satış artışı olumlu, ancak artış sınırlı.</x:v>
      </x:c>
      <x:c r="K44" s="12" t="str">
        <x:f>IF(F44=H44,"same","different")</x:f>
        <x:v>same</x:v>
      </x:c>
      <x:c r="L44" s="12" t="str">
        <x:f>IF(K44="same","FinBERT ile uyumlu","FinBERT farklı; manuel kontrol önerilir")</x:f>
        <x:v>FinBERT ile uyumlu</x:v>
      </x:c>
    </x:row>
    <x:row r="45" ht="32" customHeight="1">
      <x:c r="A45" s="12" t="str">
        <x:v>REUTERS_ANN_01294</x:v>
      </x:c>
      <x:c r="B45" s="14" t="n">
        <x:v>39113</x:v>
      </x:c>
      <x:c r="C45" s="12" t="str">
        <x:v>tata steel pays $12 billon for corus</x:v>
      </x:c>
      <x:c r="D45" s="12" t="str">
        <x:v>Tata Steel, Corus için 12 milyar dolar ödüyor</x:v>
      </x:c>
      <x:c r="E45" s="12" t="n">
        <x:v>1</x:v>
      </x:c>
      <x:c r="F45" s="12" t="str">
        <x:v>positive</x:v>
      </x:c>
      <x:c r="G45" s="16" t="n">
        <x:v>0.9130384922027588</x:v>
      </x:c>
      <x:c r="H45" s="12" t="str">
        <x:v>neutral</x:v>
      </x:c>
      <x:c r="I45" s="18" t="n">
        <x:v>0.78</x:v>
      </x:c>
      <x:c r="J45" s="12" t="str">
        <x:v>Satın alma tamamlanması; başlıktan finansal fayda/zarar net değil.</x:v>
      </x:c>
      <x:c r="K45" s="12" t="str">
        <x:f>IF(F45=H45,"same","different")</x:f>
        <x:v>different</x:v>
      </x:c>
      <x:c r="L45" s="12" t="str">
        <x:f>IF(K45="same","FinBERT ile uyumlu","FinBERT farklı; manuel kontrol önerilir")</x:f>
        <x:v>FinBERT farklı; manuel kontrol önerilir</x:v>
      </x:c>
    </x:row>
    <x:row r="46" ht="32" customHeight="1">
      <x:c r="A46" s="12" t="str">
        <x:v>REUTERS_ANN_01295</x:v>
      </x:c>
      <x:c r="B46" s="14" t="n">
        <x:v>39082</x:v>
      </x:c>
      <x:c r="C46" s="12" t="str">
        <x:v>lse beats record for ipo fund raising</x:v>
      </x:c>
      <x:c r="D46" s="12" t="str">
        <x:v>Londra Borsası halka arz fon toplamada rekor kırdı</x:v>
      </x:c>
      <x:c r="E46" s="12" t="n">
        <x:v>1</x:v>
      </x:c>
      <x:c r="F46" s="12" t="str">
        <x:v>positive</x:v>
      </x:c>
      <x:c r="G46" s="16" t="n">
        <x:v>0.7697353959083557</x:v>
      </x:c>
      <x:c r="H46" s="12" t="str">
        <x:v>positive</x:v>
      </x:c>
      <x:c r="I46" s="18" t="n">
        <x:v>0.93</x:v>
      </x:c>
      <x:c r="J46" s="12" t="str">
        <x:v>Rekor fon toplama piyasa faaliyeti açısından olumlu.</x:v>
      </x:c>
      <x:c r="K46" s="12" t="str">
        <x:f>IF(F46=H46,"same","different")</x:f>
        <x:v>same</x:v>
      </x:c>
      <x:c r="L46" s="12" t="str">
        <x:f>IF(K46="same","FinBERT ile uyumlu","FinBERT farklı; manuel kontrol önerilir")</x:f>
        <x:v>FinBERT ile uyumlu</x:v>
      </x:c>
    </x:row>
    <x:row r="47" ht="32" customHeight="1">
      <x:c r="A47" s="12" t="str">
        <x:v>REUTERS_ANN_01296</x:v>
      </x:c>
      <x:c r="B47" s="14" t="n">
        <x:v>39016</x:v>
      </x:c>
      <x:c r="C47" s="12" t="str">
        <x:v>dow chemical earnings rise on strong sales</x:v>
      </x:c>
      <x:c r="D47" s="12" t="str">
        <x:v>Dow Chemical güçlü satışlarla kârını artırdı</x:v>
      </x:c>
      <x:c r="E47" s="12" t="n">
        <x:v>1</x:v>
      </x:c>
      <x:c r="F47" s="12" t="str">
        <x:v>positive</x:v>
      </x:c>
      <x:c r="G47" s="16" t="n">
        <x:v>0.927010416984558</x:v>
      </x:c>
      <x:c r="H47" s="12" t="str">
        <x:v>positive</x:v>
      </x:c>
      <x:c r="I47" s="18" t="n">
        <x:v>0.95</x:v>
      </x:c>
      <x:c r="J47" s="12" t="str">
        <x:v>Kâr artışı ve güçlü satışlar açık olumlu.</x:v>
      </x:c>
      <x:c r="K47" s="12" t="str">
        <x:f>IF(F47=H47,"same","different")</x:f>
        <x:v>same</x:v>
      </x:c>
      <x:c r="L47" s="12" t="str">
        <x:f>IF(K47="same","FinBERT ile uyumlu","FinBERT farklı; manuel kontrol önerilir")</x:f>
        <x:v>FinBERT ile uyumlu</x:v>
      </x:c>
    </x:row>
    <x:row r="48" ht="32" customHeight="1">
      <x:c r="A48" s="12" t="str">
        <x:v>REUTERS_ANN_01297</x:v>
      </x:c>
      <x:c r="B48" s="14" t="n">
        <x:v>39118</x:v>
      </x:c>
      <x:c r="C48" s="12" t="str">
        <x:v>hyundai motor chairman sentenced to 3 yrs in jail</x:v>
      </x:c>
      <x:c r="D48" s="12" t="str">
        <x:v>Hyundai Motor başkanı 3 yıl hapse mahkûm edildi</x:v>
      </x:c>
      <x:c r="E48" s="12" t="n">
        <x:v>-1</x:v>
      </x:c>
      <x:c r="F48" s="12" t="str">
        <x:v>negative</x:v>
      </x:c>
      <x:c r="G48" s="16" t="n">
        <x:v>0.89865642786026</x:v>
      </x:c>
      <x:c r="H48" s="12" t="str">
        <x:v>negative</x:v>
      </x:c>
      <x:c r="I48" s="18" t="n">
        <x:v>0.94</x:v>
      </x:c>
      <x:c r="J48" s="12" t="str">
        <x:v>Üst yönetim hapis cezası ciddi yönetişim/itibar riski.</x:v>
      </x:c>
      <x:c r="K48" s="12" t="str">
        <x:f>IF(F48=H48,"same","different")</x:f>
        <x:v>same</x:v>
      </x:c>
      <x:c r="L48" s="12" t="str">
        <x:f>IF(K48="same","FinBERT ile uyumlu","FinBERT farklı; manuel kontrol önerilir")</x:f>
        <x:v>FinBERT ile uyumlu</x:v>
      </x:c>
    </x:row>
    <x:row r="49" ht="32" customHeight="1">
      <x:c r="A49" s="12" t="str">
        <x:v>REUTERS_ANN_01298</x:v>
      </x:c>
      <x:c r="B49" s="14" t="n">
        <x:v>39178</x:v>
      </x:c>
      <x:c r="C49" s="12" t="str">
        <x:v>sainsbury family reportedly rejects bid</x:v>
      </x:c>
      <x:c r="D49" s="12" t="str">
        <x:v>Sainsbury ailesinin teklifi reddettiği bildirildi</x:v>
      </x:c>
      <x:c r="E49" s="12" t="n">
        <x:v>0</x:v>
      </x:c>
      <x:c r="F49" s="12" t="str">
        <x:v>neutral</x:v>
      </x:c>
      <x:c r="G49" s="16" t="n">
        <x:v>0.674718976020813</x:v>
      </x:c>
      <x:c r="H49" s="12" t="str">
        <x:v>negative</x:v>
      </x:c>
      <x:c r="I49" s="18" t="n">
        <x:v>0.7</x:v>
      </x:c>
      <x:c r="J49" s="12" t="str">
        <x:v>Teklifin reddi anlaşma beklentisini zayıflatabilir.</x:v>
      </x:c>
      <x:c r="K49" s="12" t="str">
        <x:f>IF(F49=H49,"same","different")</x:f>
        <x:v>different</x:v>
      </x:c>
      <x:c r="L49" s="12" t="str">
        <x:f>IF(K49="same","FinBERT ile uyumlu","FinBERT farklı; manuel kontrol önerilir")</x:f>
        <x:v>FinBERT farklı; manuel kontrol önerilir</x:v>
      </x:c>
    </x:row>
    <x:row r="50" ht="32" customHeight="1">
      <x:c r="A50" s="12" t="str">
        <x:v>REUTERS_ANN_01299</x:v>
      </x:c>
      <x:c r="B50" s="14" t="n">
        <x:v>39070</x:v>
      </x:c>
      <x:c r="C50" s="12" t="str">
        <x:v>harrahs accepts $17.1 billion private equity bid</x:v>
      </x:c>
      <x:c r="D50" s="12" t="str">
        <x:v>Harrah's 17,1 milyar dolarlık özel sermaye teklifini kabul etti</x:v>
      </x:c>
      <x:c r="E50" s="12" t="n">
        <x:v>0</x:v>
      </x:c>
      <x:c r="F50" s="12" t="str">
        <x:v>neutral</x:v>
      </x:c>
      <x:c r="G50" s="16" t="n">
        <x:v>0.7792039513587952</x:v>
      </x:c>
      <x:c r="H50" s="12" t="str">
        <x:v>positive</x:v>
      </x:c>
      <x:c r="I50" s="18" t="n">
        <x:v>0.85</x:v>
      </x:c>
      <x:c r="J50" s="12" t="str">
        <x:v>Kabul edilen büyük satın alma teklifi hissedar değeri açısından olumlu algılanabilir.</x:v>
      </x:c>
      <x:c r="K50" s="12" t="str">
        <x:f>IF(F50=H50,"same","different")</x:f>
        <x:v>different</x:v>
      </x:c>
      <x:c r="L50" s="12" t="str">
        <x:f>IF(K50="same","FinBERT ile uyumlu","FinBERT farklı; manuel kontrol önerilir")</x:f>
        <x:v>FinBERT farklı; manuel kontrol önerilir</x:v>
      </x:c>
    </x:row>
    <x:row r="51" ht="32" customHeight="1">
      <x:c r="A51" s="12" t="str">
        <x:v>REUTERS_ANN_01300</x:v>
      </x:c>
      <x:c r="B51" s="14" t="n">
        <x:v>39101</x:v>
      </x:c>
      <x:c r="C51" s="12" t="str">
        <x:v>morgan stanley unit, ashford to buy cnl hotels</x:v>
      </x:c>
      <x:c r="D51" s="12" t="str">
        <x:v>Morgan Stanley birimi ve Ashford, CNL Hotels'i satın alacak</x:v>
      </x:c>
      <x:c r="E51" s="12" t="n">
        <x:v>0</x:v>
      </x:c>
      <x:c r="F51" s="12" t="str">
        <x:v>neutral</x:v>
      </x:c>
      <x:c r="G51" s="16" t="n">
        <x:v>0.9425087571144104</x:v>
      </x:c>
      <x:c r="H51" s="12" t="str">
        <x:v>neutral</x:v>
      </x:c>
      <x:c r="I51" s="18" t="n">
        <x:v>0.78</x:v>
      </x:c>
      <x:c r="J51" s="12" t="str">
        <x:v>Satın alma haberi; etki yönü başlıktan net değil.</x:v>
      </x:c>
      <x:c r="K51" s="12" t="str">
        <x:f>IF(F51=H51,"same","different")</x:f>
        <x:v>same</x:v>
      </x:c>
      <x:c r="L51" s="12" t="str">
        <x:f>IF(K51="same","FinBERT ile uyumlu","FinBERT farklı; manuel kontrol önerilir")</x:f>
        <x:v>FinBERT ile uyumlu</x:v>
      </x:c>
    </x:row>
  </x:sheetData>
  <x:conditionalFormatting sqref="K2:K51">
    <x:cfRule type="expression" dxfId="0" priority="1">
      <x:formula>K2="different"</x:formula>
    </x:cfRule>
  </x:conditionalFormatting>
  <x:conditionalFormatting sqref="H2:H51">
    <x:cfRule type="expression" dxfId="1" priority="2">
      <x:formula>H2="positive"</x:formula>
    </x:cfRule>
    <x:cfRule type="expression" dxfId="2" priority="3">
      <x:formula>H2="negative"</x:formula>
    </x:cfRule>
    <x:cfRule type="expression" dxfId="3" priority="4">
      <x:formula>H2="neutral"</x:formula>
    </x:cfRule>
  </x:conditionalFormatting>
  <x:dataValidations count="1">
    <x:dataValidation type="list" sqref="H2:H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4bf3dcac6d41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</x:cols>
  <x:sheetData>
    <x:row r="1">
      <x:c r="A1" s="4" t="str">
        <x:v>REUTERS Annotation Batch</x:v>
      </x:c>
      <x:c r="B1" s="4" t="str">
        <x:v>026</x:v>
      </x:c>
    </x:row>
    <x:row r="2">
      <x:c r="A2" s="12" t="str">
        <x:v>Rows</x:v>
      </x:c>
      <x:c r="B2" s="12" t="str">
        <x:v>1250 - 1299</x:v>
      </x:c>
    </x:row>
    <x:row r="3">
      <x:c r="A3" s="12" t="str">
        <x:v>Record count</x:v>
      </x:c>
      <x:c r="B3" s="12" t="n">
        <x:f>COUNTA(annotations!A2:A51)</x:f>
        <x:v>50</x:v>
      </x:c>
    </x:row>
    <x:row r="4">
      <x:c r="A4" s="12" t="str">
        <x:v>Source file</x:v>
      </x:c>
      <x:c r="B4" s="12" t="str">
        <x:v>Pasted text(63).txt</x:v>
      </x:c>
    </x:row>
    <x:row r="5">
      <x:c r="A5" s="12" t="str">
        <x:v>Output file</x:v>
      </x:c>
      <x:c r="B5" s="12" t="str">
        <x:v>REUTERS_annotation_batch_026.xlsx</x:v>
      </x:c>
    </x:row>
    <x:row r="6">
      <x:c r="A6" s="12" t="str"/>
      <x:c r="B6" s="12" t="str"/>
    </x:row>
    <x:row r="7">
      <x:c r="A7" s="24" t="str">
        <x:v>Metric</x:v>
      </x:c>
      <x:c r="B7" s="24" t="str">
        <x:v>Value</x:v>
      </x:c>
    </x:row>
    <x:row r="8">
      <x:c r="A8" s="12" t="str">
        <x:v>ChatGPT positive</x:v>
      </x:c>
      <x:c r="B8" s="12" t="n">
        <x:f>COUNTIF(annotations!H2:H51,"positive")</x:f>
        <x:v>18</x:v>
      </x:c>
    </x:row>
    <x:row r="9">
      <x:c r="A9" s="12" t="str">
        <x:v>ChatGPT neutral</x:v>
      </x:c>
      <x:c r="B9" s="12" t="n">
        <x:f>COUNTIF(annotations!H2:H51,"neutral")</x:f>
        <x:v>18</x:v>
      </x:c>
    </x:row>
    <x:row r="10">
      <x:c r="A10" s="12" t="str">
        <x:v>ChatGPT negative</x:v>
      </x:c>
      <x:c r="B10" s="12" t="n">
        <x:f>COUNTIF(annotations!H2:H51,"negative")</x:f>
        <x:v>14</x:v>
      </x:c>
    </x:row>
    <x:row r="11">
      <x:c r="A11" s="12" t="str">
        <x:v>FinBERT same</x:v>
      </x:c>
      <x:c r="B11" s="12" t="n">
        <x:f>COUNTIF(annotations!K2:K51,"same")</x:f>
        <x:v>35</x:v>
      </x:c>
    </x:row>
    <x:row r="12">
      <x:c r="A12" s="12" t="str">
        <x:v>FinBERT different / review</x:v>
      </x:c>
      <x:c r="B12" s="12" t="n">
        <x:f>COUNTIF(annotations!K2:K51,"different")</x:f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Field</x:v>
      </x:c>
      <x:c r="B1" s="4" t="str">
        <x:v>Description</x:v>
      </x:c>
    </x:row>
    <x:row r="2">
      <x:c r="A2" s="12" t="str">
        <x:v>chatgpt_label</x:v>
      </x:c>
      <x:c r="B2" s="12" t="str">
        <x:v>Başlığın yatırım/piyasa açısından baskın duygu sinyaline göre positive / neutral / negative etiketi.</x:v>
      </x:c>
    </x:row>
    <x:row r="3">
      <x:c r="A3" s="12" t="str">
        <x:v>chatgpt_confidence</x:v>
      </x:c>
      <x:c r="B3" s="12" t="str">
        <x:v>0-1 arası öznel güven skoru. Belirsiz, iki yönlü veya yalnızca süreç bildiren haberlerde daha düşük tutuldu.</x:v>
      </x:c>
    </x:row>
    <x:row r="4">
      <x:c r="A4" s="12" t="str">
        <x:v>chatgpt_reason_tr</x:v>
      </x:c>
      <x:c r="B4" s="12" t="str">
        <x:v>Türkçe kısa gerekçe; etikete neden o yönde karar verildiğini açıklar.</x:v>
      </x:c>
    </x:row>
    <x:row r="5">
      <x:c r="A5" s="12" t="str">
        <x:v>finbert_correctness</x:v>
      </x:c>
      <x:c r="B5" s="12" t="str">
        <x:v>FinBERT etiketi ile ChatGPT nihai etiketi aynıysa same, farklıysa different formülüyle hesaplanır.</x:v>
      </x:c>
    </x:row>
    <x:row r="6">
      <x:c r="A6" s="12" t="str">
        <x:v>source</x:v>
      </x:c>
      <x:c r="B6" s="12" t="str">
        <x:v>Bu dosya kullanıcı tarafından sağlanan REUTERS ANNOTATION BATCH 026 metninden oluşturuldu.</x:v>
      </x:c>
    </x:row>
  </x:sheetData>
  <x:pageMargins left="0.7" right="0.7" top="0.75" bottom="0.75" header="0.3" footer="0.3"/>
</x:worksheet>
</file>