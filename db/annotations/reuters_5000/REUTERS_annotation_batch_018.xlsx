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492907477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9bb44df495da43cf"/>
    <x:sheet xmlns:r="http://schemas.openxmlformats.org/officeDocument/2006/relationships" name="summary" sheetId="2" r:id="Rafd7d37d5b8241b8"/>
    <x:sheet xmlns:r="http://schemas.openxmlformats.org/officeDocument/2006/relationships" name="labeling_notes" sheetId="3" r:id="R199236392d084e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.00"/>
  </x:numFmts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1F4E78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</x:cellXfs>
  <x:cellStyles count="1">
    <x:cellStyle name="Normal" xfId="0"/>
  </x:cellStyles>
  <x:dxfs count="4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3F4F6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4412ab6b844101" /><Relationship Type="http://schemas.openxmlformats.org/officeDocument/2006/relationships/theme" Target="/xl/theme/theme1.xml" Id="Rad2906a53f07424e" /><Relationship Type="http://schemas.openxmlformats.org/officeDocument/2006/relationships/sharedStrings" Target="/xl/sharedStrings.xml" Id="R21f510213f50466b" /><Relationship Type="http://schemas.openxmlformats.org/officeDocument/2006/relationships/worksheet" Target="/xl/worksheets/sheet1.xml" Id="R9bb44df495da43cf" /><Relationship Type="http://schemas.openxmlformats.org/officeDocument/2006/relationships/worksheet" Target="/xl/worksheets/sheet2.xml" Id="Rafd7d37d5b8241b8" /><Relationship Type="http://schemas.openxmlformats.org/officeDocument/2006/relationships/worksheet" Target="/xl/worksheets/sheet3.xml" Id="R199236392d084e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4109b45fc1443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ChatGPT Label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'summary'!$D$4:$D$6</c:f>
              <c:strCache>
                <c:ptCount val="0"/>
              </c:strCache>
            </c:strRef>
          </c:cat>
          <c:val>
            <c:numRef>
              <c:f>'summary'!$E$4:$E$6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4109b45fc1443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utersBatch018Table" displayName="ReutersBatch018Table" ref="A4:M54" headerRowCount="1">
  <x:tableColumns count="13">
    <x:tableColumn id="1" name="annotation_id"/>
    <x:tableColumn id="2" name="date"/>
    <x:tableColumn id="3" name="finbert_score"/>
    <x:tableColumn id="4" name="finbert_label"/>
    <x:tableColumn id="5" name="finbert_confidence"/>
    <x:tableColumn id="6" name="text"/>
    <x:tableColumn id="7" name="text_tr"/>
    <x:tableColumn id="8" name="chatgpt_label"/>
    <x:tableColumn id="9" name="chatgpt_score"/>
    <x:tableColumn id="10" name="chatgpt_confidence"/>
    <x:tableColumn id="11" name="chatgpt_reason_tr"/>
    <x:tableColumn id="12" name="finbert_match"/>
    <x:tableColumn id="13" name="revie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4a6ff200df43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5dd393e0c08497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3" hidden="0" customWidth="1"/>
    <x:col min="5" max="5" width="15" hidden="0" customWidth="1"/>
    <x:col min="6" max="6" width="36" hidden="0" customWidth="1"/>
    <x:col min="7" max="7" width="40" hidden="0" customWidth="1"/>
    <x:col min="8" max="8" width="14" hidden="0" customWidth="1"/>
    <x:col min="9" max="9" width="13" hidden="0" customWidth="1"/>
    <x:col min="10" max="10" width="16" hidden="0" customWidth="1"/>
    <x:col min="11" max="11" width="42" hidden="0" customWidth="1"/>
    <x:col min="12" max="12" width="14" hidden="0" customWidth="1"/>
    <x:col min="13" max="13" width="12" hidden="0" customWidth="1"/>
  </x:cols>
  <x:sheetData>
    <x:row r="1" ht="24" customHeight="1">
      <x:c r="A1" s="5" t="str">
        <x:v>REUTERS ANNOTATION BATCH 018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</x:row>
    <x:row r="2" ht="24" customHeight="1">
      <x:c r="A2" s="12" t="str">
        <x:v>Rows 850 - 899 | Filled Turkish translations and ChatGPT labels</x:v>
      </x:c>
      <x:c r="B2" s="12" t="str"/>
      <x:c r="C2" s="12" t="str"/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  <x:c r="M2" s="12" t="str"/>
    </x:row>
    <x:row r="4" ht="32" customHeight="1">
      <x:c r="A4" s="20" t="str">
        <x:v>annotation_id</x:v>
      </x:c>
      <x:c r="B4" s="20" t="str">
        <x:v>date</x:v>
      </x:c>
      <x:c r="C4" s="20" t="str">
        <x:v>finbert_score</x:v>
      </x:c>
      <x:c r="D4" s="20" t="str">
        <x:v>finbert_label</x:v>
      </x:c>
      <x:c r="E4" s="20" t="str">
        <x:v>finbert_confidence</x:v>
      </x:c>
      <x:c r="F4" s="20" t="str">
        <x:v>text</x:v>
      </x:c>
      <x:c r="G4" s="20" t="str">
        <x:v>text_tr</x:v>
      </x:c>
      <x:c r="H4" s="20" t="str">
        <x:v>chatgpt_label</x:v>
      </x:c>
      <x:c r="I4" s="20" t="str">
        <x:v>chatgpt_score</x:v>
      </x:c>
      <x:c r="J4" s="20" t="str">
        <x:v>chatgpt_confidence</x:v>
      </x:c>
      <x:c r="K4" s="20" t="str">
        <x:v>chatgpt_reason_tr</x:v>
      </x:c>
      <x:c r="L4" s="20" t="str">
        <x:v>finbert_match</x:v>
      </x:c>
      <x:c r="M4" s="20" t="str">
        <x:v>review_note</x:v>
      </x:c>
    </x:row>
    <x:row r="5" ht="48" customHeight="1">
      <x:c r="A5" s="26" t="str">
        <x:v>REUTERS_ANN_00851</x:v>
      </x:c>
      <x:c r="B5" s="28" t="n">
        <x:v>39094</x:v>
      </x:c>
      <x:c r="C5" s="26" t="n">
        <x:v>0</x:v>
      </x:c>
      <x:c r="D5" s="26" t="str">
        <x:v>neutral</x:v>
      </x:c>
      <x:c r="E5" s="30" t="n">
        <x:v>0.8214191794395447</x:v>
      </x:c>
      <x:c r="F5" s="26" t="str">
        <x:v>att to phase out cingular, reclaim wireless brand</x:v>
      </x:c>
      <x:c r="G5" s="26" t="str">
        <x:v>AT&amp;T, Cingular markasını aşamalı olarak kaldırıp kablosuz markasını yeniden kendi adına döndürecek.</x:v>
      </x:c>
      <x:c r="H5" s="26" t="str">
        <x:v>neutral</x:v>
      </x:c>
      <x:c r="I5" s="26" t="n">
        <x:v>0</x:v>
      </x:c>
      <x:c r="J5" s="32" t="n">
        <x:v>0.88</x:v>
      </x:c>
      <x:c r="K5" s="26" t="str">
        <x:v>Marka değişimi/reorganizasyon haberi; doğrudan kâr, zarar veya piyasa yönü sinyali sınırlı.</x:v>
      </x:c>
      <x:c r="L5" s="26" t="str">
        <x:f>IF(D5=H5,"same","different")</x:f>
        <x:v>same</x:v>
      </x:c>
      <x:c r="M5" s="26" t="str">
        <x:f>IF(L5="different","review","")</x:f>
      </x:c>
    </x:row>
    <x:row r="6" ht="48" customHeight="1">
      <x:c r="A6" s="26" t="str">
        <x:v>REUTERS_ANN_00852</x:v>
      </x:c>
      <x:c r="B6" s="28" t="n">
        <x:v>39178</x:v>
      </x:c>
      <x:c r="C6" s="26" t="n">
        <x:v>-1</x:v>
      </x:c>
      <x:c r="D6" s="26" t="str">
        <x:v>negative</x:v>
      </x:c>
      <x:c r="E6" s="30" t="n">
        <x:v>0.9734094738960266</x:v>
      </x:c>
      <x:c r="F6" s="26" t="str">
        <x:v>avocent sees revenue missing forecasts</x:v>
      </x:c>
      <x:c r="G6" s="26" t="str">
        <x:v>Avocent, gelirlerinin tahminlerin altında kalacağını öngörüyor.</x:v>
      </x:c>
      <x:c r="H6" s="26" t="str">
        <x:v>negative</x:v>
      </x:c>
      <x:c r="I6" s="26" t="n">
        <x:v>-1</x:v>
      </x:c>
      <x:c r="J6" s="32" t="n">
        <x:v>0.96</x:v>
      </x:c>
      <x:c r="K6" s="26" t="str">
        <x:v>Gelirin beklentileri kaçırması şirket açısından açık olumsuz finansal sinyal.</x:v>
      </x:c>
      <x:c r="L6" s="26" t="str">
        <x:f>IF(D6=H6,"same","different")</x:f>
        <x:v>same</x:v>
      </x:c>
      <x:c r="M6" s="26" t="str">
        <x:f>IF(L6="different","review","")</x:f>
      </x:c>
    </x:row>
    <x:row r="7" ht="48" customHeight="1">
      <x:c r="A7" s="26" t="str">
        <x:v>REUTERS_ANN_00853</x:v>
      </x:c>
      <x:c r="B7" s="28" t="n">
        <x:v>39037</x:v>
      </x:c>
      <x:c r="C7" s="26" t="n">
        <x:v>-1</x:v>
      </x:c>
      <x:c r="D7" s="26" t="str">
        <x:v>negative</x:v>
      </x:c>
      <x:c r="E7" s="30" t="n">
        <x:v>0.9030457735061646</x:v>
      </x:c>
      <x:c r="F7" s="26" t="str">
        <x:v>sears profit jumps big investment gains</x:v>
      </x:c>
      <x:c r="G7" s="26" t="str">
        <x:v>Sears’ın kârı büyük yatırım kazançlarının etkisiyle sıçradı.</x:v>
      </x:c>
      <x:c r="H7" s="26" t="str">
        <x:v>positive</x:v>
      </x:c>
      <x:c r="I7" s="26" t="n">
        <x:v>1</x:v>
      </x:c>
      <x:c r="J7" s="32" t="n">
        <x:v>0.91</x:v>
      </x:c>
      <x:c r="K7" s="26" t="str">
        <x:v>Kâr artışı güçlü olumlu sinyal; kazançların yatırım gelirinden gelmesi kaliteyi sınırlasa da başlık olumlu.</x:v>
      </x:c>
      <x:c r="L7" s="26" t="str">
        <x:f>IF(D7=H7,"same","different")</x:f>
        <x:v>different</x:v>
      </x:c>
      <x:c r="M7" s="26" t="str">
        <x:f>IF(L7="different","review","")</x:f>
        <x:v>review</x:v>
      </x:c>
    </x:row>
    <x:row r="8" ht="48" customHeight="1">
      <x:c r="A8" s="26" t="str">
        <x:v>REUTERS_ANN_00854</x:v>
      </x:c>
      <x:c r="B8" s="28" t="n">
        <x:v>39028</x:v>
      </x:c>
      <x:c r="C8" s="26" t="n">
        <x:v>1</x:v>
      </x:c>
      <x:c r="D8" s="26" t="str">
        <x:v>positive</x:v>
      </x:c>
      <x:c r="E8" s="30" t="n">
        <x:v>0.7084950804710388</x:v>
      </x:c>
      <x:c r="F8" s="26" t="str">
        <x:v>toyota, isuzu announce tie-up, focus on emissions</x:v>
      </x:c>
      <x:c r="G8" s="26" t="str">
        <x:v>Toyota ve Isuzu emisyonlara odaklanan bir iş birliği açıkladı.</x:v>
      </x:c>
      <x:c r="H8" s="26" t="str">
        <x:v>positive</x:v>
      </x:c>
      <x:c r="I8" s="26" t="n">
        <x:v>1</x:v>
      </x:c>
      <x:c r="J8" s="32" t="n">
        <x:v>0.78</x:v>
      </x:c>
      <x:c r="K8" s="26" t="str">
        <x:v>Stratejik ortaklık ve çevreci teknoloji odağı şirketler için olumlu büyüme/uyum sinyali.</x:v>
      </x:c>
      <x:c r="L8" s="26" t="str">
        <x:f>IF(D8=H8,"same","different")</x:f>
        <x:v>same</x:v>
      </x:c>
      <x:c r="M8" s="26" t="str">
        <x:f>IF(L8="different","review","")</x:f>
      </x:c>
    </x:row>
    <x:row r="9" ht="48" customHeight="1">
      <x:c r="A9" s="26" t="str">
        <x:v>REUTERS_ANN_00855</x:v>
      </x:c>
      <x:c r="B9" s="28" t="n">
        <x:v>39021</x:v>
      </x:c>
      <x:c r="C9" s="26" t="n">
        <x:v>0</x:v>
      </x:c>
      <x:c r="D9" s="26" t="str">
        <x:v>neutral</x:v>
      </x:c>
      <x:c r="E9" s="30" t="n">
        <x:v>0.4708848297595978</x:v>
      </x:c>
      <x:c r="F9" s="26" t="str">
        <x:v>microsoft sues counterfeit software dealers</x:v>
      </x:c>
      <x:c r="G9" s="26" t="str">
        <x:v>Microsoft, sahte yazılım satıcılarına dava açtı.</x:v>
      </x:c>
      <x:c r="H9" s="26" t="str">
        <x:v>negative</x:v>
      </x:c>
      <x:c r="I9" s="26" t="n">
        <x:v>-1</x:v>
      </x:c>
      <x:c r="J9" s="32" t="n">
        <x:v>0.74</x:v>
      </x:c>
      <x:c r="K9" s="26" t="str">
        <x:v>Dava ve sahtecilik konusu hukuki/itibar riski taşıdığı için hafif olumsuz.</x:v>
      </x:c>
      <x:c r="L9" s="26" t="str">
        <x:f>IF(D9=H9,"same","different")</x:f>
        <x:v>different</x:v>
      </x:c>
      <x:c r="M9" s="26" t="str">
        <x:f>IF(L9="different","review","")</x:f>
        <x:v>review</x:v>
      </x:c>
    </x:row>
    <x:row r="10" ht="48" customHeight="1">
      <x:c r="A10" s="26" t="str">
        <x:v>REUTERS_ANN_00856</x:v>
      </x:c>
      <x:c r="B10" s="28" t="n">
        <x:v>39056</x:v>
      </x:c>
      <x:c r="C10" s="26" t="n">
        <x:v>-1</x:v>
      </x:c>
      <x:c r="D10" s="26" t="str">
        <x:v>negative</x:v>
      </x:c>
      <x:c r="E10" s="30" t="n">
        <x:v>0.8562368154525757</x:v>
      </x:c>
      <x:c r="F10" s="26" t="str">
        <x:v>usda disputes claim that u.s. chicken unsafe</x:v>
      </x:c>
      <x:c r="G10" s="26" t="str">
        <x:v>USDA, ABD tavuğunun güvensiz olduğu iddiasına itiraz ediyor.</x:v>
      </x:c>
      <x:c r="H10" s="26" t="str">
        <x:v>neutral</x:v>
      </x:c>
      <x:c r="I10" s="26" t="n">
        <x:v>0</x:v>
      </x:c>
      <x:c r="J10" s="32" t="n">
        <x:v>0.7</x:v>
      </x:c>
      <x:c r="K10" s="26" t="str">
        <x:v>Olumsuz iddia reddediliyor; net şirket/piyasa etkisi belirsiz olduğu için nötr.</x:v>
      </x:c>
      <x:c r="L10" s="26" t="str">
        <x:f>IF(D10=H10,"same","different")</x:f>
        <x:v>different</x:v>
      </x:c>
      <x:c r="M10" s="26" t="str">
        <x:f>IF(L10="different","review","")</x:f>
        <x:v>review</x:v>
      </x:c>
    </x:row>
    <x:row r="11" ht="48" customHeight="1">
      <x:c r="A11" s="26" t="str">
        <x:v>REUTERS_ANN_00857</x:v>
      </x:c>
      <x:c r="B11" s="28" t="n">
        <x:v>39052</x:v>
      </x:c>
      <x:c r="C11" s="26" t="n">
        <x:v>-1</x:v>
      </x:c>
      <x:c r="D11" s="26" t="str">
        <x:v>negative</x:v>
      </x:c>
      <x:c r="E11" s="30" t="n">
        <x:v>0.5928094387054443</x:v>
      </x:c>
      <x:c r="F11" s="26" t="str">
        <x:v>financial firms warned of qaeda cyber attack</x:v>
      </x:c>
      <x:c r="G11" s="26" t="str">
        <x:v>Finans şirketleri, El Kaide kaynaklı olası siber saldırı konusunda uyarıldı.</x:v>
      </x:c>
      <x:c r="H11" s="26" t="str">
        <x:v>negative</x:v>
      </x:c>
      <x:c r="I11" s="26" t="n">
        <x:v>-1</x:v>
      </x:c>
      <x:c r="J11" s="32" t="n">
        <x:v>0.92</x:v>
      </x:c>
      <x:c r="K11" s="26" t="str">
        <x:v>Siber saldırı tehdidi finans sektörü için operasyonel ve güvenlik riski oluşturuyor.</x:v>
      </x:c>
      <x:c r="L11" s="26" t="str">
        <x:f>IF(D11=H11,"same","different")</x:f>
        <x:v>same</x:v>
      </x:c>
      <x:c r="M11" s="26" t="str">
        <x:f>IF(L11="different","review","")</x:f>
      </x:c>
    </x:row>
    <x:row r="12" ht="48" customHeight="1">
      <x:c r="A12" s="26" t="str">
        <x:v>REUTERS_ANN_00858</x:v>
      </x:c>
      <x:c r="B12" s="28" t="n">
        <x:v>39091</x:v>
      </x:c>
      <x:c r="C12" s="26" t="n">
        <x:v>-1</x:v>
      </x:c>
      <x:c r="D12" s="26" t="str">
        <x:v>negative</x:v>
      </x:c>
      <x:c r="E12" s="30" t="n">
        <x:v>0.9497876167297364</x:v>
      </x:c>
      <x:c r="F12" s="26" t="str">
        <x:v>market can cope with russian oil disruption iea</x:v>
      </x:c>
      <x:c r="G12" s="26" t="str">
        <x:v>IEA, piyasanın Rus petrolündeki kesintiyi kaldırabileceğini söylüyor.</x:v>
      </x:c>
      <x:c r="H12" s="26" t="str">
        <x:v>neutral</x:v>
      </x:c>
      <x:c r="I12" s="26" t="n">
        <x:v>0</x:v>
      </x:c>
      <x:c r="J12" s="32" t="n">
        <x:v>0.72</x:v>
      </x:c>
      <x:c r="K12" s="26" t="str">
        <x:v>Kesinti riski var ancak piyasa dayanıklılığı vurgulanıyor; etkiler dengeli.</x:v>
      </x:c>
      <x:c r="L12" s="26" t="str">
        <x:f>IF(D12=H12,"same","different")</x:f>
        <x:v>different</x:v>
      </x:c>
      <x:c r="M12" s="26" t="str">
        <x:f>IF(L12="different","review","")</x:f>
        <x:v>review</x:v>
      </x:c>
    </x:row>
    <x:row r="13" ht="48" customHeight="1">
      <x:c r="A13" s="26" t="str">
        <x:v>REUTERS_ANN_00859</x:v>
      </x:c>
      <x:c r="B13" s="28" t="n">
        <x:v>39136</x:v>
      </x:c>
      <x:c r="C13" s="26" t="n">
        <x:v>1</x:v>
      </x:c>
      <x:c r="D13" s="26" t="str">
        <x:v>positive</x:v>
      </x:c>
      <x:c r="E13" s="30" t="n">
        <x:v>0.846595287322998</x:v>
      </x:c>
      <x:c r="F13" s="26" t="str">
        <x:v>tokyo, london bourses agree to tie-up</x:v>
      </x:c>
      <x:c r="G13" s="26" t="str">
        <x:v>Tokyo ve Londra borsaları iş birliği anlaşmasına vardı.</x:v>
      </x:c>
      <x:c r="H13" s="26" t="str">
        <x:v>positive</x:v>
      </x:c>
      <x:c r="I13" s="26" t="n">
        <x:v>1</x:v>
      </x:c>
      <x:c r="J13" s="32" t="n">
        <x:v>0.84</x:v>
      </x:c>
      <x:c r="K13" s="26" t="str">
        <x:v>Borsalar arası iş birliği stratejik genişleme ve sinerji beklentisi doğuruyor.</x:v>
      </x:c>
      <x:c r="L13" s="26" t="str">
        <x:f>IF(D13=H13,"same","different")</x:f>
        <x:v>same</x:v>
      </x:c>
      <x:c r="M13" s="26" t="str">
        <x:f>IF(L13="different","review","")</x:f>
      </x:c>
    </x:row>
    <x:row r="14" ht="48" customHeight="1">
      <x:c r="A14" s="26" t="str">
        <x:v>REUTERS_ANN_00860</x:v>
      </x:c>
      <x:c r="B14" s="28" t="n">
        <x:v>39087</x:v>
      </x:c>
      <x:c r="C14" s="26" t="n">
        <x:v>0</x:v>
      </x:c>
      <x:c r="D14" s="26" t="str">
        <x:v>neutral</x:v>
      </x:c>
      <x:c r="E14" s="30" t="n">
        <x:v>0.9393304586410522</x:v>
      </x:c>
      <x:c r="F14" s="26" t="str">
        <x:v>amaranth founder may start new business report</x:v>
      </x:c>
      <x:c r="G14" s="26" t="str">
        <x:v>Amaranth’ın kurucusu yeni bir iş kurabilir.</x:v>
      </x:c>
      <x:c r="H14" s="26" t="str">
        <x:v>neutral</x:v>
      </x:c>
      <x:c r="I14" s="26" t="n">
        <x:v>0</x:v>
      </x:c>
      <x:c r="J14" s="32" t="n">
        <x:v>0.83</x:v>
      </x:c>
      <x:c r="K14" s="26" t="str">
        <x:v>Olası girişim haberi; finansal sonuç veya yön net değil.</x:v>
      </x:c>
      <x:c r="L14" s="26" t="str">
        <x:f>IF(D14=H14,"same","different")</x:f>
        <x:v>same</x:v>
      </x:c>
      <x:c r="M14" s="26" t="str">
        <x:f>IF(L14="different","review","")</x:f>
      </x:c>
    </x:row>
    <x:row r="15" ht="48" customHeight="1">
      <x:c r="A15" s="26" t="str">
        <x:v>REUTERS_ANN_00861</x:v>
      </x:c>
      <x:c r="B15" s="28" t="n">
        <x:v>39140</x:v>
      </x:c>
      <x:c r="C15" s="26" t="n">
        <x:v>1</x:v>
      </x:c>
      <x:c r="D15" s="26" t="str">
        <x:v>positive</x:v>
      </x:c>
      <x:c r="E15" s="30" t="n">
        <x:v>0.9536633491516112</x:v>
      </x:c>
      <x:c r="F15" s="26" t="str">
        <x:v>radioshack quarterly profit rises stock jumps</x:v>
      </x:c>
      <x:c r="G15" s="26" t="str">
        <x:v>RadioShack’in çeyreklik kârı yükseldi, hisse sıçradı.</x:v>
      </x:c>
      <x:c r="H15" s="26" t="str">
        <x:v>positive</x:v>
      </x:c>
      <x:c r="I15" s="26" t="n">
        <x:v>1</x:v>
      </x:c>
      <x:c r="J15" s="32" t="n">
        <x:v>0.97</x:v>
      </x:c>
      <x:c r="K15" s="26" t="str">
        <x:v>Kâr artışı ve hisse yükselişi net olumlu piyasa sinyali.</x:v>
      </x:c>
      <x:c r="L15" s="26" t="str">
        <x:f>IF(D15=H15,"same","different")</x:f>
        <x:v>same</x:v>
      </x:c>
      <x:c r="M15" s="26" t="str">
        <x:f>IF(L15="different","review","")</x:f>
      </x:c>
    </x:row>
    <x:row r="16" ht="48" customHeight="1">
      <x:c r="A16" s="26" t="str">
        <x:v>REUTERS_ANN_00862</x:v>
      </x:c>
      <x:c r="B16" s="28" t="n">
        <x:v>39056</x:v>
      </x:c>
      <x:c r="C16" s="26" t="n">
        <x:v>1</x:v>
      </x:c>
      <x:c r="D16" s="26" t="str">
        <x:v>positive</x:v>
      </x:c>
      <x:c r="E16" s="30" t="n">
        <x:v>0.722909688949585</x:v>
      </x:c>
      <x:c r="F16" s="26" t="str">
        <x:v>u.s. predicts bumper year in arms sales</x:v>
      </x:c>
      <x:c r="G16" s="26" t="str">
        <x:v>ABD, silah satışlarında çok güçlü bir yıl bekliyor.</x:v>
      </x:c>
      <x:c r="H16" s="26" t="str">
        <x:v>positive</x:v>
      </x:c>
      <x:c r="I16" s="26" t="n">
        <x:v>1</x:v>
      </x:c>
      <x:c r="J16" s="32" t="n">
        <x:v>0.81</x:v>
      </x:c>
      <x:c r="K16" s="26" t="str">
        <x:v>Beklenen satış artışı savunma sektörü için olumlu talep sinyali.</x:v>
      </x:c>
      <x:c r="L16" s="26" t="str">
        <x:f>IF(D16=H16,"same","different")</x:f>
        <x:v>same</x:v>
      </x:c>
      <x:c r="M16" s="26" t="str">
        <x:f>IF(L16="different","review","")</x:f>
      </x:c>
    </x:row>
    <x:row r="17" ht="48" customHeight="1">
      <x:c r="A17" s="26" t="str">
        <x:v>REUTERS_ANN_00863</x:v>
      </x:c>
      <x:c r="B17" s="28" t="n">
        <x:v>39125</x:v>
      </x:c>
      <x:c r="C17" s="26" t="n">
        <x:v>0</x:v>
      </x:c>
      <x:c r="D17" s="26" t="str">
        <x:v>neutral</x:v>
      </x:c>
      <x:c r="E17" s="30" t="n">
        <x:v>0.893808126449585</x:v>
      </x:c>
      <x:c r="F17" s="26" t="str">
        <x:v>virgin mulls option after thomas cook buys mytravel</x:v>
      </x:c>
      <x:c r="G17" s="26" t="str">
        <x:v>Virgin, Thomas Cook’un MyTravel’ı almasının ardından seçeneklerini değerlendiriyor.</x:v>
      </x:c>
      <x:c r="H17" s="26" t="str">
        <x:v>neutral</x:v>
      </x:c>
      <x:c r="I17" s="26" t="n">
        <x:v>0</x:v>
      </x:c>
      <x:c r="J17" s="32" t="n">
        <x:v>0.8</x:v>
      </x:c>
      <x:c r="K17" s="26" t="str">
        <x:v>Stratejik değerlendirme haberi; olumlu/olumsuz yön henüz net değil.</x:v>
      </x:c>
      <x:c r="L17" s="26" t="str">
        <x:f>IF(D17=H17,"same","different")</x:f>
        <x:v>same</x:v>
      </x:c>
      <x:c r="M17" s="26" t="str">
        <x:f>IF(L17="different","review","")</x:f>
      </x:c>
    </x:row>
    <x:row r="18" ht="48" customHeight="1">
      <x:c r="A18" s="26" t="str">
        <x:v>REUTERS_ANN_00864</x:v>
      </x:c>
      <x:c r="B18" s="28" t="n">
        <x:v>39141</x:v>
      </x:c>
      <x:c r="C18" s="26" t="n">
        <x:v>1</x:v>
      </x:c>
      <x:c r="D18" s="26" t="str">
        <x:v>positive</x:v>
      </x:c>
      <x:c r="E18" s="30" t="n">
        <x:v>0.9466681480407716</x:v>
      </x:c>
      <x:c r="F18" s="26" t="str">
        <x:v>wyeth maintains 2007 earnings forecast</x:v>
      </x:c>
      <x:c r="G18" s="26" t="str">
        <x:v>Wyeth, 2007 kâr beklentisini korudu.</x:v>
      </x:c>
      <x:c r="H18" s="26" t="str">
        <x:v>positive</x:v>
      </x:c>
      <x:c r="I18" s="26" t="n">
        <x:v>1</x:v>
      </x:c>
      <x:c r="J18" s="32" t="n">
        <x:v>0.86</x:v>
      </x:c>
      <x:c r="K18" s="26" t="str">
        <x:v>Kâr tahmininin korunması istikrar ve güven verici bir sinyal.</x:v>
      </x:c>
      <x:c r="L18" s="26" t="str">
        <x:f>IF(D18=H18,"same","different")</x:f>
        <x:v>same</x:v>
      </x:c>
      <x:c r="M18" s="26" t="str">
        <x:f>IF(L18="different","review","")</x:f>
      </x:c>
    </x:row>
    <x:row r="19" ht="48" customHeight="1">
      <x:c r="A19" s="26" t="str">
        <x:v>REUTERS_ANN_00865</x:v>
      </x:c>
      <x:c r="B19" s="28" t="n">
        <x:v>39062</x:v>
      </x:c>
      <x:c r="C19" s="26" t="n">
        <x:v>1</x:v>
      </x:c>
      <x:c r="D19" s="26" t="str">
        <x:v>positive</x:v>
      </x:c>
      <x:c r="E19" s="30" t="n">
        <x:v>0.9294084310531616</x:v>
      </x:c>
      <x:c r="F19" s="26" t="str">
        <x:v>u.s., uk back berlins g8 hedge fund initiative paper</x:v>
      </x:c>
      <x:c r="G19" s="26" t="str">
        <x:v>ABD ve İngiltere, Berlin’in G8 hedge fon girişimini destekliyor.</x:v>
      </x:c>
      <x:c r="H19" s="26" t="str">
        <x:v>neutral</x:v>
      </x:c>
      <x:c r="I19" s="26" t="n">
        <x:v>0</x:v>
      </x:c>
      <x:c r="J19" s="32" t="n">
        <x:v>0.73</x:v>
      </x:c>
      <x:c r="K19" s="26" t="str">
        <x:v>Politika/regülasyon desteği; şirket kârı ya da piyasa yönü açık değil.</x:v>
      </x:c>
      <x:c r="L19" s="26" t="str">
        <x:f>IF(D19=H19,"same","different")</x:f>
        <x:v>different</x:v>
      </x:c>
      <x:c r="M19" s="26" t="str">
        <x:f>IF(L19="different","review","")</x:f>
        <x:v>review</x:v>
      </x:c>
    </x:row>
    <x:row r="20" ht="48" customHeight="1">
      <x:c r="A20" s="26" t="str">
        <x:v>REUTERS_ANN_00866</x:v>
      </x:c>
      <x:c r="B20" s="28" t="n">
        <x:v>39069</x:v>
      </x:c>
      <x:c r="C20" s="26" t="n">
        <x:v>0</x:v>
      </x:c>
      <x:c r="D20" s="26" t="str">
        <x:v>neutral</x:v>
      </x:c>
      <x:c r="E20" s="30" t="n">
        <x:v>0.8345567584037781</x:v>
      </x:c>
      <x:c r="F20" s="26" t="str">
        <x:v>mitsui, mbishi eye cash for sakhalin-2 sources</x:v>
      </x:c>
      <x:c r="G20" s="26" t="str">
        <x:v>Mitsui ve Mitsubishi, Sakhalin-2 için nakit kaynakları değerlendiriyor.</x:v>
      </x:c>
      <x:c r="H20" s="26" t="str">
        <x:v>neutral</x:v>
      </x:c>
      <x:c r="I20" s="26" t="n">
        <x:v>0</x:v>
      </x:c>
      <x:c r="J20" s="32" t="n">
        <x:v>0.79</x:v>
      </x:c>
      <x:c r="K20" s="26" t="str">
        <x:v>Finansman/varlık ilgisi var ancak kesin sonuç ve yön belirsiz.</x:v>
      </x:c>
      <x:c r="L20" s="26" t="str">
        <x:f>IF(D20=H20,"same","different")</x:f>
        <x:v>same</x:v>
      </x:c>
      <x:c r="M20" s="26" t="str">
        <x:f>IF(L20="different","review","")</x:f>
      </x:c>
    </x:row>
    <x:row r="21" ht="48" customHeight="1">
      <x:c r="A21" s="26" t="str">
        <x:v>REUTERS_ANN_00867</x:v>
      </x:c>
      <x:c r="B21" s="28" t="n">
        <x:v>39135</x:v>
      </x:c>
      <x:c r="C21" s="26" t="n">
        <x:v>-1</x:v>
      </x:c>
      <x:c r="D21" s="26" t="str">
        <x:v>negative</x:v>
      </x:c>
      <x:c r="E21" s="30" t="n">
        <x:v>0.9503871202468872</x:v>
      </x:c>
      <x:c r="F21" s="26" t="str">
        <x:v>williams profit up on higher margins</x:v>
      </x:c>
      <x:c r="G21" s="26" t="str">
        <x:v>Williams’ın kârı daha yüksek marjların etkisiyle arttı.</x:v>
      </x:c>
      <x:c r="H21" s="26" t="str">
        <x:v>positive</x:v>
      </x:c>
      <x:c r="I21" s="26" t="n">
        <x:v>1</x:v>
      </x:c>
      <x:c r="J21" s="32" t="n">
        <x:v>0.94</x:v>
      </x:c>
      <x:c r="K21" s="26" t="str">
        <x:v>Kâr ve marj artışı şirket açısından açık olumlu sinyal.</x:v>
      </x:c>
      <x:c r="L21" s="26" t="str">
        <x:f>IF(D21=H21,"same","different")</x:f>
        <x:v>different</x:v>
      </x:c>
      <x:c r="M21" s="26" t="str">
        <x:f>IF(L21="different","review","")</x:f>
        <x:v>review</x:v>
      </x:c>
    </x:row>
    <x:row r="22" ht="48" customHeight="1">
      <x:c r="A22" s="26" t="str">
        <x:v>REUTERS_ANN_00868</x:v>
      </x:c>
      <x:c r="B22" s="28" t="n">
        <x:v>39024</x:v>
      </x:c>
      <x:c r="C22" s="26" t="n">
        <x:v>0</x:v>
      </x:c>
      <x:c r="D22" s="26" t="str">
        <x:v>neutral</x:v>
      </x:c>
      <x:c r="E22" s="30" t="n">
        <x:v>0.7388665676116943</x:v>
      </x:c>
      <x:c r="F22" s="26" t="str">
        <x:v>halliburton will likely agree to extend sec probe</x:v>
      </x:c>
      <x:c r="G22" s="26" t="str">
        <x:v>Halliburton’ın SEC soruşturmasının uzatılmasını kabul etmesi bekleniyor.</x:v>
      </x:c>
      <x:c r="H22" s="26" t="str">
        <x:v>negative</x:v>
      </x:c>
      <x:c r="I22" s="26" t="n">
        <x:v>-1</x:v>
      </x:c>
      <x:c r="J22" s="32" t="n">
        <x:v>0.78</x:v>
      </x:c>
      <x:c r="K22" s="26" t="str">
        <x:v>SEC soruşturmasının sürmesi hukuki ve itibar riski yaratır.</x:v>
      </x:c>
      <x:c r="L22" s="26" t="str">
        <x:f>IF(D22=H22,"same","different")</x:f>
        <x:v>different</x:v>
      </x:c>
      <x:c r="M22" s="26" t="str">
        <x:f>IF(L22="different","review","")</x:f>
        <x:v>review</x:v>
      </x:c>
    </x:row>
    <x:row r="23" ht="48" customHeight="1">
      <x:c r="A23" s="26" t="str">
        <x:v>REUTERS_ANN_00869</x:v>
      </x:c>
      <x:c r="B23" s="28" t="n">
        <x:v>39036</x:v>
      </x:c>
      <x:c r="C23" s="26" t="n">
        <x:v>0</x:v>
      </x:c>
      <x:c r="D23" s="26" t="str">
        <x:v>neutral</x:v>
      </x:c>
      <x:c r="E23" s="30" t="n">
        <x:v>0.8248973488807678</x:v>
      </x:c>
      <x:c r="F23" s="26" t="str">
        <x:v>mcdonalds to return at least $10 bln to holders</x:v>
      </x:c>
      <x:c r="G23" s="26" t="str">
        <x:v>McDonald’s hissedarlara en az 10 milyar dolar döndürmeyi planlıyor.</x:v>
      </x:c>
      <x:c r="H23" s="26" t="str">
        <x:v>positive</x:v>
      </x:c>
      <x:c r="I23" s="26" t="n">
        <x:v>1</x:v>
      </x:c>
      <x:c r="J23" s="32" t="n">
        <x:v>0.89</x:v>
      </x:c>
      <x:c r="K23" s="26" t="str">
        <x:v>Hissedarlara yüksek tutarlı nakit/sermaye dönüşü olumlu yatırımcı sinyali.</x:v>
      </x:c>
      <x:c r="L23" s="26" t="str">
        <x:f>IF(D23=H23,"same","different")</x:f>
        <x:v>different</x:v>
      </x:c>
      <x:c r="M23" s="26" t="str">
        <x:f>IF(L23="different","review","")</x:f>
        <x:v>review</x:v>
      </x:c>
    </x:row>
    <x:row r="24" ht="48" customHeight="1">
      <x:c r="A24" s="26" t="str">
        <x:v>REUTERS_ANN_00870</x:v>
      </x:c>
      <x:c r="B24" s="28" t="n">
        <x:v>39168</x:v>
      </x:c>
      <x:c r="C24" s="26" t="n">
        <x:v>1</x:v>
      </x:c>
      <x:c r="D24" s="26" t="str">
        <x:v>positive</x:v>
      </x:c>
      <x:c r="E24" s="30" t="n">
        <x:v>0.9467034935951232</x:v>
      </x:c>
      <x:c r="F24" s="26" t="str">
        <x:v>edp to buy $2.2 bln u.s. horizon wind energy</x:v>
      </x:c>
      <x:c r="G24" s="26" t="str">
        <x:v>EDP, ABD’li Horizon Wind Energy’yi 2,2 milyar dolara satın alacak.</x:v>
      </x:c>
      <x:c r="H24" s="26" t="str">
        <x:v>positive</x:v>
      </x:c>
      <x:c r="I24" s="26" t="n">
        <x:v>1</x:v>
      </x:c>
      <x:c r="J24" s="32" t="n">
        <x:v>0.84</x:v>
      </x:c>
      <x:c r="K24" s="26" t="str">
        <x:v>Yenilenebilir enerji alanında büyük satın alma büyüme odaklı olumlu hamle.</x:v>
      </x:c>
      <x:c r="L24" s="26" t="str">
        <x:f>IF(D24=H24,"same","different")</x:f>
        <x:v>same</x:v>
      </x:c>
      <x:c r="M24" s="26" t="str">
        <x:f>IF(L24="different","review","")</x:f>
      </x:c>
    </x:row>
    <x:row r="25" ht="48" customHeight="1">
      <x:c r="A25" s="26" t="str">
        <x:v>REUTERS_ANN_00871</x:v>
      </x:c>
      <x:c r="B25" s="28" t="n">
        <x:v>39055</x:v>
      </x:c>
      <x:c r="C25" s="26" t="n">
        <x:v>0</x:v>
      </x:c>
      <x:c r="D25" s="26" t="str">
        <x:v>neutral</x:v>
      </x:c>
      <x:c r="E25" s="30" t="n">
        <x:v>0.9154239296913148</x:v>
      </x:c>
      <x:c r="F25" s="26" t="str">
        <x:v>medtronic to spin off external defibrillator business</x:v>
      </x:c>
      <x:c r="G25" s="26" t="str">
        <x:v>Medtronic, harici defibrilatör işini ayrı bir şirkete dönüştürecek.</x:v>
      </x:c>
      <x:c r="H25" s="26" t="str">
        <x:v>neutral</x:v>
      </x:c>
      <x:c r="I25" s="26" t="n">
        <x:v>0</x:v>
      </x:c>
      <x:c r="J25" s="32" t="n">
        <x:v>0.82</x:v>
      </x:c>
      <x:c r="K25" s="26" t="str">
        <x:v>Bölünme/spin-off yapısal işlem; finansal etkisi başlıktan net değil.</x:v>
      </x:c>
      <x:c r="L25" s="26" t="str">
        <x:f>IF(D25=H25,"same","different")</x:f>
        <x:v>same</x:v>
      </x:c>
      <x:c r="M25" s="26" t="str">
        <x:f>IF(L25="different","review","")</x:f>
      </x:c>
    </x:row>
    <x:row r="26" ht="48" customHeight="1">
      <x:c r="A26" s="26" t="str">
        <x:v>REUTERS_ANN_00872</x:v>
      </x:c>
      <x:c r="B26" s="28" t="n">
        <x:v>39176</x:v>
      </x:c>
      <x:c r="C26" s="26" t="n">
        <x:v>-1</x:v>
      </x:c>
      <x:c r="D26" s="26" t="str">
        <x:v>negative</x:v>
      </x:c>
      <x:c r="E26" s="30" t="n">
        <x:v>0.7537445425987244</x:v>
      </x:c>
      <x:c r="F26" s="26" t="str">
        <x:v>factbox-comments on fed policy</x:v>
      </x:c>
      <x:c r="G26" s="26" t="str">
        <x:v>Fed politikası hakkındaki yorumlar için factbox.</x:v>
      </x:c>
      <x:c r="H26" s="26" t="str">
        <x:v>neutral</x:v>
      </x:c>
      <x:c r="I26" s="26" t="n">
        <x:v>0</x:v>
      </x:c>
      <x:c r="J26" s="32" t="n">
        <x:v>0.9</x:v>
      </x:c>
      <x:c r="K26" s="26" t="str">
        <x:v>Factbox/özet niteliğinde; tek başına yönlü finansal sinyal taşımıyor.</x:v>
      </x:c>
      <x:c r="L26" s="26" t="str">
        <x:f>IF(D26=H26,"same","different")</x:f>
        <x:v>different</x:v>
      </x:c>
      <x:c r="M26" s="26" t="str">
        <x:f>IF(L26="different","review","")</x:f>
        <x:v>review</x:v>
      </x:c>
    </x:row>
    <x:row r="27" ht="48" customHeight="1">
      <x:c r="A27" s="26" t="str">
        <x:v>REUTERS_ANN_00873</x:v>
      </x:c>
      <x:c r="B27" s="28" t="n">
        <x:v>39192</x:v>
      </x:c>
      <x:c r="C27" s="26" t="n">
        <x:v>-1</x:v>
      </x:c>
      <x:c r="D27" s="26" t="str">
        <x:v>negative</x:v>
      </x:c>
      <x:c r="E27" s="30" t="n">
        <x:v>0.7999889850616455</x:v>
      </x:c>
      <x:c r="F27" s="26" t="str">
        <x:v>decision over wolfowitz delayed until next week</x:v>
      </x:c>
      <x:c r="G27" s="26" t="str">
        <x:v>Wolfowitz hakkındaki karar gelecek haftaya ertelendi.</x:v>
      </x:c>
      <x:c r="H27" s="26" t="str">
        <x:v>negative</x:v>
      </x:c>
      <x:c r="I27" s="26" t="n">
        <x:v>-1</x:v>
      </x:c>
      <x:c r="J27" s="32" t="n">
        <x:v>0.7</x:v>
      </x:c>
      <x:c r="K27" s="26" t="str">
        <x:v>Tartışmalı kararın ertelenmesi belirsizlik ve yönetişim riski yaratıyor.</x:v>
      </x:c>
      <x:c r="L27" s="26" t="str">
        <x:f>IF(D27=H27,"same","different")</x:f>
        <x:v>same</x:v>
      </x:c>
      <x:c r="M27" s="26" t="str">
        <x:f>IF(L27="different","review","")</x:f>
      </x:c>
    </x:row>
    <x:row r="28" ht="48" customHeight="1">
      <x:c r="A28" s="26" t="str">
        <x:v>REUTERS_ANN_00874</x:v>
      </x:c>
      <x:c r="B28" s="28" t="n">
        <x:v>39177</x:v>
      </x:c>
      <x:c r="C28" s="26" t="n">
        <x:v>1</x:v>
      </x:c>
      <x:c r="D28" s="26" t="str">
        <x:v>positive</x:v>
      </x:c>
      <x:c r="E28" s="30" t="n">
        <x:v>0.947951316833496</x:v>
      </x:c>
      <x:c r="F28" s="26" t="str">
        <x:v>cvs, rite aid same-store sales trail walgreen</x:v>
      </x:c>
      <x:c r="G28" s="26" t="str">
        <x:v>CVS ve Rite Aid’in aynı mağaza satışları Walgreen’in gerisinde kaldı.</x:v>
      </x:c>
      <x:c r="H28" s="26" t="str">
        <x:v>negative</x:v>
      </x:c>
      <x:c r="I28" s="26" t="n">
        <x:v>-1</x:v>
      </x:c>
      <x:c r="J28" s="32" t="n">
        <x:v>0.82</x:v>
      </x:c>
      <x:c r="K28" s="26" t="str">
        <x:v>Rakibe göre zayıf satış performansı perakende şirketleri için olumsuz sinyal.</x:v>
      </x:c>
      <x:c r="L28" s="26" t="str">
        <x:f>IF(D28=H28,"same","different")</x:f>
        <x:v>different</x:v>
      </x:c>
      <x:c r="M28" s="26" t="str">
        <x:f>IF(L28="different","review","")</x:f>
        <x:v>review</x:v>
      </x:c>
    </x:row>
    <x:row r="29" ht="48" customHeight="1">
      <x:c r="A29" s="26" t="str">
        <x:v>REUTERS_ANN_00875</x:v>
      </x:c>
      <x:c r="B29" s="28" t="n">
        <x:v>39189</x:v>
      </x:c>
      <x:c r="C29" s="26" t="n">
        <x:v>1</x:v>
      </x:c>
      <x:c r="D29" s="26" t="str">
        <x:v>positive</x:v>
      </x:c>
      <x:c r="E29" s="30" t="n">
        <x:v>0.9406163096427916</x:v>
      </x:c>
      <x:c r="F29" s="26" t="str">
        <x:v>jj handily beats forecast</x:v>
      </x:c>
      <x:c r="G29" s="26" t="str">
        <x:v>Johnson &amp; Johnson beklentileri rahat biçimde aştı.</x:v>
      </x:c>
      <x:c r="H29" s="26" t="str">
        <x:v>positive</x:v>
      </x:c>
      <x:c r="I29" s="26" t="n">
        <x:v>1</x:v>
      </x:c>
      <x:c r="J29" s="32" t="n">
        <x:v>0.96</x:v>
      </x:c>
      <x:c r="K29" s="26" t="str">
        <x:v>Beklentilerin belirgin şekilde aşılması net olumlu kazanç sinyali.</x:v>
      </x:c>
      <x:c r="L29" s="26" t="str">
        <x:f>IF(D29=H29,"same","different")</x:f>
        <x:v>same</x:v>
      </x:c>
      <x:c r="M29" s="26" t="str">
        <x:f>IF(L29="different","review","")</x:f>
      </x:c>
    </x:row>
    <x:row r="30" ht="48" customHeight="1">
      <x:c r="A30" s="26" t="str">
        <x:v>REUTERS_ANN_00876</x:v>
      </x:c>
      <x:c r="B30" s="28" t="n">
        <x:v>39035</x:v>
      </x:c>
      <x:c r="C30" s="26" t="n">
        <x:v>0</x:v>
      </x:c>
      <x:c r="D30" s="26" t="str">
        <x:v>neutral</x:v>
      </x:c>
      <x:c r="E30" s="30" t="n">
        <x:v>0.7106735706329346</x:v>
      </x:c>
      <x:c r="F30" s="26" t="str">
        <x:v>interoil says finds big gas reserves in png</x:v>
      </x:c>
      <x:c r="G30" s="26" t="str">
        <x:v>InterOil, Papua Yeni Gine’de büyük gaz rezervleri bulduğunu açıkladı.</x:v>
      </x:c>
      <x:c r="H30" s="26" t="str">
        <x:v>positive</x:v>
      </x:c>
      <x:c r="I30" s="26" t="n">
        <x:v>1</x:v>
      </x:c>
      <x:c r="J30" s="32" t="n">
        <x:v>0.88</x:v>
      </x:c>
      <x:c r="K30" s="26" t="str">
        <x:v>Büyük rezerv keşfi şirket değerine ve büyüme potansiyeline olumlu katkı sağlar.</x:v>
      </x:c>
      <x:c r="L30" s="26" t="str">
        <x:f>IF(D30=H30,"same","different")</x:f>
        <x:v>different</x:v>
      </x:c>
      <x:c r="M30" s="26" t="str">
        <x:f>IF(L30="different","review","")</x:f>
        <x:v>review</x:v>
      </x:c>
    </x:row>
    <x:row r="31" ht="48" customHeight="1">
      <x:c r="A31" s="26" t="str">
        <x:v>REUTERS_ANN_00877</x:v>
      </x:c>
      <x:c r="B31" s="28" t="n">
        <x:v>39208</x:v>
      </x:c>
      <x:c r="C31" s="26" t="n">
        <x:v>0</x:v>
      </x:c>
      <x:c r="D31" s="26" t="str">
        <x:v>neutral</x:v>
      </x:c>
      <x:c r="E31" s="30" t="n">
        <x:v>0.7036888003349304</x:v>
      </x:c>
      <x:c r="F31" s="26" t="str">
        <x:v>abn, rbs talks continue as lasalle deadline looms</x:v>
      </x:c>
      <x:c r="G31" s="26" t="str">
        <x:v>LaSalle son tarihi yaklaşırken ABN ve RBS görüşmeleri sürüyor.</x:v>
      </x:c>
      <x:c r="H31" s="26" t="str">
        <x:v>neutral</x:v>
      </x:c>
      <x:c r="I31" s="26" t="n">
        <x:v>0</x:v>
      </x:c>
      <x:c r="J31" s="32" t="n">
        <x:v>0.78</x:v>
      </x:c>
      <x:c r="K31" s="26" t="str">
        <x:v>M&amp;A görüşmeleri ve son tarih baskısı var; kesin sonuç olmadığı için nötr.</x:v>
      </x:c>
      <x:c r="L31" s="26" t="str">
        <x:f>IF(D31=H31,"same","different")</x:f>
        <x:v>same</x:v>
      </x:c>
      <x:c r="M31" s="26" t="str">
        <x:f>IF(L31="different","review","")</x:f>
      </x:c>
    </x:row>
    <x:row r="32" ht="48" customHeight="1">
      <x:c r="A32" s="26" t="str">
        <x:v>REUTERS_ANN_00878</x:v>
      </x:c>
      <x:c r="B32" s="28" t="n">
        <x:v>39065</x:v>
      </x:c>
      <x:c r="C32" s="26" t="n">
        <x:v>-1</x:v>
      </x:c>
      <x:c r="D32" s="26" t="str">
        <x:v>negative</x:v>
      </x:c>
      <x:c r="E32" s="30" t="n">
        <x:v>0.9634172320365906</x:v>
      </x:c>
      <x:c r="F32" s="26" t="str">
        <x:v>daimlerchrysler inventory triggers u.s. plant halt paper</x:v>
      </x:c>
      <x:c r="G32" s="26" t="str">
        <x:v>DaimlerChrysler stok sorunu nedeniyle ABD fabrikasında üretimi durduruyor.</x:v>
      </x:c>
      <x:c r="H32" s="26" t="str">
        <x:v>negative</x:v>
      </x:c>
      <x:c r="I32" s="26" t="n">
        <x:v>-1</x:v>
      </x:c>
      <x:c r="J32" s="32" t="n">
        <x:v>0.94</x:v>
      </x:c>
      <x:c r="K32" s="26" t="str">
        <x:v>Stok fazlası ve fabrika duruşu operasyonel zayıflık ve talep sorunu gösterir.</x:v>
      </x:c>
      <x:c r="L32" s="26" t="str">
        <x:f>IF(D32=H32,"same","different")</x:f>
        <x:v>same</x:v>
      </x:c>
      <x:c r="M32" s="26" t="str">
        <x:f>IF(L32="different","review","")</x:f>
      </x:c>
    </x:row>
    <x:row r="33" ht="48" customHeight="1">
      <x:c r="A33" s="26" t="str">
        <x:v>REUTERS_ANN_00879</x:v>
      </x:c>
      <x:c r="B33" s="28" t="n">
        <x:v>39079</x:v>
      </x:c>
      <x:c r="C33" s="26" t="n">
        <x:v>-1</x:v>
      </x:c>
      <x:c r="D33" s="26" t="str">
        <x:v>negative</x:v>
      </x:c>
      <x:c r="E33" s="30" t="n">
        <x:v>0.957082748413086</x:v>
      </x:c>
      <x:c r="F33" s="26" t="str">
        <x:v>asia back online after quakes but access patchy</x:v>
      </x:c>
      <x:c r="G33" s="26" t="str">
        <x:v>Asya, depremlerden sonra yeniden çevrimiçi oldu ancak erişim hâlâ düzensiz.</x:v>
      </x:c>
      <x:c r="H33" s="26" t="str">
        <x:v>negative</x:v>
      </x:c>
      <x:c r="I33" s="26" t="n">
        <x:v>-1</x:v>
      </x:c>
      <x:c r="J33" s="32" t="n">
        <x:v>0.8</x:v>
      </x:c>
      <x:c r="K33" s="26" t="str">
        <x:v>Altyapı/erişim sorunlarının sürmesi operasyonel açıdan olumsuz.</x:v>
      </x:c>
      <x:c r="L33" s="26" t="str">
        <x:f>IF(D33=H33,"same","different")</x:f>
        <x:v>same</x:v>
      </x:c>
      <x:c r="M33" s="26" t="str">
        <x:f>IF(L33="different","review","")</x:f>
      </x:c>
    </x:row>
    <x:row r="34" ht="48" customHeight="1">
      <x:c r="A34" s="26" t="str">
        <x:v>REUTERS_ANN_00880</x:v>
      </x:c>
      <x:c r="B34" s="28" t="n">
        <x:v>39016</x:v>
      </x:c>
      <x:c r="C34" s="26" t="n">
        <x:v>-1</x:v>
      </x:c>
      <x:c r="D34" s="26" t="str">
        <x:v>negative</x:v>
      </x:c>
      <x:c r="E34" s="30" t="n">
        <x:v>0.96820068359375</x:v>
      </x:c>
      <x:c r="F34" s="26" t="str">
        <x:v>gm posts profit, but recovery looms</x:v>
      </x:c>
      <x:c r="G34" s="26" t="str">
        <x:v>GM kâr açıkladı, ancak toparlanma süreci hâlâ önünde duruyor.</x:v>
      </x:c>
      <x:c r="H34" s="26" t="str">
        <x:v>positive</x:v>
      </x:c>
      <x:c r="I34" s="26" t="n">
        <x:v>1</x:v>
      </x:c>
      <x:c r="J34" s="32" t="n">
        <x:v>0.67</x:v>
      </x:c>
      <x:c r="K34" s="26" t="str">
        <x:v>Kâr açıklaması olumlu; toparlanma vurgusu temkinli olduğu için güven orta.</x:v>
      </x:c>
      <x:c r="L34" s="26" t="str">
        <x:f>IF(D34=H34,"same","different")</x:f>
        <x:v>different</x:v>
      </x:c>
      <x:c r="M34" s="26" t="str">
        <x:f>IF(L34="different","review","")</x:f>
        <x:v>review</x:v>
      </x:c>
    </x:row>
    <x:row r="35" ht="48" customHeight="1">
      <x:c r="A35" s="26" t="str">
        <x:v>REUTERS_ANN_00881</x:v>
      </x:c>
      <x:c r="B35" s="28" t="n">
        <x:v>39079</x:v>
      </x:c>
      <x:c r="C35" s="26" t="n">
        <x:v>-1</x:v>
      </x:c>
      <x:c r="D35" s="26" t="str">
        <x:v>negative</x:v>
      </x:c>
      <x:c r="E35" s="30" t="n">
        <x:v>0.3778658509254455</x:v>
      </x:c>
      <x:c r="F35" s="26" t="str">
        <x:v>bidders jostle for indias hutchison essar</x:v>
      </x:c>
      <x:c r="G35" s="26" t="str">
        <x:v>Alıcı adayları Hindistan’daki Hutchison Essar için rekabet ediyor.</x:v>
      </x:c>
      <x:c r="H35" s="26" t="str">
        <x:v>neutral</x:v>
      </x:c>
      <x:c r="I35" s="26" t="n">
        <x:v>0</x:v>
      </x:c>
      <x:c r="J35" s="32" t="n">
        <x:v>0.82</x:v>
      </x:c>
      <x:c r="K35" s="26" t="str">
        <x:v>Satın alma ilgisi var ancak kazanan ve finansal sonuç belli değil.</x:v>
      </x:c>
      <x:c r="L35" s="26" t="str">
        <x:f>IF(D35=H35,"same","different")</x:f>
        <x:v>different</x:v>
      </x:c>
      <x:c r="M35" s="26" t="str">
        <x:f>IF(L35="different","review","")</x:f>
        <x:v>review</x:v>
      </x:c>
    </x:row>
    <x:row r="36" ht="48" customHeight="1">
      <x:c r="A36" s="26" t="str">
        <x:v>REUTERS_ANN_00882</x:v>
      </x:c>
      <x:c r="B36" s="28" t="n">
        <x:v>39167</x:v>
      </x:c>
      <x:c r="C36" s="26" t="n">
        <x:v>-1</x:v>
      </x:c>
      <x:c r="D36" s="26" t="str">
        <x:v>negative</x:v>
      </x:c>
      <x:c r="E36" s="30" t="n">
        <x:v>0.970350444316864</x:v>
      </x:c>
      <x:c r="F36" s="26" t="str">
        <x:v>kimberly-clark optimistic on quarter</x:v>
      </x:c>
      <x:c r="G36" s="26" t="str">
        <x:v>Kimberly-Clark çeyrek dönem için iyimser.</x:v>
      </x:c>
      <x:c r="H36" s="26" t="str">
        <x:v>positive</x:v>
      </x:c>
      <x:c r="I36" s="26" t="n">
        <x:v>1</x:v>
      </x:c>
      <x:c r="J36" s="32" t="n">
        <x:v>0.86</x:v>
      </x:c>
      <x:c r="K36" s="26" t="str">
        <x:v>Şirketin çeyrek beklentisine yönelik iyimserliği olumlu görünüm sinyali.</x:v>
      </x:c>
      <x:c r="L36" s="26" t="str">
        <x:f>IF(D36=H36,"same","different")</x:f>
        <x:v>different</x:v>
      </x:c>
      <x:c r="M36" s="26" t="str">
        <x:f>IF(L36="different","review","")</x:f>
        <x:v>review</x:v>
      </x:c>
    </x:row>
    <x:row r="37" ht="48" customHeight="1">
      <x:c r="A37" s="26" t="str">
        <x:v>REUTERS_ANN_00883</x:v>
      </x:c>
      <x:c r="B37" s="28" t="n">
        <x:v>39073</x:v>
      </x:c>
      <x:c r="C37" s="26" t="n">
        <x:v>0</x:v>
      </x:c>
      <x:c r="D37" s="26" t="str">
        <x:v>neutral</x:v>
      </x:c>
      <x:c r="E37" s="30" t="n">
        <x:v>0.7969932556152344</x:v>
      </x:c>
      <x:c r="F37" s="26" t="str">
        <x:v>amateurs reach for high-end digital cameras</x:v>
      </x:c>
      <x:c r="G37" s="26" t="str">
        <x:v>Amatör kullanıcılar üst segment dijital kameralara yöneliyor.</x:v>
      </x:c>
      <x:c r="H37" s="26" t="str">
        <x:v>positive</x:v>
      </x:c>
      <x:c r="I37" s="26" t="n">
        <x:v>1</x:v>
      </x:c>
      <x:c r="J37" s="32" t="n">
        <x:v>0.66</x:v>
      </x:c>
      <x:c r="K37" s="26" t="str">
        <x:v>Talep kayması kamera üreticileri için potansiyel olumlu satış sinyali.</x:v>
      </x:c>
      <x:c r="L37" s="26" t="str">
        <x:f>IF(D37=H37,"same","different")</x:f>
        <x:v>different</x:v>
      </x:c>
      <x:c r="M37" s="26" t="str">
        <x:f>IF(L37="different","review","")</x:f>
        <x:v>review</x:v>
      </x:c>
    </x:row>
    <x:row r="38" ht="48" customHeight="1">
      <x:c r="A38" s="26" t="str">
        <x:v>REUTERS_ANN_00884</x:v>
      </x:c>
      <x:c r="B38" s="28" t="n">
        <x:v>39034</x:v>
      </x:c>
      <x:c r="C38" s="26" t="n">
        <x:v>1</x:v>
      </x:c>
      <x:c r="D38" s="26" t="str">
        <x:v>positive</x:v>
      </x:c>
      <x:c r="E38" s="30" t="n">
        <x:v>0.8231894373893738</x:v>
      </x:c>
      <x:c r="F38" s="26" t="str">
        <x:v>eddie bauer agrees to be bought for $286 million</x:v>
      </x:c>
      <x:c r="G38" s="26" t="str">
        <x:v>Eddie Bauer 286 milyon dolara satın alınmayı kabul etti.</x:v>
      </x:c>
      <x:c r="H38" s="26" t="str">
        <x:v>positive</x:v>
      </x:c>
      <x:c r="I38" s="26" t="n">
        <x:v>1</x:v>
      </x:c>
      <x:c r="J38" s="32" t="n">
        <x:v>0.83</x:v>
      </x:c>
      <x:c r="K38" s="26" t="str">
        <x:v>Satın alma anlaşması hissedarlar için değer yaratma potansiyeli taşır.</x:v>
      </x:c>
      <x:c r="L38" s="26" t="str">
        <x:f>IF(D38=H38,"same","different")</x:f>
        <x:v>same</x:v>
      </x:c>
      <x:c r="M38" s="26" t="str">
        <x:f>IF(L38="different","review","")</x:f>
      </x:c>
    </x:row>
    <x:row r="39" ht="48" customHeight="1">
      <x:c r="A39" s="26" t="str">
        <x:v>REUTERS_ANN_00885</x:v>
      </x:c>
      <x:c r="B39" s="28" t="n">
        <x:v>39130</x:v>
      </x:c>
      <x:c r="C39" s="26" t="n">
        <x:v>-1</x:v>
      </x:c>
      <x:c r="D39" s="26" t="str">
        <x:v>negative</x:v>
      </x:c>
      <x:c r="E39" s="30" t="n">
        <x:v>0.9708723425865172</x:v>
      </x:c>
      <x:c r="F39" s="26" t="str">
        <x:v>new aranesp safety concerns seen in cancer trial</x:v>
      </x:c>
      <x:c r="G39" s="26" t="str">
        <x:v>Kanser denemesinde Aranesp için yeni güvenlik endişeleri görüldü.</x:v>
      </x:c>
      <x:c r="H39" s="26" t="str">
        <x:v>negative</x:v>
      </x:c>
      <x:c r="I39" s="26" t="n">
        <x:v>-1</x:v>
      </x:c>
      <x:c r="J39" s="32" t="n">
        <x:v>0.96</x:v>
      </x:c>
      <x:c r="K39" s="26" t="str">
        <x:v>İlaç güvenliği endişeleri regülasyon, satış ve itibar açısından ciddi olumsuz sinyal.</x:v>
      </x:c>
      <x:c r="L39" s="26" t="str">
        <x:f>IF(D39=H39,"same","different")</x:f>
        <x:v>same</x:v>
      </x:c>
      <x:c r="M39" s="26" t="str">
        <x:f>IF(L39="different","review","")</x:f>
      </x:c>
    </x:row>
    <x:row r="40" ht="48" customHeight="1">
      <x:c r="A40" s="26" t="str">
        <x:v>REUTERS_ANN_00886</x:v>
      </x:c>
      <x:c r="B40" s="28" t="n">
        <x:v>39170</x:v>
      </x:c>
      <x:c r="C40" s="26" t="n">
        <x:v>0</x:v>
      </x:c>
      <x:c r="D40" s="26" t="str">
        <x:v>neutral</x:v>
      </x:c>
      <x:c r="E40" s="30" t="n">
        <x:v>0.7842794060707092</x:v>
      </x:c>
      <x:c r="F40" s="26" t="str">
        <x:v>att, qwest, verizon win u.s. govt telecom contract</x:v>
      </x:c>
      <x:c r="G40" s="26" t="str">
        <x:v>AT&amp;T, Qwest ve Verizon ABD hükümetinin telekom sözleşmesini kazandı.</x:v>
      </x:c>
      <x:c r="H40" s="26" t="str">
        <x:v>positive</x:v>
      </x:c>
      <x:c r="I40" s="26" t="n">
        <x:v>1</x:v>
      </x:c>
      <x:c r="J40" s="32" t="n">
        <x:v>0.88</x:v>
      </x:c>
      <x:c r="K40" s="26" t="str">
        <x:v>Büyük kamu sözleşmesi şirketler için olumlu gelir fırsatı oluşturur.</x:v>
      </x:c>
      <x:c r="L40" s="26" t="str">
        <x:f>IF(D40=H40,"same","different")</x:f>
        <x:v>different</x:v>
      </x:c>
      <x:c r="M40" s="26" t="str">
        <x:f>IF(L40="different","review","")</x:f>
        <x:v>review</x:v>
      </x:c>
    </x:row>
    <x:row r="41" ht="48" customHeight="1">
      <x:c r="A41" s="26" t="str">
        <x:v>REUTERS_ANN_00887</x:v>
      </x:c>
      <x:c r="B41" s="28" t="n">
        <x:v>39113</x:v>
      </x:c>
      <x:c r="C41" s="26" t="n">
        <x:v>1</x:v>
      </x:c>
      <x:c r="D41" s="26" t="str">
        <x:v>positive</x:v>
      </x:c>
      <x:c r="E41" s="30" t="n">
        <x:v>0.6487091779708862</x:v>
      </x:c>
      <x:c r="F41" s="26" t="str">
        <x:v>u.s. economy grew at strong clip in 4th quarter</x:v>
      </x:c>
      <x:c r="G41" s="26" t="str">
        <x:v>ABD ekonomisi dördüncü çeyrekte güçlü bir hızla büyüdü.</x:v>
      </x:c>
      <x:c r="H41" s="26" t="str">
        <x:v>positive</x:v>
      </x:c>
      <x:c r="I41" s="26" t="n">
        <x:v>1</x:v>
      </x:c>
      <x:c r="J41" s="32" t="n">
        <x:v>0.91</x:v>
      </x:c>
      <x:c r="K41" s="26" t="str">
        <x:v>Güçlü ekonomik büyüme piyasa ve makro görünüm açısından olumlu.</x:v>
      </x:c>
      <x:c r="L41" s="26" t="str">
        <x:f>IF(D41=H41,"same","different")</x:f>
        <x:v>same</x:v>
      </x:c>
      <x:c r="M41" s="26" t="str">
        <x:f>IF(L41="different","review","")</x:f>
      </x:c>
    </x:row>
    <x:row r="42" ht="48" customHeight="1">
      <x:c r="A42" s="26" t="str">
        <x:v>REUTERS_ANN_00888</x:v>
      </x:c>
      <x:c r="B42" s="28" t="n">
        <x:v>39066</x:v>
      </x:c>
      <x:c r="C42" s="26" t="n">
        <x:v>1</x:v>
      </x:c>
      <x:c r="D42" s="26" t="str">
        <x:v>positive</x:v>
      </x:c>
      <x:c r="E42" s="30" t="n">
        <x:v>0.9099631309509276</x:v>
      </x:c>
      <x:c r="F42" s="26" t="str">
        <x:v>burger king awards rights for restaurants in japan</x:v>
      </x:c>
      <x:c r="G42" s="26" t="str">
        <x:v>Burger King, Japonya’daki restoran haklarını verdi.</x:v>
      </x:c>
      <x:c r="H42" s="26" t="str">
        <x:v>positive</x:v>
      </x:c>
      <x:c r="I42" s="26" t="n">
        <x:v>1</x:v>
      </x:c>
      <x:c r="J42" s="32" t="n">
        <x:v>0.77</x:v>
      </x:c>
      <x:c r="K42" s="26" t="str">
        <x:v>Yeni pazar/ franchise genişlemesi büyüme açısından olumlu.</x:v>
      </x:c>
      <x:c r="L42" s="26" t="str">
        <x:f>IF(D42=H42,"same","different")</x:f>
        <x:v>same</x:v>
      </x:c>
      <x:c r="M42" s="26" t="str">
        <x:f>IF(L42="different","review","")</x:f>
      </x:c>
    </x:row>
    <x:row r="43" ht="48" customHeight="1">
      <x:c r="A43" s="26" t="str">
        <x:v>REUTERS_ANN_00889</x:v>
      </x:c>
      <x:c r="B43" s="28" t="n">
        <x:v>39136</x:v>
      </x:c>
      <x:c r="C43" s="26" t="n">
        <x:v>-1</x:v>
      </x:c>
      <x:c r="D43" s="26" t="str">
        <x:v>negative</x:v>
      </x:c>
      <x:c r="E43" s="30" t="n">
        <x:v>0.9739243388175964</x:v>
      </x:c>
      <x:c r="F43" s="26" t="str">
        <x:v>dominos fourth-quarter earnings fall</x:v>
      </x:c>
      <x:c r="G43" s="26" t="str">
        <x:v>Domino’s’un dördüncü çeyrek kârı düştü.</x:v>
      </x:c>
      <x:c r="H43" s="26" t="str">
        <x:v>negative</x:v>
      </x:c>
      <x:c r="I43" s="26" t="n">
        <x:v>-1</x:v>
      </x:c>
      <x:c r="J43" s="32" t="n">
        <x:v>0.95</x:v>
      </x:c>
      <x:c r="K43" s="26" t="str">
        <x:v>Kâr düşüşü şirket için açık olumsuz finansal sinyal.</x:v>
      </x:c>
      <x:c r="L43" s="26" t="str">
        <x:f>IF(D43=H43,"same","different")</x:f>
        <x:v>same</x:v>
      </x:c>
      <x:c r="M43" s="26" t="str">
        <x:f>IF(L43="different","review","")</x:f>
      </x:c>
    </x:row>
    <x:row r="44" ht="48" customHeight="1">
      <x:c r="A44" s="26" t="str">
        <x:v>REUTERS_ANN_00890</x:v>
      </x:c>
      <x:c r="B44" s="28" t="n">
        <x:v>39105</x:v>
      </x:c>
      <x:c r="C44" s="26" t="n">
        <x:v>1</x:v>
      </x:c>
      <x:c r="D44" s="26" t="str">
        <x:v>positive</x:v>
      </x:c>
      <x:c r="E44" s="30" t="n">
        <x:v>0.9323906898498536</x:v>
      </x:c>
      <x:c r="F44" s="26" t="str">
        <x:v>jj quarterly profit rises on higher drug sales</x:v>
      </x:c>
      <x:c r="G44" s="26" t="str">
        <x:v>Johnson &amp; Johnson’ın çeyreklik kârı daha yüksek ilaç satışlarıyla arttı.</x:v>
      </x:c>
      <x:c r="H44" s="26" t="str">
        <x:v>positive</x:v>
      </x:c>
      <x:c r="I44" s="26" t="n">
        <x:v>1</x:v>
      </x:c>
      <x:c r="J44" s="32" t="n">
        <x:v>0.95</x:v>
      </x:c>
      <x:c r="K44" s="26" t="str">
        <x:v>Kâr ve satış artışı net olumlu şirket performansı gösterir.</x:v>
      </x:c>
      <x:c r="L44" s="26" t="str">
        <x:f>IF(D44=H44,"same","different")</x:f>
        <x:v>same</x:v>
      </x:c>
      <x:c r="M44" s="26" t="str">
        <x:f>IF(L44="different","review","")</x:f>
      </x:c>
    </x:row>
    <x:row r="45" ht="48" customHeight="1">
      <x:c r="A45" s="26" t="str">
        <x:v>REUTERS_ANN_00891</x:v>
      </x:c>
      <x:c r="B45" s="28" t="n">
        <x:v>39085</x:v>
      </x:c>
      <x:c r="C45" s="26" t="n">
        <x:v>0</x:v>
      </x:c>
      <x:c r="D45" s="26" t="str">
        <x:v>neutral</x:v>
      </x:c>
      <x:c r="E45" s="30" t="n">
        <x:v>0.7701349854469299</x:v>
      </x:c>
      <x:c r="F45" s="26" t="str">
        <x:v>agl says has made merger approach to origin</x:v>
      </x:c>
      <x:c r="G45" s="26" t="str">
        <x:v>AGL, Origin’e birleşme/satın alma yaklaşımında bulunduğunu açıkladı.</x:v>
      </x:c>
      <x:c r="H45" s="26" t="str">
        <x:v>neutral</x:v>
      </x:c>
      <x:c r="I45" s="26" t="n">
        <x:v>0</x:v>
      </x:c>
      <x:c r="J45" s="32" t="n">
        <x:v>0.8</x:v>
      </x:c>
      <x:c r="K45" s="26" t="str">
        <x:v>Yaklaşım var ancak anlaşma kesinleşmediği için yön net değil.</x:v>
      </x:c>
      <x:c r="L45" s="26" t="str">
        <x:f>IF(D45=H45,"same","different")</x:f>
        <x:v>same</x:v>
      </x:c>
      <x:c r="M45" s="26" t="str">
        <x:f>IF(L45="different","review","")</x:f>
      </x:c>
    </x:row>
    <x:row r="46" ht="48" customHeight="1">
      <x:c r="A46" s="26" t="str">
        <x:v>REUTERS_ANN_00892</x:v>
      </x:c>
      <x:c r="B46" s="28" t="n">
        <x:v>39057</x:v>
      </x:c>
      <x:c r="C46" s="26" t="n">
        <x:v>1</x:v>
      </x:c>
      <x:c r="D46" s="26" t="str">
        <x:v>positive</x:v>
      </x:c>
      <x:c r="E46" s="30" t="n">
        <x:v>0.9161020517349244</x:v>
      </x:c>
      <x:c r="F46" s="26" t="str">
        <x:v>u.s. mortgage applications surge in latest week mba</x:v>
      </x:c>
      <x:c r="G46" s="26" t="str">
        <x:v>ABD mortgage başvuruları son haftada güçlü şekilde arttı.</x:v>
      </x:c>
      <x:c r="H46" s="26" t="str">
        <x:v>positive</x:v>
      </x:c>
      <x:c r="I46" s="26" t="n">
        <x:v>1</x:v>
      </x:c>
      <x:c r="J46" s="32" t="n">
        <x:v>0.82</x:v>
      </x:c>
      <x:c r="K46" s="26" t="str">
        <x:v>Mortgage başvurularındaki artış konut finansmanı talebi açısından olumlu.</x:v>
      </x:c>
      <x:c r="L46" s="26" t="str">
        <x:f>IF(D46=H46,"same","different")</x:f>
        <x:v>same</x:v>
      </x:c>
      <x:c r="M46" s="26" t="str">
        <x:f>IF(L46="different","review","")</x:f>
      </x:c>
    </x:row>
    <x:row r="47" ht="48" customHeight="1">
      <x:c r="A47" s="26" t="str">
        <x:v>REUTERS_ANN_00893</x:v>
      </x:c>
      <x:c r="B47" s="28" t="n">
        <x:v>39146</x:v>
      </x:c>
      <x:c r="C47" s="26" t="n">
        <x:v>1</x:v>
      </x:c>
      <x:c r="D47" s="26" t="str">
        <x:v>positive</x:v>
      </x:c>
      <x:c r="E47" s="30" t="n">
        <x:v>0.9189260005950928</x:v>
      </x:c>
      <x:c r="F47" s="26" t="str">
        <x:v>hsbc bad debts hit $10.6 billion</x:v>
      </x:c>
      <x:c r="G47" s="26" t="str">
        <x:v>HSBC’nin sorunlu borçları 10,6 milyar dolara ulaştı.</x:v>
      </x:c>
      <x:c r="H47" s="26" t="str">
        <x:v>negative</x:v>
      </x:c>
      <x:c r="I47" s="26" t="n">
        <x:v>-1</x:v>
      </x:c>
      <x:c r="J47" s="32" t="n">
        <x:v>0.96</x:v>
      </x:c>
      <x:c r="K47" s="26" t="str">
        <x:v>Yüksek kötü borç tutarı banka için açık olumsuz kredi riski sinyali.</x:v>
      </x:c>
      <x:c r="L47" s="26" t="str">
        <x:f>IF(D47=H47,"same","different")</x:f>
        <x:v>different</x:v>
      </x:c>
      <x:c r="M47" s="26" t="str">
        <x:f>IF(L47="different","review","")</x:f>
        <x:v>review</x:v>
      </x:c>
    </x:row>
    <x:row r="48" ht="48" customHeight="1">
      <x:c r="A48" s="26" t="str">
        <x:v>REUTERS_ANN_00894</x:v>
      </x:c>
      <x:c r="B48" s="28" t="n">
        <x:v>39087</x:v>
      </x:c>
      <x:c r="C48" s="26" t="n">
        <x:v>0</x:v>
      </x:c>
      <x:c r="D48" s="26" t="str">
        <x:v>neutral</x:v>
      </x:c>
      <x:c r="E48" s="30" t="n">
        <x:v>0.6294263005256653</x:v>
      </x:c>
      <x:c r="F48" s="26" t="str">
        <x:v>gains hinge on deals, pre-announcements</x:v>
      </x:c>
      <x:c r="G48" s="26" t="str">
        <x:v>Kazançlar anlaşmalara ve ön açıklamalara bağlı olacak.</x:v>
      </x:c>
      <x:c r="H48" s="26" t="str">
        <x:v>neutral</x:v>
      </x:c>
      <x:c r="I48" s="26" t="n">
        <x:v>0</x:v>
      </x:c>
      <x:c r="J48" s="32" t="n">
        <x:v>0.76</x:v>
      </x:c>
      <x:c r="K48" s="26" t="str">
        <x:v>Piyasa yönü belirsiz; olumlu gelişmelere bağımlı koşullu ifade.</x:v>
      </x:c>
      <x:c r="L48" s="26" t="str">
        <x:f>IF(D48=H48,"same","different")</x:f>
        <x:v>same</x:v>
      </x:c>
      <x:c r="M48" s="26" t="str">
        <x:f>IF(L48="different","review","")</x:f>
      </x:c>
    </x:row>
    <x:row r="49" ht="48" customHeight="1">
      <x:c r="A49" s="26" t="str">
        <x:v>REUTERS_ANN_00895</x:v>
      </x:c>
      <x:c r="B49" s="28" t="n">
        <x:v>39155</x:v>
      </x:c>
      <x:c r="C49" s="26" t="n">
        <x:v>1</x:v>
      </x:c>
      <x:c r="D49" s="26" t="str">
        <x:v>positive</x:v>
      </x:c>
      <x:c r="E49" s="30" t="n">
        <x:v>0.7428998351097107</x:v>
      </x:c>
      <x:c r="F49" s="26" t="str">
        <x:v>merrill lynch gets russia brokerage license</x:v>
      </x:c>
      <x:c r="G49" s="26" t="str">
        <x:v>Merrill Lynch Rusya’da aracı kurum lisansı aldı.</x:v>
      </x:c>
      <x:c r="H49" s="26" t="str">
        <x:v>positive</x:v>
      </x:c>
      <x:c r="I49" s="26" t="n">
        <x:v>1</x:v>
      </x:c>
      <x:c r="J49" s="32" t="n">
        <x:v>0.84</x:v>
      </x:c>
      <x:c r="K49" s="26" t="str">
        <x:v>Yeni lisans coğrafi genişleme ve iş fırsatı sağlar.</x:v>
      </x:c>
      <x:c r="L49" s="26" t="str">
        <x:f>IF(D49=H49,"same","different")</x:f>
        <x:v>same</x:v>
      </x:c>
      <x:c r="M49" s="26" t="str">
        <x:f>IF(L49="different","review","")</x:f>
      </x:c>
    </x:row>
    <x:row r="50" ht="48" customHeight="1">
      <x:c r="A50" s="26" t="str">
        <x:v>REUTERS_ANN_00896</x:v>
      </x:c>
      <x:c r="B50" s="28" t="n">
        <x:v>39196</x:v>
      </x:c>
      <x:c r="C50" s="26" t="n">
        <x:v>0</x:v>
      </x:c>
      <x:c r="D50" s="26" t="str">
        <x:v>neutral</x:v>
      </x:c>
      <x:c r="E50" s="30" t="n">
        <x:v>0.8990880250930786</x:v>
      </x:c>
      <x:c r="F50" s="26" t="str">
        <x:v>chinese pirates beat spider-man to the punch</x:v>
      </x:c>
      <x:c r="G50" s="26" t="str">
        <x:v>Çinli korsanlar Spider-Man’i resmi gösterimden önce piyasaya sürdü.</x:v>
      </x:c>
      <x:c r="H50" s="26" t="str">
        <x:v>negative</x:v>
      </x:c>
      <x:c r="I50" s="26" t="n">
        <x:v>-1</x:v>
      </x:c>
      <x:c r="J50" s="32" t="n">
        <x:v>0.8</x:v>
      </x:c>
      <x:c r="K50" s="26" t="str">
        <x:v>Korsan içerik medya gelirleri ve telif hakları açısından olumsuz.</x:v>
      </x:c>
      <x:c r="L50" s="26" t="str">
        <x:f>IF(D50=H50,"same","different")</x:f>
        <x:v>different</x:v>
      </x:c>
      <x:c r="M50" s="26" t="str">
        <x:f>IF(L50="different","review","")</x:f>
        <x:v>review</x:v>
      </x:c>
    </x:row>
    <x:row r="51" ht="48" customHeight="1">
      <x:c r="A51" s="26" t="str">
        <x:v>REUTERS_ANN_00897</x:v>
      </x:c>
      <x:c r="B51" s="28" t="n">
        <x:v>39161</x:v>
      </x:c>
      <x:c r="C51" s="26" t="n">
        <x:v>0</x:v>
      </x:c>
      <x:c r="D51" s="26" t="str">
        <x:v>neutral</x:v>
      </x:c>
      <x:c r="E51" s="30" t="n">
        <x:v>0.862554132938385</x:v>
      </x:c>
      <x:c r="F51" s="26" t="str">
        <x:v>fed to keep rates steady amid subprime woes</x:v>
      </x:c>
      <x:c r="G51" s="26" t="str">
        <x:v>Fed, subprime sorunlarına rağmen faizleri sabit tutacak.</x:v>
      </x:c>
      <x:c r="H51" s="26" t="str">
        <x:v>neutral</x:v>
      </x:c>
      <x:c r="I51" s="26" t="n">
        <x:v>0</x:v>
      </x:c>
      <x:c r="J51" s="32" t="n">
        <x:v>0.79</x:v>
      </x:c>
      <x:c r="K51" s="26" t="str">
        <x:v>Faizlerin sabit kalması nötr; subprime riski olsa da karar yönü dengeli.</x:v>
      </x:c>
      <x:c r="L51" s="26" t="str">
        <x:f>IF(D51=H51,"same","different")</x:f>
        <x:v>same</x:v>
      </x:c>
      <x:c r="M51" s="26" t="str">
        <x:f>IF(L51="different","review","")</x:f>
      </x:c>
    </x:row>
    <x:row r="52" ht="48" customHeight="1">
      <x:c r="A52" s="26" t="str">
        <x:v>REUTERS_ANN_00898</x:v>
      </x:c>
      <x:c r="B52" s="28" t="n">
        <x:v>39052</x:v>
      </x:c>
      <x:c r="C52" s="26" t="n">
        <x:v>1</x:v>
      </x:c>
      <x:c r="D52" s="26" t="str">
        <x:v>positive</x:v>
      </x:c>
      <x:c r="E52" s="30" t="n">
        <x:v>0.8306218385696411</x:v>
      </x:c>
      <x:c r="F52" s="26" t="str">
        <x:v>eads close to deal on airbus a350 launch</x:v>
      </x:c>
      <x:c r="G52" s="26" t="str">
        <x:v>EADS, Airbus A350’nin lansmanı için anlaşmaya yakın.</x:v>
      </x:c>
      <x:c r="H52" s="26" t="str">
        <x:v>positive</x:v>
      </x:c>
      <x:c r="I52" s="26" t="n">
        <x:v>1</x:v>
      </x:c>
      <x:c r="J52" s="32" t="n">
        <x:v>0.86</x:v>
      </x:c>
      <x:c r="K52" s="26" t="str">
        <x:v>Yeni uçak programının ilerlemesi şirket için stratejik olumlu sinyal.</x:v>
      </x:c>
      <x:c r="L52" s="26" t="str">
        <x:f>IF(D52=H52,"same","different")</x:f>
        <x:v>same</x:v>
      </x:c>
      <x:c r="M52" s="26" t="str">
        <x:f>IF(L52="different","review","")</x:f>
      </x:c>
    </x:row>
    <x:row r="53" ht="48" customHeight="1">
      <x:c r="A53" s="26" t="str">
        <x:v>REUTERS_ANN_00899</x:v>
      </x:c>
      <x:c r="B53" s="28" t="n">
        <x:v>39100</x:v>
      </x:c>
      <x:c r="C53" s="26" t="n">
        <x:v>1</x:v>
      </x:c>
      <x:c r="D53" s="26" t="str">
        <x:v>positive</x:v>
      </x:c>
      <x:c r="E53" s="30" t="n">
        <x:v>0.9120521545410156</x:v>
      </x:c>
      <x:c r="F53" s="26" t="str">
        <x:v>merrill eyes $4 bln property financing in japan tie</x:v>
      </x:c>
      <x:c r="G53" s="26" t="str">
        <x:v>Merrill, Japonya’daki ortaklıkta 4 milyar dolarlık gayrimenkul finansmanı hedefliyor.</x:v>
      </x:c>
      <x:c r="H53" s="26" t="str">
        <x:v>positive</x:v>
      </x:c>
      <x:c r="I53" s="26" t="n">
        <x:v>1</x:v>
      </x:c>
      <x:c r="J53" s="32" t="n">
        <x:v>0.82</x:v>
      </x:c>
      <x:c r="K53" s="26" t="str">
        <x:v>Büyük finansman planı ve ortaklık potansiyel gelir/büyüme sinyali taşır.</x:v>
      </x:c>
      <x:c r="L53" s="26" t="str">
        <x:f>IF(D53=H53,"same","different")</x:f>
        <x:v>same</x:v>
      </x:c>
      <x:c r="M53" s="26" t="str">
        <x:f>IF(L53="different","review","")</x:f>
      </x:c>
    </x:row>
    <x:row r="54" ht="48" customHeight="1">
      <x:c r="A54" s="26" t="str">
        <x:v>REUTERS_ANN_00900</x:v>
      </x:c>
      <x:c r="B54" s="28" t="n">
        <x:v>39181</x:v>
      </x:c>
      <x:c r="C54" s="26" t="n">
        <x:v>1</x:v>
      </x:c>
      <x:c r="D54" s="26" t="str">
        <x:v>positive</x:v>
      </x:c>
      <x:c r="E54" s="30" t="n">
        <x:v>0.618853747844696</x:v>
      </x:c>
      <x:c r="F54" s="26" t="str">
        <x:v>gas club seeks more clout, but not yet an opec</x:v>
      </x:c>
      <x:c r="G54" s="26" t="str">
        <x:v>Gaz kulübü daha fazla etki istiyor, ancak henüz bir OPEC değil.</x:v>
      </x:c>
      <x:c r="H54" s="26" t="str">
        <x:v>neutral</x:v>
      </x:c>
      <x:c r="I54" s="26" t="n">
        <x:v>0</x:v>
      </x:c>
      <x:c r="J54" s="32" t="n">
        <x:v>0.78</x:v>
      </x:c>
      <x:c r="K54" s="26" t="str">
        <x:v>Enerji politikası/örgütlenme haberi; şirket veya piyasa yönü net değil.</x:v>
      </x:c>
      <x:c r="L54" s="26" t="str">
        <x:f>IF(D54=H54,"same","different")</x:f>
        <x:v>different</x:v>
      </x:c>
      <x:c r="M54" s="26" t="str">
        <x:f>IF(L54="different","review","")</x:f>
        <x:v>review</x:v>
      </x:c>
    </x:row>
  </x:sheetData>
  <x:mergeCells>
    <x:mergeCell ref="A1:M1"/>
    <x:mergeCell ref="A2:M2"/>
  </x:mergeCells>
  <x:conditionalFormatting sqref="H5:H54">
    <x:cfRule type="expression" dxfId="0" priority="1">
      <x:formula>H5="positive"</x:formula>
    </x:cfRule>
    <x:cfRule type="expression" dxfId="1" priority="2">
      <x:formula>H5="negative"</x:formula>
    </x:cfRule>
    <x:cfRule type="expression" dxfId="2" priority="3">
      <x:formula>H5="neutral"</x:formula>
    </x:cfRule>
  </x:conditionalFormatting>
  <x:conditionalFormatting sqref="L5:L54">
    <x:cfRule type="expression" dxfId="3" priority="4">
      <x:formula>L5="different"</x:formula>
    </x:cfRule>
  </x:conditionalFormatting>
  <x:dataValidations count="1">
    <x:dataValidation type="list" sqref="H5:H54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4a6ff200df438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5" t="str">
        <x:v>REUTERS Batch 018 Summary</x:v>
      </x:c>
      <x:c r="B1" s="5" t="str"/>
      <x:c r="C1" s="5" t="str"/>
      <x:c r="D1" s="5" t="str"/>
      <x:c r="E1" s="5" t="str"/>
      <x:c r="F1" s="5" t="str"/>
    </x:row>
    <x:row r="3">
      <x:c r="A3" s="20" t="str">
        <x:v>Metric</x:v>
      </x:c>
      <x:c r="B3" s="20" t="str">
        <x:v>Value</x:v>
      </x:c>
      <x:c r="D3" s="20" t="str">
        <x:v>Label</x:v>
      </x:c>
      <x:c r="E3" s="20" t="str">
        <x:v>Count</x:v>
      </x:c>
    </x:row>
    <x:row r="4">
      <x:c r="A4" t="str">
        <x:v>Total rows</x:v>
      </x:c>
      <x:c r="B4" t="n">
        <x:v>50</x:v>
      </x:c>
      <x:c r="D4" t="str">
        <x:v>positive</x:v>
      </x:c>
      <x:c r="E4" t="n">
        <x:f>COUNTIF(annotations!H5:H54,"positive")</x:f>
        <x:v>23</x:v>
      </x:c>
    </x:row>
    <x:row r="5">
      <x:c r="A5" t="str">
        <x:v>Positive labels</x:v>
      </x:c>
      <x:c r="B5" t="n">
        <x:f>COUNTIF(annotations!H5:H54,"positive")</x:f>
        <x:v>23</x:v>
      </x:c>
      <x:c r="D5" t="str">
        <x:v>neutral</x:v>
      </x:c>
      <x:c r="E5" t="n">
        <x:f>COUNTIF(annotations!H5:H54,"neutral")</x:f>
        <x:v>15</x:v>
      </x:c>
    </x:row>
    <x:row r="6">
      <x:c r="A6" t="str">
        <x:v>Neutral labels</x:v>
      </x:c>
      <x:c r="B6" t="n">
        <x:f>COUNTIF(annotations!H5:H54,"neutral")</x:f>
        <x:v>15</x:v>
      </x:c>
      <x:c r="D6" t="str">
        <x:v>negative</x:v>
      </x:c>
      <x:c r="E6" t="n">
        <x:f>COUNTIF(annotations!H5:H54,"negative")</x:f>
        <x:v>12</x:v>
      </x:c>
    </x:row>
    <x:row r="7">
      <x:c r="A7" t="str">
        <x:v>Negative labels</x:v>
      </x:c>
      <x:c r="B7" t="n">
        <x:f>COUNTIF(annotations!H5:H54,"negative")</x:f>
        <x:v>12</x:v>
      </x:c>
    </x:row>
    <x:row r="8">
      <x:c r="A8" t="str">
        <x:v>FinBERT same</x:v>
      </x:c>
      <x:c r="B8" t="n">
        <x:f>COUNTIF(annotations!L5:L54,"same")</x:f>
        <x:v>31</x:v>
      </x:c>
    </x:row>
    <x:row r="10">
      <x:c r="A10" s="36" t="str">
        <x:v>FinBERT different / review</x:v>
      </x:c>
      <x:c r="B10" s="36" t="n">
        <x:f>COUNTIF(annotations!L5:L54,"different")</x:f>
        <x:v>19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35dd393e0c08497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0" hidden="0" customWidth="1"/>
  </x:cols>
  <x:sheetData>
    <x:row r="1">
      <x:c r="A1" s="5" t="str">
        <x:v>Labeling Notes</x:v>
      </x:c>
      <x:c r="B1" s="5" t="str"/>
    </x:row>
    <x:row r="3">
      <x:c r="A3" s="20" t="str">
        <x:v>Field</x:v>
      </x:c>
      <x:c r="B3" s="20" t="str">
        <x:v>Description</x:v>
      </x:c>
    </x:row>
    <x:row r="4">
      <x:c r="A4" s="26" t="str">
        <x:v>text_tr</x:v>
      </x:c>
      <x:c r="B4" s="26" t="str">
        <x:v>İngilizce Reuters başlığının Türkçe çevirisi.</x:v>
      </x:c>
    </x:row>
    <x:row r="5">
      <x:c r="A5" s="26" t="str">
        <x:v>chatgpt_label</x:v>
      </x:c>
      <x:c r="B5" s="26" t="str">
        <x:v>Başlığın finansal/piyasa etkisine göre nihai etiket: positive, neutral, negative.</x:v>
      </x:c>
    </x:row>
    <x:row r="6">
      <x:c r="A6" s="26" t="str">
        <x:v>chatgpt_confidence</x:v>
      </x:c>
      <x:c r="B6" s="26" t="str">
        <x:v>0-1 arası yaklaşık güven skoru; başlık açık değilse daha düşük tutuldu.</x:v>
      </x:c>
    </x:row>
    <x:row r="7">
      <x:c r="A7" s="26" t="str">
        <x:v>chatgpt_reason_tr</x:v>
      </x:c>
      <x:c r="B7" s="26" t="str">
        <x:v>Etiket kararının kısa Türkçe gerekçesi.</x:v>
      </x:c>
    </x:row>
    <x:row r="8">
      <x:c r="A8" s="26" t="str">
        <x:v>finbert_match</x:v>
      </x:c>
      <x:c r="B8" s="26" t="str">
        <x:v>FinBERT etiketi ile ChatGPT etiketinin aynı olup olmadığını formülle gösterir.</x:v>
      </x:c>
    </x:row>
    <x:row r="9">
      <x:c r="A9" s="26" t="str">
        <x:v>review_note</x:v>
      </x:c>
      <x:c r="B9" s="26" t="str">
        <x:v>Farklı etiketlenen satırlar için review işareti bırakır.</x:v>
      </x:c>
    </x:row>
  </x:sheetData>
  <x:mergeCells>
    <x:mergeCell ref="A1:B1"/>
  </x:mergeCells>
  <x:pageMargins left="0.7" right="0.7" top="0.75" bottom="0.75" header="0.3" footer="0.3"/>
</x:worksheet>
</file>