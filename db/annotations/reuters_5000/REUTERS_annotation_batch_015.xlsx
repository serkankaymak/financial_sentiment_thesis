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5de18b9cc4e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efee361c75714fec"/>
    <x:sheet xmlns:r="http://schemas.openxmlformats.org/officeDocument/2006/relationships" name="summary" sheetId="2" r:id="Rc1564f301f674259"/>
    <x:sheet xmlns:r="http://schemas.openxmlformats.org/officeDocument/2006/relationships" name="labeling_notes" sheetId="3" r:id="R272242da778d4b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E5E7EB"/>
        </x:patternFill>
      </x:fill>
    </x:dxf>
    <x:dxf>
      <x:font>
        <x:b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e1ef82a1bd448c" /><Relationship Type="http://schemas.openxmlformats.org/officeDocument/2006/relationships/theme" Target="/xl/theme/theme1.xml" Id="Red9985dd66a541ee" /><Relationship Type="http://schemas.openxmlformats.org/officeDocument/2006/relationships/sharedStrings" Target="/xl/sharedStrings.xml" Id="R7c51c9f7bb4e44b0" /><Relationship Type="http://schemas.openxmlformats.org/officeDocument/2006/relationships/worksheet" Target="/xl/worksheets/sheet1.xml" Id="Refee361c75714fec" /><Relationship Type="http://schemas.openxmlformats.org/officeDocument/2006/relationships/worksheet" Target="/xl/worksheets/sheet2.xml" Id="Rc1564f301f674259" /><Relationship Type="http://schemas.openxmlformats.org/officeDocument/2006/relationships/worksheet" Target="/xl/worksheets/sheet3.xml" Id="R272242da778d4b44" /></Relationships>
</file>

<file path=xl/tables/table1.xml><?xml version="1.0" encoding="utf-8"?>
<x:table xmlns:x="http://schemas.openxmlformats.org/spreadsheetml/2006/main" id="1" name="ReutersBatch015Table" displayName="ReutersBatch015Table" ref="A1:L51" headerRowCount="1">
  <x:tableColumns count="12">
    <x:tableColumn id="1" name="annotation_id"/>
    <x:tableColumn id="2" name="date"/>
    <x:tableColumn id="3" name="finbert_score"/>
    <x:tableColumn id="4" name="finbert_label"/>
    <x:tableColumn id="5" name="finbert_confidence"/>
    <x:tableColumn id="6" name="text"/>
    <x:tableColumn id="7" name="text_tr"/>
    <x:tableColumn id="8" name="chatgpt_label"/>
    <x:tableColumn id="9" name="chatgpt_confidence"/>
    <x:tableColumn id="10" name="chatgpt_reason_tr"/>
    <x:tableColumn id="11" name="finbert_match"/>
    <x:tableColumn id="12" name="revie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5ca7f0bf9448d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2" hidden="0" customWidth="1"/>
    <x:col min="4" max="4" width="14" hidden="0" customWidth="1"/>
    <x:col min="5" max="5" width="16" hidden="0" customWidth="1"/>
    <x:col min="6" max="6" width="42" hidden="0" customWidth="1"/>
    <x:col min="7" max="7" width="48" hidden="0" customWidth="1"/>
    <x:col min="8" max="8" width="14" hidden="0" customWidth="1"/>
    <x:col min="9" max="9" width="16" hidden="0" customWidth="1"/>
    <x:col min="10" max="10" width="46" hidden="0" customWidth="1"/>
    <x:col min="11" max="11" width="18" hidden="0" customWidth="1"/>
    <x:col min="12" max="12" width="22" hidden="0" customWidth="1"/>
  </x:cols>
  <x:sheetData>
    <x:row r="1">
      <x:c r="A1" s="20" t="str">
        <x:v>annotation_id</x:v>
      </x:c>
      <x:c r="B1" s="20" t="str">
        <x:v>date</x:v>
      </x:c>
      <x:c r="C1" s="20" t="str">
        <x:v>finbert_score</x:v>
      </x:c>
      <x:c r="D1" s="20" t="str">
        <x:v>finbert_label</x:v>
      </x:c>
      <x:c r="E1" s="20" t="str">
        <x:v>finbert_confidence</x:v>
      </x:c>
      <x:c r="F1" s="20" t="str">
        <x:v>text</x:v>
      </x:c>
      <x:c r="G1" s="20" t="str">
        <x:v>text_tr</x:v>
      </x:c>
      <x:c r="H1" s="20" t="str">
        <x:v>chatgpt_label</x:v>
      </x:c>
      <x:c r="I1" s="20" t="str">
        <x:v>chatgpt_confidence</x:v>
      </x:c>
      <x:c r="J1" s="20" t="str">
        <x:v>chatgpt_reason_tr</x:v>
      </x:c>
      <x:c r="K1" s="20" t="str">
        <x:v>finbert_match</x:v>
      </x:c>
      <x:c r="L1" s="20" t="str">
        <x:v>review_note</x:v>
      </x:c>
    </x:row>
    <x:row r="2">
      <x:c r="A2" s="21" t="str">
        <x:v>REUTERS_ANN_00701</x:v>
      </x:c>
      <x:c r="B2" s="22" t="n">
        <x:v>39197</x:v>
      </x:c>
      <x:c r="C2" s="21" t="n">
        <x:v>1</x:v>
      </x:c>
      <x:c r="D2" s="21" t="str">
        <x:v>positive</x:v>
      </x:c>
      <x:c r="E2" s="23" t="n">
        <x:v>0.9499788880348206</x:v>
      </x:c>
      <x:c r="F2" s="21" t="str">
        <x:v>conocophillips profit rises on gains from sales</x:v>
      </x:c>
      <x:c r="G2" s="21" t="str">
        <x:v>ConocoPhillips’in kârı, satışlardan elde edilen kazançların etkisiyle yükseldi.</x:v>
      </x:c>
      <x:c r="H2" s="21" t="str">
        <x:v>positive</x:v>
      </x:c>
      <x:c r="I2" s="24" t="n">
        <x:v>0.9</x:v>
      </x:c>
      <x:c r="J2" s="21" t="str">
        <x:v>Kâr artışı ve satış kazancı şirket açısından olumlu sinyal.</x:v>
      </x:c>
      <x:c r="K2" s="21" t="str">
        <x:f>IF(D2=H2,"same","different/review")</x:f>
        <x:v>same</x:v>
      </x:c>
      <x:c r="L2" s="21" t="str"/>
    </x:row>
    <x:row r="3">
      <x:c r="A3" s="21" t="str">
        <x:v>REUTERS_ANN_00702</x:v>
      </x:c>
      <x:c r="B3" s="22" t="n">
        <x:v>39181</x:v>
      </x:c>
      <x:c r="C3" s="21" t="n">
        <x:v>1</x:v>
      </x:c>
      <x:c r="D3" s="21" t="str">
        <x:v>positive</x:v>
      </x:c>
      <x:c r="E3" s="23" t="n">
        <x:v>0.9509814381599426</x:v>
      </x:c>
      <x:c r="F3" s="21" t="str">
        <x:v>medimmune sees profit nearly tripling</x:v>
      </x:c>
      <x:c r="G3" s="21" t="str">
        <x:v>MedImmune kârının neredeyse üç katına çıkacağını öngörüyor.</x:v>
      </x:c>
      <x:c r="H3" s="21" t="str">
        <x:v>positive</x:v>
      </x:c>
      <x:c r="I3" s="24" t="n">
        <x:v>0.92</x:v>
      </x:c>
      <x:c r="J3" s="21" t="str">
        <x:v>Kârda çok güçlü artış beklentisi açık biçimde olumlu.</x:v>
      </x:c>
      <x:c r="K3" s="21" t="str">
        <x:f>IF(D3=H3,"same","different/review")</x:f>
        <x:v>same</x:v>
      </x:c>
      <x:c r="L3" s="21" t="str"/>
    </x:row>
    <x:row r="4">
      <x:c r="A4" s="21" t="str">
        <x:v>REUTERS_ANN_00703</x:v>
      </x:c>
      <x:c r="B4" s="22" t="n">
        <x:v>39022</x:v>
      </x:c>
      <x:c r="C4" s="21" t="n">
        <x:v>0</x:v>
      </x:c>
      <x:c r="D4" s="21" t="str">
        <x:v>neutral</x:v>
      </x:c>
      <x:c r="E4" s="23" t="n">
        <x:v>0.950871765613556</x:v>
      </x:c>
      <x:c r="F4" s="21" t="str">
        <x:v>mattels barbie to partner with cosmetics co. mac</x:v>
      </x:c>
      <x:c r="G4" s="21" t="str">
        <x:v>Mattel’in Barbie markası kozmetik şirketi MAC ile ortaklık kuracak.</x:v>
      </x:c>
      <x:c r="H4" s="21" t="str">
        <x:v>neutral</x:v>
      </x:c>
      <x:c r="I4" s="24" t="n">
        <x:v>0.78</x:v>
      </x:c>
      <x:c r="J4" s="21" t="str">
        <x:v>Ortaklık haberi var ancak finansal etki net belirtilmiyor.</x:v>
      </x:c>
      <x:c r="K4" s="21" t="str">
        <x:f>IF(D4=H4,"same","different/review")</x:f>
        <x:v>same</x:v>
      </x:c>
      <x:c r="L4" s="21" t="str"/>
    </x:row>
    <x:row r="5">
      <x:c r="A5" s="21" t="str">
        <x:v>REUTERS_ANN_00704</x:v>
      </x:c>
      <x:c r="B5" s="22" t="n">
        <x:v>39153</x:v>
      </x:c>
      <x:c r="C5" s="21" t="n">
        <x:v>0</x:v>
      </x:c>
      <x:c r="D5" s="21" t="str">
        <x:v>neutral</x:v>
      </x:c>
      <x:c r="E5" s="23" t="n">
        <x:v>0.9241113662719728</x:v>
      </x:c>
      <x:c r="F5" s="21" t="str">
        <x:v>procter gamble to sell international unit to sca</x:v>
      </x:c>
      <x:c r="G5" s="21" t="str">
        <x:v>Procter &amp; Gamble uluslararası birimini SCA’ya satacak.</x:v>
      </x:c>
      <x:c r="H5" s="21" t="str">
        <x:v>neutral</x:v>
      </x:c>
      <x:c r="I5" s="24" t="n">
        <x:v>0.76</x:v>
      </x:c>
      <x:c r="J5" s="21" t="str">
        <x:v>Varlık satışı bilgisi; kazanç ya da zarar etkisi başlıkta net değil.</x:v>
      </x:c>
      <x:c r="K5" s="21" t="str">
        <x:f>IF(D5=H5,"same","different/review")</x:f>
        <x:v>same</x:v>
      </x:c>
      <x:c r="L5" s="21" t="str"/>
    </x:row>
    <x:row r="6">
      <x:c r="A6" s="21" t="str">
        <x:v>REUTERS_ANN_00705</x:v>
      </x:c>
      <x:c r="B6" s="22" t="n">
        <x:v>39048</x:v>
      </x:c>
      <x:c r="C6" s="21" t="n">
        <x:v>1</x:v>
      </x:c>
      <x:c r="D6" s="21" t="str">
        <x:v>positive</x:v>
      </x:c>
      <x:c r="E6" s="23" t="n">
        <x:v>0.9081525802612304</x:v>
      </x:c>
      <x:c r="F6" s="21" t="str">
        <x:v>swift rejects $2.2bln buyout offer, stock rises</x:v>
      </x:c>
      <x:c r="G6" s="21" t="str">
        <x:v>Swift 2,2 milyar dolarlık satın alma teklifini reddetti, hisse yükseldi.</x:v>
      </x:c>
      <x:c r="H6" s="21" t="str">
        <x:v>positive</x:v>
      </x:c>
      <x:c r="I6" s="24" t="n">
        <x:v>0.84</x:v>
      </x:c>
      <x:c r="J6" s="21" t="str">
        <x:v>Hissenin yükselmesi ve değerleme ilgisi olumlu piyasa tepkisi veriyor.</x:v>
      </x:c>
      <x:c r="K6" s="21" t="str">
        <x:f>IF(D6=H6,"same","different/review")</x:f>
        <x:v>same</x:v>
      </x:c>
      <x:c r="L6" s="21" t="str"/>
    </x:row>
    <x:row r="7">
      <x:c r="A7" s="21" t="str">
        <x:v>REUTERS_ANN_00706</x:v>
      </x:c>
      <x:c r="B7" s="22" t="n">
        <x:v>39017</x:v>
      </x:c>
      <x:c r="C7" s="21" t="n">
        <x:v>1</x:v>
      </x:c>
      <x:c r="D7" s="21" t="str">
        <x:v>positive</x:v>
      </x:c>
      <x:c r="E7" s="23" t="n">
        <x:v>0.9501440525054932</x:v>
      </x:c>
      <x:c r="F7" s="21" t="str">
        <x:v>fortune brands affirms full-yr target</x:v>
      </x:c>
      <x:c r="G7" s="21" t="str">
        <x:v>Fortune Brands tam yıl hedefini teyit etti.</x:v>
      </x:c>
      <x:c r="H7" s="21" t="str">
        <x:v>positive</x:v>
      </x:c>
      <x:c r="I7" s="24" t="n">
        <x:v>0.86</x:v>
      </x:c>
      <x:c r="J7" s="21" t="str">
        <x:v>Şirketin hedeflerini koruması güven verici ve olumlu.</x:v>
      </x:c>
      <x:c r="K7" s="21" t="str">
        <x:f>IF(D7=H7,"same","different/review")</x:f>
        <x:v>same</x:v>
      </x:c>
      <x:c r="L7" s="21" t="str"/>
    </x:row>
    <x:row r="8">
      <x:c r="A8" s="21" t="str">
        <x:v>REUTERS_ANN_00707</x:v>
      </x:c>
      <x:c r="B8" s="22" t="n">
        <x:v>39111</x:v>
      </x:c>
      <x:c r="C8" s="21" t="n">
        <x:v>0</x:v>
      </x:c>
      <x:c r="D8" s="21" t="str">
        <x:v>neutral</x:v>
      </x:c>
      <x:c r="E8" s="23" t="n">
        <x:v>0.8622087836265564</x:v>
      </x:c>
      <x:c r="F8" s="21" t="str">
        <x:v>citic pacific may book $231 mln from spinoff paper</x:v>
      </x:c>
      <x:c r="G8" s="21" t="str">
        <x:v>Gazeteye göre Citic Pacific bölünmeden 231 milyon dolar yazabilir.</x:v>
      </x:c>
      <x:c r="H8" s="21" t="str">
        <x:v>positive</x:v>
      </x:c>
      <x:c r="I8" s="24" t="n">
        <x:v>0.66</x:v>
      </x:c>
      <x:c r="J8" s="21" t="str">
        <x:v>Olası muhasebe kazancı olumlu fakat haber kesin değil.</x:v>
      </x:c>
      <x:c r="K8" s="21" t="str">
        <x:f>IF(D8=H8,"same","different/review")</x:f>
        <x:v>different/review</x:v>
      </x:c>
      <x:c r="L8" s="21" t="str"/>
    </x:row>
    <x:row r="9">
      <x:c r="A9" s="21" t="str">
        <x:v>REUTERS_ANN_00708</x:v>
      </x:c>
      <x:c r="B9" s="22" t="n">
        <x:v>39091</x:v>
      </x:c>
      <x:c r="C9" s="21" t="n">
        <x:v>-1</x:v>
      </x:c>
      <x:c r="D9" s="21" t="str">
        <x:v>negative</x:v>
      </x:c>
      <x:c r="E9" s="23" t="n">
        <x:v>0.9688762426376344</x:v>
      </x:c>
      <x:c r="F9" s="21" t="str">
        <x:v>update 5-citigroup cuts back japan consumer finance offices</x:v>
      </x:c>
      <x:c r="G9" s="21" t="str">
        <x:v>Citigroup Japonya tüketici finansmanı ofislerini küçültüyor.</x:v>
      </x:c>
      <x:c r="H9" s="21" t="str">
        <x:v>negative</x:v>
      </x:c>
      <x:c r="I9" s="24" t="n">
        <x:v>0.88</x:v>
      </x:c>
      <x:c r="J9" s="21" t="str">
        <x:v>Ofis kapatma/küçültme operasyonel zayıflık ve mali baskı gösterir.</x:v>
      </x:c>
      <x:c r="K9" s="21" t="str">
        <x:f>IF(D9=H9,"same","different/review")</x:f>
        <x:v>same</x:v>
      </x:c>
      <x:c r="L9" s="21" t="str"/>
    </x:row>
    <x:row r="10">
      <x:c r="A10" s="21" t="str">
        <x:v>REUTERS_ANN_00709</x:v>
      </x:c>
      <x:c r="B10" s="22" t="n">
        <x:v>39147</x:v>
      </x:c>
      <x:c r="C10" s="21" t="n">
        <x:v>1</x:v>
      </x:c>
      <x:c r="D10" s="21" t="str">
        <x:v>positive</x:v>
      </x:c>
      <x:c r="E10" s="23" t="n">
        <x:v>0.6039859652519226</x:v>
      </x:c>
      <x:c r="F10" s="21" t="str">
        <x:v>citigroup bids $10.8 bln for broker nikko cordial</x:v>
      </x:c>
      <x:c r="G10" s="21" t="str">
        <x:v>Citigroup, aracı kurum Nikko Cordial için 10,8 milyar dolarlık teklif verdi.</x:v>
      </x:c>
      <x:c r="H10" s="21" t="str">
        <x:v>positive</x:v>
      </x:c>
      <x:c r="I10" s="24" t="n">
        <x:v>0.72</x:v>
      </x:c>
      <x:c r="J10" s="21" t="str">
        <x:v>Büyük satın alma teklifi büyüme/stratejik genişleme sinyali taşır.</x:v>
      </x:c>
      <x:c r="K10" s="21" t="str">
        <x:f>IF(D10=H10,"same","different/review")</x:f>
        <x:v>same</x:v>
      </x:c>
      <x:c r="L10" s="21" t="str"/>
    </x:row>
    <x:row r="11">
      <x:c r="A11" s="21" t="str">
        <x:v>REUTERS_ANN_00710</x:v>
      </x:c>
      <x:c r="B11" s="22" t="n">
        <x:v>39038</x:v>
      </x:c>
      <x:c r="C11" s="21" t="n">
        <x:v>1</x:v>
      </x:c>
      <x:c r="D11" s="21" t="str">
        <x:v>positive</x:v>
      </x:c>
      <x:c r="E11" s="23" t="n">
        <x:v>0.9381124377250672</x:v>
      </x:c>
      <x:c r="F11" s="21" t="str">
        <x:v>ford expects to keep doubling china sales</x:v>
      </x:c>
      <x:c r="G11" s="21" t="str">
        <x:v>Ford Çin satışlarını ikiye katlamaya devam etmeyi bekliyor.</x:v>
      </x:c>
      <x:c r="H11" s="21" t="str">
        <x:v>positive</x:v>
      </x:c>
      <x:c r="I11" s="24" t="n">
        <x:v>0.88</x:v>
      </x:c>
      <x:c r="J11" s="21" t="str">
        <x:v>Satış büyümesi beklentisi şirket için olumlu.</x:v>
      </x:c>
      <x:c r="K11" s="21" t="str">
        <x:f>IF(D11=H11,"same","different/review")</x:f>
        <x:v>same</x:v>
      </x:c>
      <x:c r="L11" s="21" t="str"/>
    </x:row>
    <x:row r="12">
      <x:c r="A12" s="21" t="str">
        <x:v>REUTERS_ANN_00711</x:v>
      </x:c>
      <x:c r="B12" s="22" t="n">
        <x:v>39197</x:v>
      </x:c>
      <x:c r="C12" s="21" t="n">
        <x:v>1</x:v>
      </x:c>
      <x:c r="D12" s="21" t="str">
        <x:v>positive</x:v>
      </x:c>
      <x:c r="E12" s="23" t="n">
        <x:v>0.9386468529701232</x:v>
      </x:c>
      <x:c r="F12" s="21" t="str">
        <x:v>raytheon net up on military sales forecast backed</x:v>
      </x:c>
      <x:c r="G12" s="21" t="str">
        <x:v>Raytheon’un net kârı askeri satışlarla arttı; tahminini korudu.</x:v>
      </x:c>
      <x:c r="H12" s="21" t="str">
        <x:v>positive</x:v>
      </x:c>
      <x:c r="I12" s="24" t="n">
        <x:v>0.91</x:v>
      </x:c>
      <x:c r="J12" s="21" t="str">
        <x:v>Kâr artışı ve görünümün korunması olumlu.</x:v>
      </x:c>
      <x:c r="K12" s="21" t="str">
        <x:f>IF(D12=H12,"same","different/review")</x:f>
        <x:v>same</x:v>
      </x:c>
      <x:c r="L12" s="21" t="str"/>
    </x:row>
    <x:row r="13">
      <x:c r="A13" s="21" t="str">
        <x:v>REUTERS_ANN_00712</x:v>
      </x:c>
      <x:c r="B13" s="22" t="n">
        <x:v>39020</x:v>
      </x:c>
      <x:c r="C13" s="21" t="n">
        <x:v>-1</x:v>
      </x:c>
      <x:c r="D13" s="21" t="str">
        <x:v>negative</x:v>
      </x:c>
      <x:c r="E13" s="23" t="n">
        <x:v>0.9724497199058532</x:v>
      </x:c>
      <x:c r="F13" s="21" t="str">
        <x:v>clear channel profit down but radio strong</x:v>
      </x:c>
      <x:c r="G13" s="21" t="str">
        <x:v>Clear Channel’ın kârı düştü ancak radyo bölümü güçlü kaldı.</x:v>
      </x:c>
      <x:c r="H13" s="21" t="str">
        <x:v>negative</x:v>
      </x:c>
      <x:c r="I13" s="24" t="n">
        <x:v>0.74</x:v>
      </x:c>
      <x:c r="J13" s="21" t="str">
        <x:v>Başlıkta kâr düşüşü baskın; olumlu alt detay ikincil.</x:v>
      </x:c>
      <x:c r="K13" s="21" t="str">
        <x:f>IF(D13=H13,"same","different/review")</x:f>
        <x:v>same</x:v>
      </x:c>
      <x:c r="L13" s="21" t="str"/>
    </x:row>
    <x:row r="14">
      <x:c r="A14" s="21" t="str">
        <x:v>REUTERS_ANN_00713</x:v>
      </x:c>
      <x:c r="B14" s="22" t="n">
        <x:v>39053</x:v>
      </x:c>
      <x:c r="C14" s="21" t="n">
        <x:v>-1</x:v>
      </x:c>
      <x:c r="D14" s="21" t="str">
        <x:v>negative</x:v>
      </x:c>
      <x:c r="E14" s="23" t="n">
        <x:v>0.8542346954345703</x:v>
      </x:c>
      <x:c r="F14" s="21" t="str">
        <x:v>berlin says france not blocking eads ownership deal</x:v>
      </x:c>
      <x:c r="G14" s="21" t="str">
        <x:v>Berlin, Fransa’nın EADS sahiplik anlaşmasını engellemediğini söyledi.</x:v>
      </x:c>
      <x:c r="H14" s="21" t="str">
        <x:v>neutral</x:v>
      </x:c>
      <x:c r="I14" s="24" t="n">
        <x:v>0.68</x:v>
      </x:c>
      <x:c r="J14" s="21" t="str">
        <x:v>Belirsizliği azaltan açıklama var ama doğrudan finansal sinyal sınırlı.</x:v>
      </x:c>
      <x:c r="K14" s="21" t="str">
        <x:f>IF(D14=H14,"same","different/review")</x:f>
        <x:v>different/review</x:v>
      </x:c>
      <x:c r="L14" s="21" t="str"/>
    </x:row>
    <x:row r="15">
      <x:c r="A15" s="21" t="str">
        <x:v>REUTERS_ANN_00714</x:v>
      </x:c>
      <x:c r="B15" s="22" t="n">
        <x:v>39128</x:v>
      </x:c>
      <x:c r="C15" s="21" t="n">
        <x:v>1</x:v>
      </x:c>
      <x:c r="D15" s="21" t="str">
        <x:v>positive</x:v>
      </x:c>
      <x:c r="E15" s="23" t="n">
        <x:v>0.9505906701087952</x:v>
      </x:c>
      <x:c r="F15" s="21" t="str">
        <x:v>biogen quarterly profit rises on higher drug sales</x:v>
      </x:c>
      <x:c r="G15" s="21" t="str">
        <x:v>Biogen’in çeyreklik kârı yüksek ilaç satışlarıyla arttı.</x:v>
      </x:c>
      <x:c r="H15" s="21" t="str">
        <x:v>positive</x:v>
      </x:c>
      <x:c r="I15" s="24" t="n">
        <x:v>0.92</x:v>
      </x:c>
      <x:c r="J15" s="21" t="str">
        <x:v>Kâr ve satış artışı güçlü olumlu sinyal.</x:v>
      </x:c>
      <x:c r="K15" s="21" t="str">
        <x:f>IF(D15=H15,"same","different/review")</x:f>
        <x:v>same</x:v>
      </x:c>
      <x:c r="L15" s="21" t="str"/>
    </x:row>
    <x:row r="16">
      <x:c r="A16" s="21" t="str">
        <x:v>REUTERS_ANN_00715</x:v>
      </x:c>
      <x:c r="B16" s="22" t="n">
        <x:v>39106</x:v>
      </x:c>
      <x:c r="C16" s="21" t="n">
        <x:v>1</x:v>
      </x:c>
      <x:c r="D16" s="21" t="str">
        <x:v>positive</x:v>
      </x:c>
      <x:c r="E16" s="23" t="n">
        <x:v>0.941510796546936</x:v>
      </x:c>
      <x:c r="F16" s="21" t="str">
        <x:v>cingular profit surges lifts att shares</x:v>
      </x:c>
      <x:c r="G16" s="21" t="str">
        <x:v>Cingular’ın kârı sıçradı ve AT&amp;T hisselerini yukarı taşıdı.</x:v>
      </x:c>
      <x:c r="H16" s="21" t="str">
        <x:v>positive</x:v>
      </x:c>
      <x:c r="I16" s="24" t="n">
        <x:v>0.93</x:v>
      </x:c>
      <x:c r="J16" s="21" t="str">
        <x:v>Kâr sıçraması ve hisse desteği açık olumlu.</x:v>
      </x:c>
      <x:c r="K16" s="21" t="str">
        <x:f>IF(D16=H16,"same","different/review")</x:f>
        <x:v>same</x:v>
      </x:c>
      <x:c r="L16" s="21" t="str"/>
    </x:row>
    <x:row r="17">
      <x:c r="A17" s="21" t="str">
        <x:v>REUTERS_ANN_00716</x:v>
      </x:c>
      <x:c r="B17" s="22" t="n">
        <x:v>39183</x:v>
      </x:c>
      <x:c r="C17" s="21" t="n">
        <x:v>0</x:v>
      </x:c>
      <x:c r="D17" s="21" t="str">
        <x:v>neutral</x:v>
      </x:c>
      <x:c r="E17" s="23" t="n">
        <x:v>0.8865286707878113</x:v>
      </x:c>
      <x:c r="F17" s="21" t="str">
        <x:v>nestle said to buy gerber business for $5 billion</x:v>
      </x:c>
      <x:c r="G17" s="21" t="str">
        <x:v>Nestle’nin Gerber işini 5 milyar dolara satın alacağı söylendi.</x:v>
      </x:c>
      <x:c r="H17" s="21" t="str">
        <x:v>neutral</x:v>
      </x:c>
      <x:c r="I17" s="24" t="n">
        <x:v>0.74</x:v>
      </x:c>
      <x:c r="J17" s="21" t="str">
        <x:v>Satın alma söylentisi var; etkisi ve kesinliği net değil.</x:v>
      </x:c>
      <x:c r="K17" s="21" t="str">
        <x:f>IF(D17=H17,"same","different/review")</x:f>
        <x:v>same</x:v>
      </x:c>
      <x:c r="L17" s="21" t="str"/>
    </x:row>
    <x:row r="18">
      <x:c r="A18" s="21" t="str">
        <x:v>REUTERS_ANN_00717</x:v>
      </x:c>
      <x:c r="B18" s="22" t="n">
        <x:v>39188</x:v>
      </x:c>
      <x:c r="C18" s="21" t="n">
        <x:v>1</x:v>
      </x:c>
      <x:c r="D18" s="21" t="str">
        <x:v>positive</x:v>
      </x:c>
      <x:c r="E18" s="23" t="n">
        <x:v>0.952311396598816</x:v>
      </x:c>
      <x:c r="F18" s="21" t="str">
        <x:v>abn gives early q1 numbers as merger talks intensify</x:v>
      </x:c>
      <x:c r="G18" s="21" t="str">
        <x:v>ABN, birleşme görüşmeleri yoğunlaşırken erken ilk çeyrek rakamlarını verdi.</x:v>
      </x:c>
      <x:c r="H18" s="21" t="str">
        <x:v>neutral</x:v>
      </x:c>
      <x:c r="I18" s="24" t="n">
        <x:v>0.65</x:v>
      </x:c>
      <x:c r="J18" s="21" t="str">
        <x:v>Birleşme süreci bilgisi; başlıkta net olumlu/olumsuz sonuç yok.</x:v>
      </x:c>
      <x:c r="K18" s="21" t="str">
        <x:f>IF(D18=H18,"same","different/review")</x:f>
        <x:v>different/review</x:v>
      </x:c>
      <x:c r="L18" s="21" t="str"/>
    </x:row>
    <x:row r="19">
      <x:c r="A19" s="21" t="str">
        <x:v>REUTERS_ANN_00718</x:v>
      </x:c>
      <x:c r="B19" s="22" t="n">
        <x:v>39042</x:v>
      </x:c>
      <x:c r="C19" s="21" t="n">
        <x:v>-1</x:v>
      </x:c>
      <x:c r="D19" s="21" t="str">
        <x:v>negative</x:v>
      </x:c>
      <x:c r="E19" s="23" t="n">
        <x:v>0.973055362701416</x:v>
      </x:c>
      <x:c r="F19" s="21" t="str">
        <x:v>advanced medical recalls contact lens solution</x:v>
      </x:c>
      <x:c r="G19" s="21" t="str">
        <x:v>Advanced Medical kontakt lens solüsyonunu geri çağırdı.</x:v>
      </x:c>
      <x:c r="H19" s="21" t="str">
        <x:v>negative</x:v>
      </x:c>
      <x:c r="I19" s="24" t="n">
        <x:v>0.92</x:v>
      </x:c>
      <x:c r="J19" s="21" t="str">
        <x:v>Ürün geri çağırma şirket ve itibar açısından olumsuz.</x:v>
      </x:c>
      <x:c r="K19" s="21" t="str">
        <x:f>IF(D19=H19,"same","different/review")</x:f>
        <x:v>same</x:v>
      </x:c>
      <x:c r="L19" s="21" t="str"/>
    </x:row>
    <x:row r="20">
      <x:c r="A20" s="21" t="str">
        <x:v>REUTERS_ANN_00719</x:v>
      </x:c>
      <x:c r="B20" s="22" t="n">
        <x:v>39127</x:v>
      </x:c>
      <x:c r="C20" s="21" t="n">
        <x:v>-1</x:v>
      </x:c>
      <x:c r="D20" s="21" t="str">
        <x:v>negative</x:v>
      </x:c>
      <x:c r="E20" s="23" t="n">
        <x:v>0.9625322222709656</x:v>
      </x:c>
      <x:c r="F20" s="21" t="str">
        <x:v>uaw calls chrysler restructuring devastating</x:v>
      </x:c>
      <x:c r="G20" s="21" t="str">
        <x:v>UAW, Chrysler yeniden yapılandırmasını yıkıcı olarak niteledi.</x:v>
      </x:c>
      <x:c r="H20" s="21" t="str">
        <x:v>negative</x:v>
      </x:c>
      <x:c r="I20" s="24" t="n">
        <x:v>0.9</x:v>
      </x:c>
      <x:c r="J20" s="21" t="str">
        <x:v>Sendikanın sert olumsuz değerlendirmesi ve yeniden yapılandırma riski baskın.</x:v>
      </x:c>
      <x:c r="K20" s="21" t="str">
        <x:f>IF(D20=H20,"same","different/review")</x:f>
        <x:v>same</x:v>
      </x:c>
      <x:c r="L20" s="21" t="str"/>
    </x:row>
    <x:row r="21">
      <x:c r="A21" s="21" t="str">
        <x:v>REUTERS_ANN_00720</x:v>
      </x:c>
      <x:c r="B21" s="22" t="n">
        <x:v>39047</x:v>
      </x:c>
      <x:c r="C21" s="21" t="n">
        <x:v>0</x:v>
      </x:c>
      <x:c r="D21" s="21" t="str">
        <x:v>neutral</x:v>
      </x:c>
      <x:c r="E21" s="23" t="n">
        <x:v>0.7777078151702881</x:v>
      </x:c>
      <x:c r="F21" s="21" t="str">
        <x:v>prosecutors approach siemens ceo as part of probe-source</x:v>
      </x:c>
      <x:c r="G21" s="21" t="str">
        <x:v>Kaynağa göre savcılar Siemens CEO’suna soruşturma kapsamında yaklaştı.</x:v>
      </x:c>
      <x:c r="H21" s="21" t="str">
        <x:v>negative</x:v>
      </x:c>
      <x:c r="I21" s="24" t="n">
        <x:v>0.82</x:v>
      </x:c>
      <x:c r="J21" s="21" t="str">
        <x:v>Soruşturma ve üst yönetim bağlantısı hukuki/itibari risk oluşturur.</x:v>
      </x:c>
      <x:c r="K21" s="21" t="str">
        <x:f>IF(D21=H21,"same","different/review")</x:f>
        <x:v>different/review</x:v>
      </x:c>
      <x:c r="L21" s="21" t="str"/>
    </x:row>
    <x:row r="22">
      <x:c r="A22" s="21" t="str">
        <x:v>REUTERS_ANN_00721</x:v>
      </x:c>
      <x:c r="B22" s="22" t="n">
        <x:v>39066</x:v>
      </x:c>
      <x:c r="C22" s="21" t="n">
        <x:v>1</x:v>
      </x:c>
      <x:c r="D22" s="21" t="str">
        <x:v>positive</x:v>
      </x:c>
      <x:c r="E22" s="23" t="n">
        <x:v>0.6079034805297852</x:v>
      </x:c>
      <x:c r="F22" s="21" t="str">
        <x:v>f-35 fighter wraps up first test flight</x:v>
      </x:c>
      <x:c r="G22" s="21" t="str">
        <x:v>F-35 savaş uçağı ilk test uçuşunu tamamladı.</x:v>
      </x:c>
      <x:c r="H22" s="21" t="str">
        <x:v>positive</x:v>
      </x:c>
      <x:c r="I22" s="24" t="n">
        <x:v>0.74</x:v>
      </x:c>
      <x:c r="J22" s="21" t="str">
        <x:v>Başarılı test uçuşu savunma projesi açısından olumlu ilerleme.</x:v>
      </x:c>
      <x:c r="K22" s="21" t="str">
        <x:f>IF(D22=H22,"same","different/review")</x:f>
        <x:v>same</x:v>
      </x:c>
      <x:c r="L22" s="21" t="str"/>
    </x:row>
    <x:row r="23">
      <x:c r="A23" s="21" t="str">
        <x:v>REUTERS_ANN_00722</x:v>
      </x:c>
      <x:c r="B23" s="22" t="n">
        <x:v>39043</x:v>
      </x:c>
      <x:c r="C23" s="21" t="n">
        <x:v>-1</x:v>
      </x:c>
      <x:c r="D23" s="21" t="str">
        <x:v>negative</x:v>
      </x:c>
      <x:c r="E23" s="23" t="n">
        <x:v>0.9700108170509338</x:v>
      </x:c>
      <x:c r="F23" s="21" t="str">
        <x:v>oil falls after big rise in u.s. crude stocks</x:v>
      </x:c>
      <x:c r="G23" s="21" t="str">
        <x:v>ABD ham petrol stoklarındaki büyük artışın ardından petrol düştü.</x:v>
      </x:c>
      <x:c r="H23" s="21" t="str">
        <x:v>negative</x:v>
      </x:c>
      <x:c r="I23" s="24" t="n">
        <x:v>0.86</x:v>
      </x:c>
      <x:c r="J23" s="21" t="str">
        <x:v>Emtia fiyat düşüşü enerji piyasası açısından olumsuz sinyal.</x:v>
      </x:c>
      <x:c r="K23" s="21" t="str">
        <x:f>IF(D23=H23,"same","different/review")</x:f>
        <x:v>same</x:v>
      </x:c>
      <x:c r="L23" s="21" t="str"/>
    </x:row>
    <x:row r="24">
      <x:c r="A24" s="21" t="str">
        <x:v>REUTERS_ANN_00723</x:v>
      </x:c>
      <x:c r="B24" s="22" t="n">
        <x:v>39195</x:v>
      </x:c>
      <x:c r="C24" s="21" t="n">
        <x:v>-1</x:v>
      </x:c>
      <x:c r="D24" s="21" t="str">
        <x:v>negative</x:v>
      </x:c>
      <x:c r="E24" s="23" t="n">
        <x:v>0.9736722707748412</x:v>
      </x:c>
      <x:c r="F24" s="21" t="str">
        <x:v>boston scientific net falls on guidant costs</x:v>
      </x:c>
      <x:c r="G24" s="21" t="str">
        <x:v>Boston Scientific’in net kârı Guidant maliyetleri nedeniyle düştü.</x:v>
      </x:c>
      <x:c r="H24" s="21" t="str">
        <x:v>negative</x:v>
      </x:c>
      <x:c r="I24" s="24" t="n">
        <x:v>0.92</x:v>
      </x:c>
      <x:c r="J24" s="21" t="str">
        <x:v>Net kâr düşüşü ve maliyet baskısı olumsuz.</x:v>
      </x:c>
      <x:c r="K24" s="21" t="str">
        <x:f>IF(D24=H24,"same","different/review")</x:f>
        <x:v>same</x:v>
      </x:c>
      <x:c r="L24" s="21" t="str"/>
    </x:row>
    <x:row r="25">
      <x:c r="A25" s="21" t="str">
        <x:v>REUTERS_ANN_00724</x:v>
      </x:c>
      <x:c r="B25" s="22" t="n">
        <x:v>39014</x:v>
      </x:c>
      <x:c r="C25" s="21" t="n">
        <x:v>1</x:v>
      </x:c>
      <x:c r="D25" s="21" t="str">
        <x:v>positive</x:v>
      </x:c>
      <x:c r="E25" s="23" t="n">
        <x:v>0.9514236450195312</x:v>
      </x:c>
      <x:c r="F25" s="21" t="str">
        <x:v>bellsouth earnings rise on wireless services</x:v>
      </x:c>
      <x:c r="G25" s="21" t="str">
        <x:v>BellSouth’un kârı kablosuz hizmetlerle arttı.</x:v>
      </x:c>
      <x:c r="H25" s="21" t="str">
        <x:v>positive</x:v>
      </x:c>
      <x:c r="I25" s="24" t="n">
        <x:v>0.91</x:v>
      </x:c>
      <x:c r="J25" s="21" t="str">
        <x:v>Kâr artışı ve kablosuz büyüme olumlu.</x:v>
      </x:c>
      <x:c r="K25" s="21" t="str">
        <x:f>IF(D25=H25,"same","different/review")</x:f>
        <x:v>same</x:v>
      </x:c>
      <x:c r="L25" s="21" t="str"/>
    </x:row>
    <x:row r="26">
      <x:c r="A26" s="21" t="str">
        <x:v>REUTERS_ANN_00725</x:v>
      </x:c>
      <x:c r="B26" s="22" t="n">
        <x:v>39033</x:v>
      </x:c>
      <x:c r="C26" s="21" t="n">
        <x:v>0</x:v>
      </x:c>
      <x:c r="D26" s="21" t="str">
        <x:v>neutral</x:v>
      </x:c>
      <x:c r="E26" s="23" t="n">
        <x:v>0.6281635761260986</x:v>
      </x:c>
      <x:c r="F26" s="21" t="str">
        <x:v>stocks to eye inflation, retail</x:v>
      </x:c>
      <x:c r="G26" s="21" t="str">
        <x:v>Hisseler enflasyon ve perakende verilerine odaklanacak.</x:v>
      </x:c>
      <x:c r="H26" s="21" t="str">
        <x:v>neutral</x:v>
      </x:c>
      <x:c r="I26" s="24" t="n">
        <x:v>0.78</x:v>
      </x:c>
      <x:c r="J26" s="21" t="str">
        <x:v>Beklenti/izleme başlığı; yön net değil.</x:v>
      </x:c>
      <x:c r="K26" s="21" t="str">
        <x:f>IF(D26=H26,"same","different/review")</x:f>
        <x:v>same</x:v>
      </x:c>
      <x:c r="L26" s="21" t="str"/>
    </x:row>
    <x:row r="27">
      <x:c r="A27" s="21" t="str">
        <x:v>REUTERS_ANN_00726</x:v>
      </x:c>
      <x:c r="B27" s="22" t="n">
        <x:v>39197</x:v>
      </x:c>
      <x:c r="C27" s="21" t="n">
        <x:v>1</x:v>
      </x:c>
      <x:c r="D27" s="21" t="str">
        <x:v>positive</x:v>
      </x:c>
      <x:c r="E27" s="23" t="n">
        <x:v>0.8111632466316223</x:v>
      </x:c>
      <x:c r="F27" s="21" t="str">
        <x:v>eu clears ges buy of two abbott diagnostics units</x:v>
      </x:c>
      <x:c r="G27" s="21" t="str">
        <x:v>AB, GE’nin iki Abbott tanı birimini satın almasını onayladı.</x:v>
      </x:c>
      <x:c r="H27" s="21" t="str">
        <x:v>positive</x:v>
      </x:c>
      <x:c r="I27" s="24" t="n">
        <x:v>0.82</x:v>
      </x:c>
      <x:c r="J27" s="21" t="str">
        <x:v>Düzenleyici onay satın alma süreci için olumlu.</x:v>
      </x:c>
      <x:c r="K27" s="21" t="str">
        <x:f>IF(D27=H27,"same","different/review")</x:f>
        <x:v>same</x:v>
      </x:c>
      <x:c r="L27" s="21" t="str"/>
    </x:row>
    <x:row r="28">
      <x:c r="A28" s="21" t="str">
        <x:v>REUTERS_ANN_00727</x:v>
      </x:c>
      <x:c r="B28" s="22" t="n">
        <x:v>39044</x:v>
      </x:c>
      <x:c r="C28" s="21" t="n">
        <x:v>-1</x:v>
      </x:c>
      <x:c r="D28" s="21" t="str">
        <x:v>negative</x:v>
      </x:c>
      <x:c r="E28" s="23" t="n">
        <x:v>0.732954204082489</x:v>
      </x:c>
      <x:c r="F28" s="21" t="str">
        <x:v>lone star drops keb sale deal to kookmin</x:v>
      </x:c>
      <x:c r="G28" s="21" t="str">
        <x:v>Lone Star, KEB satış anlaşmasını Kookmin’e bırakmaktan vazgeçti.</x:v>
      </x:c>
      <x:c r="H28" s="21" t="str">
        <x:v>negative</x:v>
      </x:c>
      <x:c r="I28" s="24" t="n">
        <x:v>0.8</x:v>
      </x:c>
      <x:c r="J28" s="21" t="str">
        <x:v>Satış anlaşmasının düşmesi işlem başarısızlığı ve belirsizlik yaratır.</x:v>
      </x:c>
      <x:c r="K28" s="21" t="str">
        <x:f>IF(D28=H28,"same","different/review")</x:f>
        <x:v>same</x:v>
      </x:c>
      <x:c r="L28" s="21" t="str"/>
    </x:row>
    <x:row r="29">
      <x:c r="A29" s="21" t="str">
        <x:v>REUTERS_ANN_00728</x:v>
      </x:c>
      <x:c r="B29" s="22" t="n">
        <x:v>39066</x:v>
      </x:c>
      <x:c r="C29" s="21" t="n">
        <x:v>-1</x:v>
      </x:c>
      <x:c r="D29" s="21" t="str">
        <x:v>negative</x:v>
      </x:c>
      <x:c r="E29" s="23" t="n">
        <x:v>0.9500851035118104</x:v>
      </x:c>
      <x:c r="F29" s="21" t="str">
        <x:v>dell says gets non-compliance letter from nasdaq</x:v>
      </x:c>
      <x:c r="G29" s="21" t="str">
        <x:v>Dell, Nasdaq’tan uyumsuzluk mektubu aldığını söyledi.</x:v>
      </x:c>
      <x:c r="H29" s="21" t="str">
        <x:v>negative</x:v>
      </x:c>
      <x:c r="I29" s="24" t="n">
        <x:v>0.91</x:v>
      </x:c>
      <x:c r="J29" s="21" t="str">
        <x:v>Borsa uyumsuzluğu ciddi düzenleyici/raporlama riski.</x:v>
      </x:c>
      <x:c r="K29" s="21" t="str">
        <x:f>IF(D29=H29,"same","different/review")</x:f>
        <x:v>same</x:v>
      </x:c>
      <x:c r="L29" s="21" t="str"/>
    </x:row>
    <x:row r="30">
      <x:c r="A30" s="21" t="str">
        <x:v>REUTERS_ANN_00729</x:v>
      </x:c>
      <x:c r="B30" s="22" t="n">
        <x:v>39178</x:v>
      </x:c>
      <x:c r="C30" s="21" t="n">
        <x:v>0</x:v>
      </x:c>
      <x:c r="D30" s="21" t="str">
        <x:v>neutral</x:v>
      </x:c>
      <x:c r="E30" s="23" t="n">
        <x:v>0.9296983480453492</x:v>
      </x:c>
      <x:c r="F30" s="21" t="str">
        <x:v>factbox-russias fallen yukos - whats up for grabs</x:v>
      </x:c>
      <x:c r="G30" s="21" t="str">
        <x:v>Bilgi kutusu: Rusya’nın düşen Yukos’unda nelerin kapışılacağı.</x:v>
      </x:c>
      <x:c r="H30" s="21" t="str">
        <x:v>neutral</x:v>
      </x:c>
      <x:c r="I30" s="24" t="n">
        <x:v>0.76</x:v>
      </x:c>
      <x:c r="J30" s="21" t="str">
        <x:v>Bilgi/arka plan niteliğinde; doğrudan sentiment zayıf.</x:v>
      </x:c>
      <x:c r="K30" s="21" t="str">
        <x:f>IF(D30=H30,"same","different/review")</x:f>
        <x:v>same</x:v>
      </x:c>
      <x:c r="L30" s="21" t="str"/>
    </x:row>
    <x:row r="31">
      <x:c r="A31" s="21" t="str">
        <x:v>REUTERS_ANN_00730</x:v>
      </x:c>
      <x:c r="B31" s="22" t="n">
        <x:v>39012</x:v>
      </x:c>
      <x:c r="C31" s="21" t="n">
        <x:v>0</x:v>
      </x:c>
      <x:c r="D31" s="21" t="str">
        <x:v>neutral</x:v>
      </x:c>
      <x:c r="E31" s="23" t="n">
        <x:v>0.8071550726890564</x:v>
      </x:c>
      <x:c r="F31" s="21" t="str">
        <x:v>fed to keep hawkish tone, hold rates steady</x:v>
      </x:c>
      <x:c r="G31" s="21" t="str">
        <x:v>Fed şahin tonunu koruyup faizleri sabit tutacak.</x:v>
      </x:c>
      <x:c r="H31" s="21" t="str">
        <x:v>neutral</x:v>
      </x:c>
      <x:c r="I31" s="24" t="n">
        <x:v>0.7</x:v>
      </x:c>
      <x:c r="J31" s="21" t="str">
        <x:v>Para politikası beklentisi; piyasa etkisi bağlama bağlı.</x:v>
      </x:c>
      <x:c r="K31" s="21" t="str">
        <x:f>IF(D31=H31,"same","different/review")</x:f>
        <x:v>same</x:v>
      </x:c>
      <x:c r="L31" s="21" t="str"/>
    </x:row>
    <x:row r="32">
      <x:c r="A32" s="21" t="str">
        <x:v>REUTERS_ANN_00731</x:v>
      </x:c>
      <x:c r="B32" s="22" t="n">
        <x:v>39120</x:v>
      </x:c>
      <x:c r="C32" s="21" t="n">
        <x:v>1</x:v>
      </x:c>
      <x:c r="D32" s="21" t="str">
        <x:v>positive</x:v>
      </x:c>
      <x:c r="E32" s="23" t="n">
        <x:v>0.9339789152145386</x:v>
      </x:c>
      <x:c r="F32" s="21" t="str">
        <x:v>roche profits soar 34 percent yet outlook cautious</x:v>
      </x:c>
      <x:c r="G32" s="21" t="str">
        <x:v>Roche’un kârı yüzde 34 sıçradı ancak görünüm temkinli.</x:v>
      </x:c>
      <x:c r="H32" s="21" t="str">
        <x:v>positive</x:v>
      </x:c>
      <x:c r="I32" s="24" t="n">
        <x:v>0.78</x:v>
      </x:c>
      <x:c r="J32" s="21" t="str">
        <x:v>Kâr sıçraması baskın olumlu; temkinli görünüm güveni azaltıyor.</x:v>
      </x:c>
      <x:c r="K32" s="21" t="str">
        <x:f>IF(D32=H32,"same","different/review")</x:f>
        <x:v>same</x:v>
      </x:c>
      <x:c r="L32" s="21" t="str"/>
    </x:row>
    <x:row r="33">
      <x:c r="A33" s="21" t="str">
        <x:v>REUTERS_ANN_00732</x:v>
      </x:c>
      <x:c r="B33" s="22" t="n">
        <x:v>39052</x:v>
      </x:c>
      <x:c r="C33" s="21" t="n">
        <x:v>-1</x:v>
      </x:c>
      <x:c r="D33" s="21" t="str">
        <x:v>negative</x:v>
      </x:c>
      <x:c r="E33" s="23" t="n">
        <x:v>0.9688634872436525</x:v>
      </x:c>
      <x:c r="F33" s="21" t="str">
        <x:v>disney plans to cut some animation jobs</x:v>
      </x:c>
      <x:c r="G33" s="21" t="str">
        <x:v>Disney bazı animasyon işlerini azaltmayı planlıyor.</x:v>
      </x:c>
      <x:c r="H33" s="21" t="str">
        <x:v>negative</x:v>
      </x:c>
      <x:c r="I33" s="24" t="n">
        <x:v>0.86</x:v>
      </x:c>
      <x:c r="J33" s="21" t="str">
        <x:v>İşten çıkarma/kesinti haberi olumsuz.</x:v>
      </x:c>
      <x:c r="K33" s="21" t="str">
        <x:f>IF(D33=H33,"same","different/review")</x:f>
        <x:v>same</x:v>
      </x:c>
      <x:c r="L33" s="21" t="str"/>
    </x:row>
    <x:row r="34">
      <x:c r="A34" s="21" t="str">
        <x:v>REUTERS_ANN_00733</x:v>
      </x:c>
      <x:c r="B34" s="22" t="n">
        <x:v>39016</x:v>
      </x:c>
      <x:c r="C34" s="21" t="n">
        <x:v>1</x:v>
      </x:c>
      <x:c r="D34" s="21" t="str">
        <x:v>positive</x:v>
      </x:c>
      <x:c r="E34" s="23" t="n">
        <x:v>0.9376656413078308</x:v>
      </x:c>
      <x:c r="F34" s="21" t="str">
        <x:v>hannover re drops scottish re bid, source says</x:v>
      </x:c>
      <x:c r="G34" s="21" t="str">
        <x:v>Kaynağa göre Hannover Re, Scottish Re teklifinden vazgeçti.</x:v>
      </x:c>
      <x:c r="H34" s="21" t="str">
        <x:v>neutral</x:v>
      </x:c>
      <x:c r="I34" s="24" t="n">
        <x:v>0.66</x:v>
      </x:c>
      <x:c r="J34" s="21" t="str">
        <x:v>Tekliften çekilme stratejik karar; net finansal yön belirsiz.</x:v>
      </x:c>
      <x:c r="K34" s="21" t="str">
        <x:f>IF(D34=H34,"same","different/review")</x:f>
        <x:v>different/review</x:v>
      </x:c>
      <x:c r="L34" s="21" t="str"/>
    </x:row>
    <x:row r="35">
      <x:c r="A35" s="21" t="str">
        <x:v>REUTERS_ANN_00734</x:v>
      </x:c>
      <x:c r="B35" s="22" t="n">
        <x:v>39139</x:v>
      </x:c>
      <x:c r="C35" s="21" t="n">
        <x:v>-1</x:v>
      </x:c>
      <x:c r="D35" s="21" t="str">
        <x:v>negative</x:v>
      </x:c>
      <x:c r="E35" s="23" t="n">
        <x:v>0.961961567401886</x:v>
      </x:c>
      <x:c r="F35" s="21" t="str">
        <x:v>key novartis drug faces delay</x:v>
      </x:c>
      <x:c r="G35" s="21" t="str">
        <x:v>Novartis’in önemli ilacı gecikmeyle karşı karşıya.</x:v>
      </x:c>
      <x:c r="H35" s="21" t="str">
        <x:v>negative</x:v>
      </x:c>
      <x:c r="I35" s="24" t="n">
        <x:v>0.9</x:v>
      </x:c>
      <x:c r="J35" s="21" t="str">
        <x:v>Ürün gecikmesi gelir beklentileri için olumsuz.</x:v>
      </x:c>
      <x:c r="K35" s="21" t="str">
        <x:f>IF(D35=H35,"same","different/review")</x:f>
        <x:v>same</x:v>
      </x:c>
      <x:c r="L35" s="21" t="str"/>
    </x:row>
    <x:row r="36">
      <x:c r="A36" s="21" t="str">
        <x:v>REUTERS_ANN_00735</x:v>
      </x:c>
      <x:c r="B36" s="22" t="n">
        <x:v>39149</x:v>
      </x:c>
      <x:c r="C36" s="21" t="n">
        <x:v>1</x:v>
      </x:c>
      <x:c r="D36" s="21" t="str">
        <x:v>positive</x:v>
      </x:c>
      <x:c r="E36" s="23" t="n">
        <x:v>0.9065778255462646</x:v>
      </x:c>
      <x:c r="F36" s="21" t="str">
        <x:v>cvs hikes caremark bid again with bigger dividend</x:v>
      </x:c>
      <x:c r="G36" s="21" t="str">
        <x:v>CVS, Caremark teklifini daha büyük temettüyle yeniden artırdı.</x:v>
      </x:c>
      <x:c r="H36" s="21" t="str">
        <x:v>positive</x:v>
      </x:c>
      <x:c r="I36" s="24" t="n">
        <x:v>0.82</x:v>
      </x:c>
      <x:c r="J36" s="21" t="str">
        <x:v>Teklifin iyileştirilmesi anlaşma olasılığını artıran olumlu sinyal.</x:v>
      </x:c>
      <x:c r="K36" s="21" t="str">
        <x:f>IF(D36=H36,"same","different/review")</x:f>
        <x:v>same</x:v>
      </x:c>
      <x:c r="L36" s="21" t="str"/>
    </x:row>
    <x:row r="37">
      <x:c r="A37" s="21" t="str">
        <x:v>REUTERS_ANN_00736</x:v>
      </x:c>
      <x:c r="B37" s="22" t="n">
        <x:v>39184</x:v>
      </x:c>
      <x:c r="C37" s="21" t="n">
        <x:v>1</x:v>
      </x:c>
      <x:c r="D37" s="21" t="str">
        <x:v>positive</x:v>
      </x:c>
      <x:c r="E37" s="23" t="n">
        <x:v>0.9462544322013856</x:v>
      </x:c>
      <x:c r="F37" s="21" t="str">
        <x:v>nordstrom march same-store sales up</x:v>
      </x:c>
      <x:c r="G37" s="21" t="str">
        <x:v>Nordstrom’un mart ayı aynı mağaza satışları arttı.</x:v>
      </x:c>
      <x:c r="H37" s="21" t="str">
        <x:v>positive</x:v>
      </x:c>
      <x:c r="I37" s="24" t="n">
        <x:v>0.9</x:v>
      </x:c>
      <x:c r="J37" s="21" t="str">
        <x:v>Aynı mağaza satış artışı perakendeci için olumlu.</x:v>
      </x:c>
      <x:c r="K37" s="21" t="str">
        <x:f>IF(D37=H37,"same","different/review")</x:f>
        <x:v>same</x:v>
      </x:c>
      <x:c r="L37" s="21" t="str"/>
    </x:row>
    <x:row r="38">
      <x:c r="A38" s="21" t="str">
        <x:v>REUTERS_ANN_00737</x:v>
      </x:c>
      <x:c r="B38" s="22" t="n">
        <x:v>39126</x:v>
      </x:c>
      <x:c r="C38" s="21" t="n">
        <x:v>-1</x:v>
      </x:c>
      <x:c r="D38" s="21" t="str">
        <x:v>negative</x:v>
      </x:c>
      <x:c r="E38" s="23" t="n">
        <x:v>0.922635018825531</x:v>
      </x:c>
      <x:c r="F38" s="21" t="str">
        <x:v>jj says improper payments made</x:v>
      </x:c>
      <x:c r="G38" s="21" t="str">
        <x:v>J&amp;J uygunsuz ödemeler yapıldığını söyledi.</x:v>
      </x:c>
      <x:c r="H38" s="21" t="str">
        <x:v>negative</x:v>
      </x:c>
      <x:c r="I38" s="24" t="n">
        <x:v>0.88</x:v>
      </x:c>
      <x:c r="J38" s="21" t="str">
        <x:v>Uygunsuz ödeme ifadesi hukuki ve itibar riski taşır.</x:v>
      </x:c>
      <x:c r="K38" s="21" t="str">
        <x:f>IF(D38=H38,"same","different/review")</x:f>
        <x:v>same</x:v>
      </x:c>
      <x:c r="L38" s="21" t="str"/>
    </x:row>
    <x:row r="39">
      <x:c r="A39" s="21" t="str">
        <x:v>REUTERS_ANN_00738</x:v>
      </x:c>
      <x:c r="B39" s="22" t="n">
        <x:v>39163</x:v>
      </x:c>
      <x:c r="C39" s="21" t="n">
        <x:v>-1</x:v>
      </x:c>
      <x:c r="D39" s="21" t="str">
        <x:v>negative</x:v>
      </x:c>
      <x:c r="E39" s="23" t="n">
        <x:v>0.941290020942688</x:v>
      </x:c>
      <x:c r="F39" s="21" t="str">
        <x:v>u.s. housing, mortgage woes contagion feared</x:v>
      </x:c>
      <x:c r="G39" s="21" t="str">
        <x:v>ABD konut ve mortgage sorunlarının yayılmasından korkuluyor.</x:v>
      </x:c>
      <x:c r="H39" s="21" t="str">
        <x:v>negative</x:v>
      </x:c>
      <x:c r="I39" s="24" t="n">
        <x:v>0.92</x:v>
      </x:c>
      <x:c r="J39" s="21" t="str">
        <x:v>Bulaşma ve mortgage riski belirgin olumsuz piyasa sinyali.</x:v>
      </x:c>
      <x:c r="K39" s="21" t="str">
        <x:f>IF(D39=H39,"same","different/review")</x:f>
        <x:v>same</x:v>
      </x:c>
      <x:c r="L39" s="21" t="str"/>
    </x:row>
    <x:row r="40">
      <x:c r="A40" s="21" t="str">
        <x:v>REUTERS_ANN_00739</x:v>
      </x:c>
      <x:c r="B40" s="22" t="n">
        <x:v>39014</x:v>
      </x:c>
      <x:c r="C40" s="21" t="n">
        <x:v>1</x:v>
      </x:c>
      <x:c r="D40" s="21" t="str">
        <x:v>positive</x:v>
      </x:c>
      <x:c r="E40" s="23" t="n">
        <x:v>0.9400978684425354</x:v>
      </x:c>
      <x:c r="F40" s="21" t="str">
        <x:v>cme profit jumps on heavy derivatives trading</x:v>
      </x:c>
      <x:c r="G40" s="21" t="str">
        <x:v>CME’nin kârı yoğun türev işlemleriyle sıçradı.</x:v>
      </x:c>
      <x:c r="H40" s="21" t="str">
        <x:v>positive</x:v>
      </x:c>
      <x:c r="I40" s="24" t="n">
        <x:v>0.92</x:v>
      </x:c>
      <x:c r="J40" s="21" t="str">
        <x:v>Kâr sıçraması güçlü olumlu sinyal.</x:v>
      </x:c>
      <x:c r="K40" s="21" t="str">
        <x:f>IF(D40=H40,"same","different/review")</x:f>
        <x:v>same</x:v>
      </x:c>
      <x:c r="L40" s="21" t="str"/>
    </x:row>
    <x:row r="41">
      <x:c r="A41" s="21" t="str">
        <x:v>REUTERS_ANN_00740</x:v>
      </x:c>
      <x:c r="B41" s="22" t="n">
        <x:v>39142</x:v>
      </x:c>
      <x:c r="C41" s="21" t="n">
        <x:v>-1</x:v>
      </x:c>
      <x:c r="D41" s="21" t="str">
        <x:v>negative</x:v>
      </x:c>
      <x:c r="E41" s="23" t="n">
        <x:v>0.976593017578125</x:v>
      </x:c>
      <x:c r="F41" s="21" t="str">
        <x:v>first american posts lower quarterly earnings</x:v>
      </x:c>
      <x:c r="G41" s="21" t="str">
        <x:v>First American daha düşük çeyreklik kâr açıkladı.</x:v>
      </x:c>
      <x:c r="H41" s="21" t="str">
        <x:v>negative</x:v>
      </x:c>
      <x:c r="I41" s="24" t="n">
        <x:v>0.9</x:v>
      </x:c>
      <x:c r="J41" s="21" t="str">
        <x:v>Kâr düşüşü açık olumsuz.</x:v>
      </x:c>
      <x:c r="K41" s="21" t="str">
        <x:f>IF(D41=H41,"same","different/review")</x:f>
        <x:v>same</x:v>
      </x:c>
      <x:c r="L41" s="21" t="str"/>
    </x:row>
    <x:row r="42">
      <x:c r="A42" s="21" t="str">
        <x:v>REUTERS_ANN_00741</x:v>
      </x:c>
      <x:c r="B42" s="22" t="n">
        <x:v>39161</x:v>
      </x:c>
      <x:c r="C42" s="21" t="n">
        <x:v>0</x:v>
      </x:c>
      <x:c r="D42" s="21" t="str">
        <x:v>neutral</x:v>
      </x:c>
      <x:c r="E42" s="23" t="n">
        <x:v>0.9426525235176086</x:v>
      </x:c>
      <x:c r="F42" s="21" t="str">
        <x:v>barclays, abn to split top jobs, have dutch hq</x:v>
      </x:c>
      <x:c r="G42" s="21" t="str">
        <x:v>Barclays ve ABN üst görevleri paylaşacak, merkezi Hollanda’da olacak.</x:v>
      </x:c>
      <x:c r="H42" s="21" t="str">
        <x:v>neutral</x:v>
      </x:c>
      <x:c r="I42" s="24" t="n">
        <x:v>0.76</x:v>
      </x:c>
      <x:c r="J42" s="21" t="str">
        <x:v>Birleşme yönetim yapısı bilgisi; net finansal yön yok.</x:v>
      </x:c>
      <x:c r="K42" s="21" t="str">
        <x:f>IF(D42=H42,"same","different/review")</x:f>
        <x:v>same</x:v>
      </x:c>
      <x:c r="L42" s="21" t="str"/>
    </x:row>
    <x:row r="43">
      <x:c r="A43" s="21" t="str">
        <x:v>REUTERS_ANN_00742</x:v>
      </x:c>
      <x:c r="B43" s="22" t="n">
        <x:v>39175</x:v>
      </x:c>
      <x:c r="C43" s="21" t="n">
        <x:v>-1</x:v>
      </x:c>
      <x:c r="D43" s="21" t="str">
        <x:v>negative</x:v>
      </x:c>
      <x:c r="E43" s="23" t="n">
        <x:v>0.975425660610199</x:v>
      </x:c>
      <x:c r="F43" s="21" t="str">
        <x:v>ford u.s. march sales down 9 percent</x:v>
      </x:c>
      <x:c r="G43" s="21" t="str">
        <x:v>Ford’un ABD mart satışları yüzde 9 düştü.</x:v>
      </x:c>
      <x:c r="H43" s="21" t="str">
        <x:v>negative</x:v>
      </x:c>
      <x:c r="I43" s="24" t="n">
        <x:v>0.93</x:v>
      </x:c>
      <x:c r="J43" s="21" t="str">
        <x:v>Satış düşüşü şirket açısından olumsuz.</x:v>
      </x:c>
      <x:c r="K43" s="21" t="str">
        <x:f>IF(D43=H43,"same","different/review")</x:f>
        <x:v>same</x:v>
      </x:c>
      <x:c r="L43" s="21" t="str"/>
    </x:row>
    <x:row r="44">
      <x:c r="A44" s="21" t="str">
        <x:v>REUTERS_ANN_00743</x:v>
      </x:c>
      <x:c r="B44" s="22" t="n">
        <x:v>39021</x:v>
      </x:c>
      <x:c r="C44" s="21" t="n">
        <x:v>1</x:v>
      </x:c>
      <x:c r="D44" s="21" t="str">
        <x:v>positive</x:v>
      </x:c>
      <x:c r="E44" s="23" t="n">
        <x:v>0.8947445750236511</x:v>
      </x:c>
      <x:c r="F44" s="21" t="str">
        <x:v>ibm approves $4 bln more for buybacks</x:v>
      </x:c>
      <x:c r="G44" s="21" t="str">
        <x:v>IBM geri alımlar için 4 milyar dolar daha onayladı.</x:v>
      </x:c>
      <x:c r="H44" s="21" t="str">
        <x:v>positive</x:v>
      </x:c>
      <x:c r="I44" s="24" t="n">
        <x:v>0.88</x:v>
      </x:c>
      <x:c r="J44" s="21" t="str">
        <x:v>Hisse geri alımı sermaye iadesi ve güven sinyali olarak olumlu.</x:v>
      </x:c>
      <x:c r="K44" s="21" t="str">
        <x:f>IF(D44=H44,"same","different/review")</x:f>
        <x:v>same</x:v>
      </x:c>
      <x:c r="L44" s="21" t="str"/>
    </x:row>
    <x:row r="45">
      <x:c r="A45" s="21" t="str">
        <x:v>REUTERS_ANN_00744</x:v>
      </x:c>
      <x:c r="B45" s="22" t="n">
        <x:v>39035</x:v>
      </x:c>
      <x:c r="C45" s="21" t="n">
        <x:v>1</x:v>
      </x:c>
      <x:c r="D45" s="21" t="str">
        <x:v>positive</x:v>
      </x:c>
      <x:c r="E45" s="23" t="n">
        <x:v>0.6318698525428772</x:v>
      </x:c>
      <x:c r="F45" s="21" t="str">
        <x:v>retailers warily eye wal-marts holiday cuts</x:v>
      </x:c>
      <x:c r="G45" s="21" t="str">
        <x:v>Perakendeciler Wal-Mart’ın tatil indirimlerini temkinle izliyor.</x:v>
      </x:c>
      <x:c r="H45" s="21" t="str">
        <x:v>negative</x:v>
      </x:c>
      <x:c r="I45" s="24" t="n">
        <x:v>0.7</x:v>
      </x:c>
      <x:c r="J45" s="21" t="str">
        <x:v>Rekabetçi fiyat kesintileri sektör marjları için baskı yaratabilir.</x:v>
      </x:c>
      <x:c r="K45" s="21" t="str">
        <x:f>IF(D45=H45,"same","different/review")</x:f>
        <x:v>different/review</x:v>
      </x:c>
      <x:c r="L45" s="21" t="str"/>
    </x:row>
    <x:row r="46">
      <x:c r="A46" s="21" t="str">
        <x:v>REUTERS_ANN_00745</x:v>
      </x:c>
      <x:c r="B46" s="22" t="n">
        <x:v>39027</x:v>
      </x:c>
      <x:c r="C46" s="21" t="n">
        <x:v>1</x:v>
      </x:c>
      <x:c r="D46" s="21" t="str">
        <x:v>positive</x:v>
      </x:c>
      <x:c r="E46" s="23" t="n">
        <x:v>0.8320448398590088</x:v>
      </x:c>
      <x:c r="F46" s="21" t="str">
        <x:v>ahold says to keep reviewing stores</x:v>
      </x:c>
      <x:c r="G46" s="21" t="str">
        <x:v>Ahold mağazalarını gözden geçirmeyi sürdüreceğini söyledi.</x:v>
      </x:c>
      <x:c r="H46" s="21" t="str">
        <x:v>neutral</x:v>
      </x:c>
      <x:c r="I46" s="24" t="n">
        <x:v>0.68</x:v>
      </x:c>
      <x:c r="J46" s="21" t="str">
        <x:v>Stratejik inceleme bilgisi; yön belirsiz.</x:v>
      </x:c>
      <x:c r="K46" s="21" t="str">
        <x:f>IF(D46=H46,"same","different/review")</x:f>
        <x:v>different/review</x:v>
      </x:c>
      <x:c r="L46" s="21" t="str"/>
    </x:row>
    <x:row r="47">
      <x:c r="A47" s="21" t="str">
        <x:v>REUTERS_ANN_00746</x:v>
      </x:c>
      <x:c r="B47" s="22" t="n">
        <x:v>39169</x:v>
      </x:c>
      <x:c r="C47" s="21" t="n">
        <x:v>0</x:v>
      </x:c>
      <x:c r="D47" s="21" t="str">
        <x:v>neutral</x:v>
      </x:c>
      <x:c r="E47" s="23" t="n">
        <x:v>0.6344822645187378</x:v>
      </x:c>
      <x:c r="F47" s="21" t="str">
        <x:v>paulson warns of rich/poor income gap in u.s.</x:v>
      </x:c>
      <x:c r="G47" s="21" t="str">
        <x:v>Paulson ABD’de zengin-yoksul gelir farkı konusunda uyardı.</x:v>
      </x:c>
      <x:c r="H47" s="21" t="str">
        <x:v>negative</x:v>
      </x:c>
      <x:c r="I47" s="24" t="n">
        <x:v>0.74</x:v>
      </x:c>
      <x:c r="J47" s="21" t="str">
        <x:v>Gelir eşitsizliği uyarısı makro/sosyal risk tonunda.</x:v>
      </x:c>
      <x:c r="K47" s="21" t="str">
        <x:f>IF(D47=H47,"same","different/review")</x:f>
        <x:v>different/review</x:v>
      </x:c>
      <x:c r="L47" s="21" t="str"/>
    </x:row>
    <x:row r="48">
      <x:c r="A48" s="21" t="str">
        <x:v>REUTERS_ANN_00747</x:v>
      </x:c>
      <x:c r="B48" s="22" t="n">
        <x:v>39183</x:v>
      </x:c>
      <x:c r="C48" s="21" t="n">
        <x:v>-1</x:v>
      </x:c>
      <x:c r="D48" s="21" t="str">
        <x:v>negative</x:v>
      </x:c>
      <x:c r="E48" s="23" t="n">
        <x:v>0.7125691771507263</x:v>
      </x:c>
      <x:c r="F48" s="21" t="str">
        <x:v>student loan firms hit by probes, reform calls</x:v>
      </x:c>
      <x:c r="G48" s="21" t="str">
        <x:v>Öğrenci kredisi şirketleri soruşturmalar ve reform çağrılarıyla darbe aldı.</x:v>
      </x:c>
      <x:c r="H48" s="21" t="str">
        <x:v>negative</x:v>
      </x:c>
      <x:c r="I48" s="24" t="n">
        <x:v>0.9</x:v>
      </x:c>
      <x:c r="J48" s="21" t="str">
        <x:v>Soruşturma ve düzenleme baskısı sektör için olumsuz.</x:v>
      </x:c>
      <x:c r="K48" s="21" t="str">
        <x:f>IF(D48=H48,"same","different/review")</x:f>
        <x:v>same</x:v>
      </x:c>
      <x:c r="L48" s="21" t="str"/>
    </x:row>
    <x:row r="49">
      <x:c r="A49" s="21" t="str">
        <x:v>REUTERS_ANN_00748</x:v>
      </x:c>
      <x:c r="B49" s="22" t="n">
        <x:v>39199</x:v>
      </x:c>
      <x:c r="C49" s="21" t="n">
        <x:v>-1</x:v>
      </x:c>
      <x:c r="D49" s="21" t="str">
        <x:v>negative</x:v>
      </x:c>
      <x:c r="E49" s="23" t="n">
        <x:v>0.9429092407226562</x:v>
      </x:c>
      <x:c r="F49" s="21" t="str">
        <x:v>u.s. airports plan ground restrictions for a380</x:v>
      </x:c>
      <x:c r="G49" s="21" t="str">
        <x:v>ABD havaalanları A380 için yer kısıtlamaları planlıyor.</x:v>
      </x:c>
      <x:c r="H49" s="21" t="str">
        <x:v>negative</x:v>
      </x:c>
      <x:c r="I49" s="24" t="n">
        <x:v>0.78</x:v>
      </x:c>
      <x:c r="J49" s="21" t="str">
        <x:v>Operasyonel kısıtlamalar A380 kullanımı için olumsuz.</x:v>
      </x:c>
      <x:c r="K49" s="21" t="str">
        <x:f>IF(D49=H49,"same","different/review")</x:f>
        <x:v>same</x:v>
      </x:c>
      <x:c r="L49" s="21" t="str"/>
    </x:row>
    <x:row r="50">
      <x:c r="A50" s="21" t="str">
        <x:v>REUTERS_ANN_00749</x:v>
      </x:c>
      <x:c r="B50" s="22" t="n">
        <x:v>39084</x:v>
      </x:c>
      <x:c r="C50" s="21" t="n">
        <x:v>-1</x:v>
      </x:c>
      <x:c r="D50" s="21" t="str">
        <x:v>negative</x:v>
      </x:c>
      <x:c r="E50" s="23" t="n">
        <x:v>0.8016102910041809</x:v>
      </x:c>
      <x:c r="F50" s="21" t="str">
        <x:v>starbucks cuts trans fats in half of u.s. stores</x:v>
      </x:c>
      <x:c r="G50" s="21" t="str">
        <x:v>Starbucks ABD mağazalarının yarısında trans yağları azalttı.</x:v>
      </x:c>
      <x:c r="H50" s="21" t="str">
        <x:v>positive</x:v>
      </x:c>
      <x:c r="I50" s="24" t="n">
        <x:v>0.7</x:v>
      </x:c>
      <x:c r="J50" s="21" t="str">
        <x:v>Sağlık odaklı ürün iyileştirmesi marka açısından olumlu olabilir.</x:v>
      </x:c>
      <x:c r="K50" s="21" t="str">
        <x:f>IF(D50=H50,"same","different/review")</x:f>
        <x:v>different/review</x:v>
      </x:c>
      <x:c r="L50" s="21" t="str"/>
    </x:row>
    <x:row r="51">
      <x:c r="A51" s="21" t="str">
        <x:v>REUTERS_ANN_00750</x:v>
      </x:c>
      <x:c r="B51" s="22" t="n">
        <x:v>39056</x:v>
      </x:c>
      <x:c r="C51" s="21" t="n">
        <x:v>1</x:v>
      </x:c>
      <x:c r="D51" s="21" t="str">
        <x:v>positive</x:v>
      </x:c>
      <x:c r="E51" s="23" t="n">
        <x:v>0.7326297163963318</x:v>
      </x:c>
      <x:c r="F51" s="21" t="str">
        <x:v>instant view q3 productivity, unit labor costs</x:v>
      </x:c>
      <x:c r="G51" s="21" t="str">
        <x:v>Anlık değerlendirme: üçüncü çeyrek verimlilik ve birim işgücü maliyetleri.</x:v>
      </x:c>
      <x:c r="H51" s="21" t="str">
        <x:v>neutral</x:v>
      </x:c>
      <x:c r="I51" s="24" t="n">
        <x:v>0.66</x:v>
      </x:c>
      <x:c r="J51" s="21" t="str">
        <x:v>Veri değerlendirme başlığı; belirgin pozitif/negatif yön yok.</x:v>
      </x:c>
      <x:c r="K51" s="21" t="str">
        <x:f>IF(D51=H51,"same","different/review")</x:f>
        <x:v>different/review</x:v>
      </x:c>
      <x:c r="L51" s="21" t="str"/>
    </x:row>
  </x:sheetData>
  <x:conditionalFormatting sqref="H2:H51">
    <x:cfRule type="expression" dxfId="0" priority="1">
      <x:formula>H2="positive"</x:formula>
    </x:cfRule>
    <x:cfRule type="expression" dxfId="1" priority="2">
      <x:formula>H2="negative"</x:formula>
    </x:cfRule>
    <x:cfRule type="expression" dxfId="2" priority="3">
      <x:formula>H2="neutral"</x:formula>
    </x:cfRule>
  </x:conditionalFormatting>
  <x:conditionalFormatting sqref="K2:K51">
    <x:cfRule type="expression" dxfId="3" priority="4">
      <x:formula>K2="different/review"</x:formula>
    </x:cfRule>
  </x:conditionalFormatting>
  <x:dataValidations count="1">
    <x:dataValidation type="list" sqref="H2:H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5ca7f0bf9448d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</x:cols>
  <x:sheetData>
    <x:row r="1">
      <x:c r="A1" s="4" t="str">
        <x:v>REUTERS ANNOTATION BATCH 015</x:v>
      </x:c>
      <x:c r="B1" s="4" t="str"/>
    </x:row>
    <x:row r="2">
      <x:c r="A2" t="str">
        <x:v>Rows</x:v>
      </x:c>
      <x:c r="B2" t="str">
        <x:v>700 - 749</x:v>
      </x:c>
    </x:row>
    <x:row r="3">
      <x:c r="A3" t="str">
        <x:v>Total records</x:v>
      </x:c>
      <x:c r="B3" t="n">
        <x:v>50</x:v>
      </x:c>
    </x:row>
    <x:row r="4">
      <x:c r="A4" t="str"/>
      <x:c r="B4" t="str"/>
    </x:row>
    <x:row r="5">
      <x:c r="A5" s="32" t="str">
        <x:v>ChatGPT label</x:v>
      </x:c>
      <x:c r="B5" s="32" t="str">
        <x:v>Count</x:v>
      </x:c>
    </x:row>
    <x:row r="6">
      <x:c r="A6" t="str">
        <x:v>positive</x:v>
      </x:c>
      <x:c r="B6" t="n">
        <x:f>COUNTIF(annotations!H2:H51,"positive")</x:f>
        <x:v>19</x:v>
      </x:c>
    </x:row>
    <x:row r="7">
      <x:c r="A7" t="str">
        <x:v>neutral</x:v>
      </x:c>
      <x:c r="B7" t="n">
        <x:f>COUNTIF(annotations!H2:H51,"neutral")</x:f>
        <x:v>12</x:v>
      </x:c>
    </x:row>
    <x:row r="8">
      <x:c r="A8" t="str">
        <x:v>negative</x:v>
      </x:c>
      <x:c r="B8" t="n">
        <x:f>COUNTIF(annotations!H2:H51,"negative")</x:f>
        <x:v>19</x:v>
      </x:c>
    </x:row>
    <x:row r="9">
      <x:c r="A9" t="str"/>
      <x:c r="B9" t="str"/>
    </x:row>
    <x:row r="10">
      <x:c r="A10" s="32" t="str">
        <x:v>FinBERT comparison</x:v>
      </x:c>
      <x:c r="B10" s="32" t="str">
        <x:v>Count</x:v>
      </x:c>
    </x:row>
    <x:row r="11">
      <x:c r="A11" t="str">
        <x:v>same</x:v>
      </x:c>
      <x:c r="B11" t="n">
        <x:f>COUNTIF(annotations!K2:K51,"same")</x:f>
        <x:v>40</x:v>
      </x:c>
    </x:row>
    <x:row r="12">
      <x:c r="A12" t="str">
        <x:v>different/review</x:v>
      </x:c>
      <x:c r="B12" t="n">
        <x:f>COUNTIF(annotations!K2:K51,"different/review")</x:f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34" t="str">
        <x:v>Field</x:v>
      </x:c>
      <x:c r="B1" s="34" t="str">
        <x:v>Meaning</x:v>
      </x:c>
    </x:row>
    <x:row r="2">
      <x:c r="A2" s="11" t="str">
        <x:v>chatgpt_label</x:v>
      </x:c>
      <x:c r="B2" s="11" t="str">
        <x:v>Final manual sentiment label based on headline-level financial/p market impact.</x:v>
      </x:c>
    </x:row>
    <x:row r="3">
      <x:c r="A3" s="11" t="str">
        <x:v>chatgpt_confidence</x:v>
      </x:c>
      <x:c r="B3" s="11" t="str">
        <x:v>Approximate confidence score between 0 and 1.</x:v>
      </x:c>
    </x:row>
    <x:row r="4">
      <x:c r="A4" s="11" t="str">
        <x:v>finbert_match</x:v>
      </x:c>
      <x:c r="B4" s="11" t="str">
        <x:v>Formula: same if FinBERT label equals ChatGPT label, otherwise different/review.</x:v>
      </x:c>
    </x:row>
    <x:row r="5">
      <x:c r="A5" s="11" t="str">
        <x:v>review_note</x:v>
      </x:c>
      <x:c r="B5" s="11" t="str">
        <x:v>Left editable for later human review notes.</x:v>
      </x:c>
    </x:row>
    <x:row r="6">
      <x:c r="A6" s="11" t="str">
        <x:v>source</x:v>
      </x:c>
      <x:c r="B6" s="11" t="str">
        <x:v>User-provided REUTERS ANNOTATION BATCH 015 text.</x:v>
      </x:c>
    </x:row>
  </x:sheetData>
  <x:pageMargins left="0.7" right="0.7" top="0.75" bottom="0.75" header="0.3" footer="0.3"/>
</x:worksheet>
</file>