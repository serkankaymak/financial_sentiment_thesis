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304f4a086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f92c1c1a83ff4263"/>
    <x:sheet xmlns:r="http://schemas.openxmlformats.org/officeDocument/2006/relationships" name="summary" sheetId="2" r:id="R9f2bfdeaa8a546ce"/>
    <x:sheet xmlns:r="http://schemas.openxmlformats.org/officeDocument/2006/relationships" name="labeling_notes" sheetId="3" r:id="R689825a38b7a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075985"/>
      </x:font>
      <x:fill>
        <x:patternFill patternType="solid">
          <x:bgColor rgb="E0F2FE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A3412"/>
      </x:font>
      <x:fill>
        <x:patternFill patternType="solid">
          <x:bgColor rgb="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c083dd512448f" /><Relationship Type="http://schemas.openxmlformats.org/officeDocument/2006/relationships/theme" Target="/xl/theme/theme1.xml" Id="R4041b483a1b54bc1" /><Relationship Type="http://schemas.openxmlformats.org/officeDocument/2006/relationships/sharedStrings" Target="/xl/sharedStrings.xml" Id="Read7f88b418c452b" /><Relationship Type="http://schemas.openxmlformats.org/officeDocument/2006/relationships/worksheet" Target="/xl/worksheets/sheet1.xml" Id="Rf92c1c1a83ff4263" /><Relationship Type="http://schemas.openxmlformats.org/officeDocument/2006/relationships/worksheet" Target="/xl/worksheets/sheet2.xml" Id="R9f2bfdeaa8a546ce" /><Relationship Type="http://schemas.openxmlformats.org/officeDocument/2006/relationships/worksheet" Target="/xl/worksheets/sheet3.xml" Id="R689825a38b7a438c" /></Relationships>
</file>

<file path=xl/tables/table1.xml><?xml version="1.0" encoding="utf-8"?>
<x:table xmlns:x="http://schemas.openxmlformats.org/spreadsheetml/2006/main" id="1" name="ReutersAnnotationBatch024" displayName="ReutersAnnotationBatch024" ref="A1:N51" headerRowCount="1">
  <x:tableColumns count="14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_en"/>
    <x:tableColumn id="7" name="text_tr"/>
    <x:tableColumn id="8" name="chatgpt_score"/>
    <x:tableColumn id="9" name="chatgpt_label"/>
    <x:tableColumn id="10" name="chatgpt_confidence"/>
    <x:tableColumn id="11" name="chatgpt_reason_tr"/>
    <x:tableColumn id="12" name="finbert_match"/>
    <x:tableColumn id="13" name="needs_review"/>
    <x:tableColumn id="14" name="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9cfa788a0c4d0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2" hidden="0" customWidth="1"/>
    <x:col min="4" max="4" width="14" hidden="0" customWidth="1"/>
    <x:col min="5" max="5" width="16" hidden="0" customWidth="1"/>
    <x:col min="6" max="6" width="42" hidden="0" customWidth="1"/>
    <x:col min="7" max="7" width="48" hidden="0" customWidth="1"/>
    <x:col min="8" max="8" width="14" hidden="0" customWidth="1"/>
    <x:col min="9" max="9" width="16" hidden="0" customWidth="1"/>
    <x:col min="10" max="10" width="18" hidden="0" customWidth="1"/>
    <x:col min="11" max="11" width="58" hidden="0" customWidth="1"/>
    <x:col min="12" max="12" width="14" hidden="0" customWidth="1"/>
    <x:col min="13" max="13" width="13" hidden="0" customWidth="1"/>
    <x:col min="14" max="14" width="48" hidden="0" customWidth="1"/>
  </x:cols>
  <x:sheetData>
    <x:row r="1" ht="28" customHeight="1">
      <x:c r="A1" s="18" t="str">
        <x:v>annotation_id</x:v>
      </x:c>
      <x:c r="B1" s="18" t="str">
        <x:v>date</x:v>
      </x:c>
      <x:c r="C1" s="18" t="str">
        <x:v>finbert_score</x:v>
      </x:c>
      <x:c r="D1" s="18" t="str">
        <x:v>finbert_label</x:v>
      </x:c>
      <x:c r="E1" s="18" t="str">
        <x:v>finbert_confidence</x:v>
      </x:c>
      <x:c r="F1" s="18" t="str">
        <x:v>text_en</x:v>
      </x:c>
      <x:c r="G1" s="18" t="str">
        <x:v>text_tr</x:v>
      </x:c>
      <x:c r="H1" s="18" t="str">
        <x:v>chatgpt_score</x:v>
      </x:c>
      <x:c r="I1" s="18" t="str">
        <x:v>chatgpt_label</x:v>
      </x:c>
      <x:c r="J1" s="18" t="str">
        <x:v>chatgpt_confidence</x:v>
      </x:c>
      <x:c r="K1" s="18" t="str">
        <x:v>chatgpt_reason_tr</x:v>
      </x:c>
      <x:c r="L1" s="18" t="str">
        <x:v>finbert_match</x:v>
      </x:c>
      <x:c r="M1" s="18" t="str">
        <x:v>needs_review</x:v>
      </x:c>
      <x:c r="N1" s="18" t="str">
        <x:v>review_note</x:v>
      </x:c>
    </x:row>
    <x:row r="2" ht="54" customHeight="1">
      <x:c r="A2" s="19" t="str">
        <x:v>REUTERS_ANN_01151</x:v>
      </x:c>
      <x:c r="B2" s="20" t="n">
        <x:v>39092</x:v>
      </x:c>
      <x:c r="C2" s="19" t="n">
        <x:v>0</x:v>
      </x:c>
      <x:c r="D2" s="19" t="str">
        <x:v>neutral</x:v>
      </x:c>
      <x:c r="E2" s="21" t="n">
        <x:v>0.8917829394340515</x:v>
      </x:c>
      <x:c r="F2" s="22" t="str">
        <x:v>venezuelas chavez seeks control of gas</x:v>
      </x:c>
      <x:c r="G2" s="22" t="str">
        <x:v>Venezuela lideri Chavez, doğal gaz üzerinde kontrol sağlamaya çalışıyor</x:v>
      </x:c>
      <x:c r="H2" s="19" t="n">
        <x:v>-1</x:v>
      </x:c>
      <x:c r="I2" s="19" t="str">
        <x:v>negative</x:v>
      </x:c>
      <x:c r="J2" s="23" t="n">
        <x:v>0.8</x:v>
      </x:c>
      <x:c r="K2" s="22" t="str">
        <x:v>Devlet kontrolü ve kamulaştırma riski enerji şirketleri için yatırımcı açısından olumsuz belirsizlik yaratıyor.</x:v>
      </x:c>
      <x:c r="L2" s="22" t="str">
        <x:v>different</x:v>
      </x:c>
      <x:c r="M2" s="22" t="str">
        <x:v>yes</x:v>
      </x:c>
      <x:c r="N2" s="22" t="str">
        <x:v>FinBERT=neutral, ChatGPT=negative; insan kontrolü önerilir.</x:v>
      </x:c>
    </x:row>
    <x:row r="3" ht="54" customHeight="1">
      <x:c r="A3" s="19" t="str">
        <x:v>REUTERS_ANN_01152</x:v>
      </x:c>
      <x:c r="B3" s="20" t="n">
        <x:v>39194</x:v>
      </x:c>
      <x:c r="C3" s="19" t="n">
        <x:v>0</x:v>
      </x:c>
      <x:c r="D3" s="19" t="str">
        <x:v>neutral</x:v>
      </x:c>
      <x:c r="E3" s="21" t="n">
        <x:v>0.8545256853103638</x:v>
      </x:c>
      <x:c r="F3" s="22" t="str">
        <x:v>barclays deal for abn looms lasalle set for sale</x:v>
      </x:c>
      <x:c r="G3" s="22" t="str">
        <x:v>Barclays'in ABN anlaşması yaklaşırken LaSalle'in satışa hazır olduğu belirtiliyor</x:v>
      </x:c>
      <x:c r="H3" s="19" t="n">
        <x:v>1</x:v>
      </x:c>
      <x:c r="I3" s="19" t="str">
        <x:v>positive</x:v>
      </x:c>
      <x:c r="J3" s="23" t="n">
        <x:v>0.72</x:v>
      </x:c>
      <x:c r="K3" s="22" t="str">
        <x:v>Satış ve birleşme sürecinin ilerlemesi işlem değeri ve piyasa beklentileri açısından hafif olumlu.</x:v>
      </x:c>
      <x:c r="L3" s="22" t="str">
        <x:v>different</x:v>
      </x:c>
      <x:c r="M3" s="22" t="str">
        <x:v>yes</x:v>
      </x:c>
      <x:c r="N3" s="22" t="str">
        <x:v>FinBERT=neutral, ChatGPT=positive; insan kontrolü önerilir.</x:v>
      </x:c>
    </x:row>
    <x:row r="4" ht="54" customHeight="1">
      <x:c r="A4" s="19" t="str">
        <x:v>REUTERS_ANN_01153</x:v>
      </x:c>
      <x:c r="B4" s="20" t="n">
        <x:v>39059</x:v>
      </x:c>
      <x:c r="C4" s="19" t="n">
        <x:v>1</x:v>
      </x:c>
      <x:c r="D4" s="19" t="str">
        <x:v>positive</x:v>
      </x:c>
      <x:c r="E4" s="21" t="n">
        <x:v>0.9434423446655272</x:v>
      </x:c>
      <x:c r="F4" s="22" t="str">
        <x:v>oracle ups bid for indias i-flex</x:v>
      </x:c>
      <x:c r="G4" s="22" t="str">
        <x:v>Oracle, Hindistanlı i-flex için teklifini yükseltti</x:v>
      </x:c>
      <x:c r="H4" s="19" t="n">
        <x:v>1</x:v>
      </x:c>
      <x:c r="I4" s="19" t="str">
        <x:v>positive</x:v>
      </x:c>
      <x:c r="J4" s="23" t="n">
        <x:v>0.9</x:v>
      </x:c>
      <x:c r="K4" s="22" t="str">
        <x:v>Daha yüksek satın alma teklifi hedef şirket ve anlaşma olasılığı açısından olumlu.</x:v>
      </x:c>
      <x:c r="L4" s="22" t="str">
        <x:v>same</x:v>
      </x:c>
      <x:c r="M4" s="22" t="str">
        <x:v>no</x:v>
      </x:c>
      <x:c r="N4" s="22" t="str"/>
    </x:row>
    <x:row r="5" ht="54" customHeight="1">
      <x:c r="A5" s="19" t="str">
        <x:v>REUTERS_ANN_01154</x:v>
      </x:c>
      <x:c r="B5" s="20" t="n">
        <x:v>39097</x:v>
      </x:c>
      <x:c r="C5" s="19" t="n">
        <x:v>1</x:v>
      </x:c>
      <x:c r="D5" s="19" t="str">
        <x:v>positive</x:v>
      </x:c>
      <x:c r="E5" s="21" t="n">
        <x:v>0.8295183777809143</x:v>
      </x:c>
      <x:c r="F5" s="22" t="str">
        <x:v>google, yahoo gain share in u.s. web search market</x:v>
      </x:c>
      <x:c r="G5" s="22" t="str">
        <x:v>Google ve Yahoo, ABD web arama pazarındaki payını artırdı</x:v>
      </x:c>
      <x:c r="H5" s="19" t="n">
        <x:v>1</x:v>
      </x:c>
      <x:c r="I5" s="19" t="str">
        <x:v>positive</x:v>
      </x:c>
      <x:c r="J5" s="23" t="n">
        <x:v>0.91</x:v>
      </x:c>
      <x:c r="K5" s="22" t="str">
        <x:v>Pazar payı kazanımı teknoloji şirketleri için gelir ve rekabet gücü açısından olumlu.</x:v>
      </x:c>
      <x:c r="L5" s="22" t="str">
        <x:v>same</x:v>
      </x:c>
      <x:c r="M5" s="22" t="str">
        <x:v>no</x:v>
      </x:c>
      <x:c r="N5" s="22" t="str"/>
    </x:row>
    <x:row r="6" ht="54" customHeight="1">
      <x:c r="A6" s="19" t="str">
        <x:v>REUTERS_ANN_01155</x:v>
      </x:c>
      <x:c r="B6" s="20" t="n">
        <x:v>39046</x:v>
      </x:c>
      <x:c r="C6" s="19" t="n">
        <x:v>0</x:v>
      </x:c>
      <x:c r="D6" s="19" t="str">
        <x:v>neutral</x:v>
      </x:c>
      <x:c r="E6" s="21" t="n">
        <x:v>0.8505539894104004</x:v>
      </x:c>
      <x:c r="F6" s="22" t="str">
        <x:v>shoppers go online for t.m.x. elmo, ps3</x:v>
      </x:c>
      <x:c r="G6" s="22" t="str">
        <x:v>Alışverişçiler T.M.X. Elmo ve PS3 için internete yöneliyor</x:v>
      </x:c>
      <x:c r="H6" s="19" t="n">
        <x:v>1</x:v>
      </x:c>
      <x:c r="I6" s="19" t="str">
        <x:v>positive</x:v>
      </x:c>
      <x:c r="J6" s="23" t="n">
        <x:v>0.66</x:v>
      </x:c>
      <x:c r="K6" s="22" t="str">
        <x:v>Online talebin güçlü görünmesi e-ticaret ve perakende açısından sınırlı olumlu sinyal veriyor.</x:v>
      </x:c>
      <x:c r="L6" s="22" t="str">
        <x:v>different</x:v>
      </x:c>
      <x:c r="M6" s="22" t="str">
        <x:v>yes</x:v>
      </x:c>
      <x:c r="N6" s="22" t="str">
        <x:v>FinBERT=neutral, ChatGPT=positive; insan kontrolü önerilir.</x:v>
      </x:c>
    </x:row>
    <x:row r="7" ht="54" customHeight="1">
      <x:c r="A7" s="19" t="str">
        <x:v>REUTERS_ANN_01156</x:v>
      </x:c>
      <x:c r="B7" s="20" t="n">
        <x:v>39058</x:v>
      </x:c>
      <x:c r="C7" s="19" t="n">
        <x:v>0</x:v>
      </x:c>
      <x:c r="D7" s="19" t="str">
        <x:v>neutral</x:v>
      </x:c>
      <x:c r="E7" s="21" t="n">
        <x:v>0.7612114548683167</x:v>
      </x:c>
      <x:c r="F7" s="22" t="str">
        <x:v>reckson shareholders ok sl greens $4 bln takeover</x:v>
      </x:c>
      <x:c r="G7" s="22" t="str">
        <x:v>Reckson hissedarları SL Green'in 4 milyar dolarlık devralmasını onayladı</x:v>
      </x:c>
      <x:c r="H7" s="19" t="n">
        <x:v>1</x:v>
      </x:c>
      <x:c r="I7" s="19" t="str">
        <x:v>positive</x:v>
      </x:c>
      <x:c r="J7" s="23" t="n">
        <x:v>0.84</x:v>
      </x:c>
      <x:c r="K7" s="22" t="str">
        <x:v>Hissedar onayı anlaşmanın tamamlanma ihtimalini artırdığı için olumlu.</x:v>
      </x:c>
      <x:c r="L7" s="22" t="str">
        <x:v>different</x:v>
      </x:c>
      <x:c r="M7" s="22" t="str">
        <x:v>yes</x:v>
      </x:c>
      <x:c r="N7" s="22" t="str">
        <x:v>FinBERT=neutral, ChatGPT=positive; insan kontrolü önerilir.</x:v>
      </x:c>
    </x:row>
    <x:row r="8" ht="54" customHeight="1">
      <x:c r="A8" s="19" t="str">
        <x:v>REUTERS_ANN_01157</x:v>
      </x:c>
      <x:c r="B8" s="20" t="n">
        <x:v>39096</x:v>
      </x:c>
      <x:c r="C8" s="19" t="n">
        <x:v>-1</x:v>
      </x:c>
      <x:c r="D8" s="19" t="str">
        <x:v>negative</x:v>
      </x:c>
      <x:c r="E8" s="21" t="n">
        <x:v>0.9600321054458618</x:v>
      </x:c>
      <x:c r="F8" s="22" t="str">
        <x:v>kimberly clark may be buyout target barrons</x:v>
      </x:c>
      <x:c r="G8" s="22" t="str">
        <x:v>Barron's'a göre Kimberly-Clark satın alma hedefi olabilir</x:v>
      </x:c>
      <x:c r="H8" s="19" t="n">
        <x:v>1</x:v>
      </x:c>
      <x:c r="I8" s="19" t="str">
        <x:v>positive</x:v>
      </x:c>
      <x:c r="J8" s="23" t="n">
        <x:v>0.76</x:v>
      </x:c>
      <x:c r="K8" s="22" t="str">
        <x:v>Satın alma spekülasyonu genelde hedef şirket değerlemesi için olumlu algılanır.</x:v>
      </x:c>
      <x:c r="L8" s="22" t="str">
        <x:v>different</x:v>
      </x:c>
      <x:c r="M8" s="22" t="str">
        <x:v>yes</x:v>
      </x:c>
      <x:c r="N8" s="22" t="str">
        <x:v>FinBERT=negative, ChatGPT=positive; insan kontrolü önerilir.</x:v>
      </x:c>
    </x:row>
    <x:row r="9" ht="54" customHeight="1">
      <x:c r="A9" s="19" t="str">
        <x:v>REUTERS_ANN_01158</x:v>
      </x:c>
      <x:c r="B9" s="20" t="n">
        <x:v>39197</x:v>
      </x:c>
      <x:c r="C9" s="19" t="n">
        <x:v>1</x:v>
      </x:c>
      <x:c r="D9" s="19" t="str">
        <x:v>positive</x:v>
      </x:c>
      <x:c r="E9" s="21" t="n">
        <x:v>0.9507097005844116</x:v>
      </x:c>
      <x:c r="F9" s="22" t="str">
        <x:v>general dynamics profit rises on higher sales</x:v>
      </x:c>
      <x:c r="G9" s="22" t="str">
        <x:v>General Dynamics'in kârı yüksek satışlarla arttı</x:v>
      </x:c>
      <x:c r="H9" s="19" t="n">
        <x:v>1</x:v>
      </x:c>
      <x:c r="I9" s="19" t="str">
        <x:v>positive</x:v>
      </x:c>
      <x:c r="J9" s="23" t="n">
        <x:v>0.95</x:v>
      </x:c>
      <x:c r="K9" s="22" t="str">
        <x:v>Kâr ve satış artışı açık biçimde olumlu finansal performans gösteriyor.</x:v>
      </x:c>
      <x:c r="L9" s="22" t="str">
        <x:v>same</x:v>
      </x:c>
      <x:c r="M9" s="22" t="str">
        <x:v>no</x:v>
      </x:c>
      <x:c r="N9" s="22" t="str"/>
    </x:row>
    <x:row r="10" ht="54" customHeight="1">
      <x:c r="A10" s="19" t="str">
        <x:v>REUTERS_ANN_01159</x:v>
      </x:c>
      <x:c r="B10" s="20" t="n">
        <x:v>39203</x:v>
      </x:c>
      <x:c r="C10" s="19" t="n">
        <x:v>1</x:v>
      </x:c>
      <x:c r="D10" s="19" t="str">
        <x:v>positive</x:v>
      </x:c>
      <x:c r="E10" s="21" t="n">
        <x:v>0.9504658579826356</x:v>
      </x:c>
      <x:c r="F10" s="22" t="str">
        <x:v>nymex quarterly profit rises</x:v>
      </x:c>
      <x:c r="G10" s="22" t="str">
        <x:v>Nymex'in çeyreklik kârı yükseldi</x:v>
      </x:c>
      <x:c r="H10" s="19" t="n">
        <x:v>1</x:v>
      </x:c>
      <x:c r="I10" s="19" t="str">
        <x:v>positive</x:v>
      </x:c>
      <x:c r="J10" s="23" t="n">
        <x:v>0.94</x:v>
      </x:c>
      <x:c r="K10" s="22" t="str">
        <x:v>Kâr artışı doğrudan olumlu finansal sonuçtur.</x:v>
      </x:c>
      <x:c r="L10" s="22" t="str">
        <x:v>same</x:v>
      </x:c>
      <x:c r="M10" s="22" t="str">
        <x:v>no</x:v>
      </x:c>
      <x:c r="N10" s="22" t="str"/>
    </x:row>
    <x:row r="11" ht="54" customHeight="1">
      <x:c r="A11" s="19" t="str">
        <x:v>REUTERS_ANN_01160</x:v>
      </x:c>
      <x:c r="B11" s="20" t="n">
        <x:v>39134</x:v>
      </x:c>
      <x:c r="C11" s="19" t="n">
        <x:v>1</x:v>
      </x:c>
      <x:c r="D11" s="19" t="str">
        <x:v>positive</x:v>
      </x:c>
      <x:c r="E11" s="21" t="n">
        <x:v>0.9042383432388306</x:v>
      </x:c>
      <x:c r="F11" s="22" t="str">
        <x:v>medical costs push up consumer prices</x:v>
      </x:c>
      <x:c r="G11" s="22" t="str">
        <x:v>Sağlık maliyetleri tüketici fiyatlarını yukarı çekti</x:v>
      </x:c>
      <x:c r="H11" s="19" t="n">
        <x:v>-1</x:v>
      </x:c>
      <x:c r="I11" s="19" t="str">
        <x:v>negative</x:v>
      </x:c>
      <x:c r="J11" s="23" t="n">
        <x:v>0.86</x:v>
      </x:c>
      <x:c r="K11" s="22" t="str">
        <x:v>Enflasyon baskısının artması faiz ve maliyet görünümü açısından olumsuzdur.</x:v>
      </x:c>
      <x:c r="L11" s="22" t="str">
        <x:v>different</x:v>
      </x:c>
      <x:c r="M11" s="22" t="str">
        <x:v>yes</x:v>
      </x:c>
      <x:c r="N11" s="22" t="str">
        <x:v>FinBERT=positive, ChatGPT=negative; insan kontrolü önerilir.</x:v>
      </x:c>
    </x:row>
    <x:row r="12" ht="54" customHeight="1">
      <x:c r="A12" s="19" t="str">
        <x:v>REUTERS_ANN_01161</x:v>
      </x:c>
      <x:c r="B12" s="20" t="n">
        <x:v>39028</x:v>
      </x:c>
      <x:c r="C12" s="19" t="n">
        <x:v>1</x:v>
      </x:c>
      <x:c r="D12" s="19" t="str">
        <x:v>positive</x:v>
      </x:c>
      <x:c r="E12" s="21" t="n">
        <x:v>0.9528719186782836</x:v>
      </x:c>
      <x:c r="F12" s="22" t="str">
        <x:v>yell says reiterates full-year guidance</x:v>
      </x:c>
      <x:c r="G12" s="22" t="str">
        <x:v>Yell, yıl sonu beklentisini yinelediğini açıkladı</x:v>
      </x:c>
      <x:c r="H12" s="19" t="n">
        <x:v>1</x:v>
      </x:c>
      <x:c r="I12" s="19" t="str">
        <x:v>positive</x:v>
      </x:c>
      <x:c r="J12" s="23" t="n">
        <x:v>0.72</x:v>
      </x:c>
      <x:c r="K12" s="22" t="str">
        <x:v>Şirketin tam yıl beklentisini koruması istikrar ve güven sinyali verir.</x:v>
      </x:c>
      <x:c r="L12" s="22" t="str">
        <x:v>same</x:v>
      </x:c>
      <x:c r="M12" s="22" t="str">
        <x:v>no</x:v>
      </x:c>
      <x:c r="N12" s="22" t="str"/>
    </x:row>
    <x:row r="13" ht="54" customHeight="1">
      <x:c r="A13" s="19" t="str">
        <x:v>REUTERS_ANN_01162</x:v>
      </x:c>
      <x:c r="B13" s="20" t="n">
        <x:v>39049</x:v>
      </x:c>
      <x:c r="C13" s="19" t="n">
        <x:v>0</x:v>
      </x:c>
      <x:c r="D13" s="19" t="str">
        <x:v>neutral</x:v>
      </x:c>
      <x:c r="E13" s="21" t="n">
        <x:v>0.6832958459854126</x:v>
      </x:c>
      <x:c r="F13" s="22" t="str">
        <x:v>sberbank postpones decision on $8.7 billion share issue</x:v>
      </x:c>
      <x:c r="G13" s="22" t="str">
        <x:v>Sberbank, 8,7 milyar dolarlık hisse ihracı kararını erteledi</x:v>
      </x:c>
      <x:c r="H13" s="19" t="n">
        <x:v>0</x:v>
      </x:c>
      <x:c r="I13" s="19" t="str">
        <x:v>neutral</x:v>
      </x:c>
      <x:c r="J13" s="23" t="n">
        <x:v>0.66</x:v>
      </x:c>
      <x:c r="K13" s="22" t="str">
        <x:v>Kararın ertelenmesi belirsizlik yaratsa da doğrudan sonuç açıklamadığı için nötr kabul edildi.</x:v>
      </x:c>
      <x:c r="L13" s="22" t="str">
        <x:v>same</x:v>
      </x:c>
      <x:c r="M13" s="22" t="str">
        <x:v>yes</x:v>
      </x:c>
      <x:c r="N13" s="22" t="str"/>
    </x:row>
    <x:row r="14" ht="54" customHeight="1">
      <x:c r="A14" s="19" t="str">
        <x:v>REUTERS_ANN_01163</x:v>
      </x:c>
      <x:c r="B14" s="20" t="n">
        <x:v>39133</x:v>
      </x:c>
      <x:c r="C14" s="19" t="n">
        <x:v>0</x:v>
      </x:c>
      <x:c r="D14" s="19" t="str">
        <x:v>neutral</x:v>
      </x:c>
      <x:c r="E14" s="21" t="n">
        <x:v>0.6629776358604431</x:v>
      </x:c>
      <x:c r="F14" s="22" t="str">
        <x:v>dell to pay $5 million to former ceo kevin rollins</x:v>
      </x:c>
      <x:c r="G14" s="22" t="str">
        <x:v>Dell, eski CEO Kevin Rollins'e 5 milyon dolar ödeyecek</x:v>
      </x:c>
      <x:c r="H14" s="19" t="n">
        <x:v>0</x:v>
      </x:c>
      <x:c r="I14" s="19" t="str">
        <x:v>neutral</x:v>
      </x:c>
      <x:c r="J14" s="23" t="n">
        <x:v>0.68</x:v>
      </x:c>
      <x:c r="K14" s="22" t="str">
        <x:v>Yönetici ödeme haberi sınırlı finansal etkiye sahip; belirgin piyasa yönü yok.</x:v>
      </x:c>
      <x:c r="L14" s="22" t="str">
        <x:v>same</x:v>
      </x:c>
      <x:c r="M14" s="22" t="str">
        <x:v>yes</x:v>
      </x:c>
      <x:c r="N14" s="22" t="str"/>
    </x:row>
    <x:row r="15" ht="54" customHeight="1">
      <x:c r="A15" s="19" t="str">
        <x:v>REUTERS_ANN_01164</x:v>
      </x:c>
      <x:c r="B15" s="20" t="n">
        <x:v>39031</x:v>
      </x:c>
      <x:c r="C15" s="19" t="n">
        <x:v>0</x:v>
      </x:c>
      <x:c r="D15" s="19" t="str">
        <x:v>neutral</x:v>
      </x:c>
      <x:c r="E15" s="21" t="n">
        <x:v>0.9248000383377076</x:v>
      </x:c>
      <x:c r="F15" s="22" t="str">
        <x:v>novartis says will not pay more asthma royalties</x:v>
      </x:c>
      <x:c r="G15" s="22" t="str">
        <x:v>Novartis, daha fazla astım ilacı telifi ödemeyeceğini söyledi</x:v>
      </x:c>
      <x:c r="H15" s="19" t="n">
        <x:v>0</x:v>
      </x:c>
      <x:c r="I15" s="19" t="str">
        <x:v>neutral</x:v>
      </x:c>
      <x:c r="J15" s="23" t="n">
        <x:v>0.67</x:v>
      </x:c>
      <x:c r="K15" s="22" t="str">
        <x:v>Royalty anlaşmazlığı içeriyor ancak haberden net finansal yön çıkarılamıyor.</x:v>
      </x:c>
      <x:c r="L15" s="22" t="str">
        <x:v>same</x:v>
      </x:c>
      <x:c r="M15" s="22" t="str">
        <x:v>yes</x:v>
      </x:c>
      <x:c r="N15" s="22" t="str"/>
    </x:row>
    <x:row r="16" ht="54" customHeight="1">
      <x:c r="A16" s="19" t="str">
        <x:v>REUTERS_ANN_01165</x:v>
      </x:c>
      <x:c r="B16" s="20" t="n">
        <x:v>39206</x:v>
      </x:c>
      <x:c r="C16" s="19" t="n">
        <x:v>1</x:v>
      </x:c>
      <x:c r="D16" s="19" t="str">
        <x:v>positive</x:v>
      </x:c>
      <x:c r="E16" s="21" t="n">
        <x:v>0.9421184659004213</x:v>
      </x:c>
      <x:c r="F16" s="22" t="str">
        <x:v>emi shares up 8 pct on takeover approaches</x:v>
      </x:c>
      <x:c r="G16" s="22" t="str">
        <x:v>EMI hisseleri devralma yaklaşımları üzerine yüzde 8 yükseldi</x:v>
      </x:c>
      <x:c r="H16" s="19" t="n">
        <x:v>1</x:v>
      </x:c>
      <x:c r="I16" s="19" t="str">
        <x:v>positive</x:v>
      </x:c>
      <x:c r="J16" s="23" t="n">
        <x:v>0.93</x:v>
      </x:c>
      <x:c r="K16" s="22" t="str">
        <x:v>Hisselerde yükseliş ve satın alma ilgisi açık olumlu sinyal.</x:v>
      </x:c>
      <x:c r="L16" s="22" t="str">
        <x:v>same</x:v>
      </x:c>
      <x:c r="M16" s="22" t="str">
        <x:v>no</x:v>
      </x:c>
      <x:c r="N16" s="22" t="str"/>
    </x:row>
    <x:row r="17" ht="54" customHeight="1">
      <x:c r="A17" s="19" t="str">
        <x:v>REUTERS_ANN_01166</x:v>
      </x:c>
      <x:c r="B17" s="20" t="n">
        <x:v>39132</x:v>
      </x:c>
      <x:c r="C17" s="19" t="n">
        <x:v>1</x:v>
      </x:c>
      <x:c r="D17" s="19" t="str">
        <x:v>positive</x:v>
      </x:c>
      <x:c r="E17" s="21" t="n">
        <x:v>0.796237051486969</x:v>
      </x:c>
      <x:c r="F17" s="22" t="str">
        <x:v>scor buys converium stake, has full bid rebuffed</x:v>
      </x:c>
      <x:c r="G17" s="22" t="str">
        <x:v>Scor, Converium hissesi aldı ancak tam teklif geri çevrildi</x:v>
      </x:c>
      <x:c r="H17" s="19" t="n">
        <x:v>0</x:v>
      </x:c>
      <x:c r="I17" s="19" t="str">
        <x:v>neutral</x:v>
      </x:c>
      <x:c r="J17" s="23" t="n">
        <x:v>0.63</x:v>
      </x:c>
      <x:c r="K17" s="22" t="str">
        <x:v>Satın alma ilgisi olumlu olsa da teklifin reddedilmesi nedeniyle haber karışık.</x:v>
      </x:c>
      <x:c r="L17" s="22" t="str">
        <x:v>different</x:v>
      </x:c>
      <x:c r="M17" s="22" t="str">
        <x:v>yes</x:v>
      </x:c>
      <x:c r="N17" s="22" t="str">
        <x:v>FinBERT=positive, ChatGPT=neutral; insan kontrolü önerilir.</x:v>
      </x:c>
    </x:row>
    <x:row r="18" ht="54" customHeight="1">
      <x:c r="A18" s="19" t="str">
        <x:v>REUTERS_ANN_01167</x:v>
      </x:c>
      <x:c r="B18" s="20" t="n">
        <x:v>39086</x:v>
      </x:c>
      <x:c r="C18" s="19" t="n">
        <x:v>0</x:v>
      </x:c>
      <x:c r="D18" s="19" t="str">
        <x:v>neutral</x:v>
      </x:c>
      <x:c r="E18" s="21" t="n">
        <x:v>0.9243925213813782</x:v>
      </x:c>
      <x:c r="F18" s="22" t="str">
        <x:v>time warner cable seen public this month analysts</x:v>
      </x:c>
      <x:c r="G18" s="22" t="str">
        <x:v>Analistlere göre Time Warner Cable bu ay halka açılabilir</x:v>
      </x:c>
      <x:c r="H18" s="19" t="n">
        <x:v>0</x:v>
      </x:c>
      <x:c r="I18" s="19" t="str">
        <x:v>neutral</x:v>
      </x:c>
      <x:c r="J18" s="23" t="n">
        <x:v>0.7</x:v>
      </x:c>
      <x:c r="K18" s="22" t="str">
        <x:v>Halka açılma beklentisi var fakat somut finansal sonuç henüz yok.</x:v>
      </x:c>
      <x:c r="L18" s="22" t="str">
        <x:v>same</x:v>
      </x:c>
      <x:c r="M18" s="22" t="str">
        <x:v>no</x:v>
      </x:c>
      <x:c r="N18" s="22" t="str"/>
    </x:row>
    <x:row r="19" ht="54" customHeight="1">
      <x:c r="A19" s="19" t="str">
        <x:v>REUTERS_ANN_01168</x:v>
      </x:c>
      <x:c r="B19" s="20" t="n">
        <x:v>39210</x:v>
      </x:c>
      <x:c r="C19" s="19" t="n">
        <x:v>-1</x:v>
      </x:c>
      <x:c r="D19" s="19" t="str">
        <x:v>negative</x:v>
      </x:c>
      <x:c r="E19" s="21" t="n">
        <x:v>0.9133529663085938</x:v>
      </x:c>
      <x:c r="F19" s="22" t="str">
        <x:v>ibm selling up to $85 mln in lenovo shares</x:v>
      </x:c>
      <x:c r="G19" s="22" t="str">
        <x:v>IBM, Lenovo'da 85 milyon dolara kadar hisse satıyor</x:v>
      </x:c>
      <x:c r="H19" s="19" t="n">
        <x:v>0</x:v>
      </x:c>
      <x:c r="I19" s="19" t="str">
        <x:v>neutral</x:v>
      </x:c>
      <x:c r="J19" s="23" t="n">
        <x:v>0.64</x:v>
      </x:c>
      <x:c r="K19" s="22" t="str">
        <x:v>Hisse satışı portföy işlemi niteliğinde; doğrudan olumlu/olumsuz etki sınırlı.</x:v>
      </x:c>
      <x:c r="L19" s="22" t="str">
        <x:v>different</x:v>
      </x:c>
      <x:c r="M19" s="22" t="str">
        <x:v>yes</x:v>
      </x:c>
      <x:c r="N19" s="22" t="str">
        <x:v>FinBERT=negative, ChatGPT=neutral; insan kontrolü önerilir.</x:v>
      </x:c>
    </x:row>
    <x:row r="20" ht="54" customHeight="1">
      <x:c r="A20" s="19" t="str">
        <x:v>REUTERS_ANN_01169</x:v>
      </x:c>
      <x:c r="B20" s="20" t="n">
        <x:v>39013</x:v>
      </x:c>
      <x:c r="C20" s="19" t="n">
        <x:v>-1</x:v>
      </x:c>
      <x:c r="D20" s="19" t="str">
        <x:v>negative</x:v>
      </x:c>
      <x:c r="E20" s="21" t="n">
        <x:v>0.6570122838020325</x:v>
      </x:c>
      <x:c r="F20" s="22" t="str">
        <x:v>daimlerchrysler talks to 2 firms on small car paper</x:v>
      </x:c>
      <x:c r="G20" s="22" t="str">
        <x:v>DaimlerChrysler'in küçük otomobil için iki şirketle görüştüğü bildiriliyor</x:v>
      </x:c>
      <x:c r="H20" s="19" t="n">
        <x:v>0</x:v>
      </x:c>
      <x:c r="I20" s="19" t="str">
        <x:v>neutral</x:v>
      </x:c>
      <x:c r="J20" s="23" t="n">
        <x:v>0.64</x:v>
      </x:c>
      <x:c r="K20" s="22" t="str">
        <x:v>Olası iş birliği haberi, kesin sonuç olmadığı için nötr.</x:v>
      </x:c>
      <x:c r="L20" s="22" t="str">
        <x:v>different</x:v>
      </x:c>
      <x:c r="M20" s="22" t="str">
        <x:v>yes</x:v>
      </x:c>
      <x:c r="N20" s="22" t="str">
        <x:v>FinBERT=negative, ChatGPT=neutral; insan kontrolü önerilir.</x:v>
      </x:c>
    </x:row>
    <x:row r="21" ht="54" customHeight="1">
      <x:c r="A21" s="19" t="str">
        <x:v>REUTERS_ANN_01170</x:v>
      </x:c>
      <x:c r="B21" s="20" t="n">
        <x:v>39204</x:v>
      </x:c>
      <x:c r="C21" s="19" t="n">
        <x:v>1</x:v>
      </x:c>
      <x:c r="D21" s="19" t="str">
        <x:v>positive</x:v>
      </x:c>
      <x:c r="E21" s="21" t="n">
        <x:v>0.9468461275100708</x:v>
      </x:c>
      <x:c r="F21" s="22" t="str">
        <x:v>clorox quarterly profit rises</x:v>
      </x:c>
      <x:c r="G21" s="22" t="str">
        <x:v>Clorox'un çeyreklik kârı arttı</x:v>
      </x:c>
      <x:c r="H21" s="19" t="n">
        <x:v>1</x:v>
      </x:c>
      <x:c r="I21" s="19" t="str">
        <x:v>positive</x:v>
      </x:c>
      <x:c r="J21" s="23" t="n">
        <x:v>0.94</x:v>
      </x:c>
      <x:c r="K21" s="22" t="str">
        <x:v>Kâr artışı şirket performansı açısından olumlu.</x:v>
      </x:c>
      <x:c r="L21" s="22" t="str">
        <x:v>same</x:v>
      </x:c>
      <x:c r="M21" s="22" t="str">
        <x:v>no</x:v>
      </x:c>
      <x:c r="N21" s="22" t="str"/>
    </x:row>
    <x:row r="22" ht="54" customHeight="1">
      <x:c r="A22" s="19" t="str">
        <x:v>REUTERS_ANN_01171</x:v>
      </x:c>
      <x:c r="B22" s="20" t="n">
        <x:v>39206</x:v>
      </x:c>
      <x:c r="C22" s="19" t="n">
        <x:v>0</x:v>
      </x:c>
      <x:c r="D22" s="19" t="str">
        <x:v>neutral</x:v>
      </x:c>
      <x:c r="E22" s="21" t="n">
        <x:v>0.4993928372859955</x:v>
      </x:c>
      <x:c r="F22" s="22" t="str">
        <x:v>u.s. homeowners see steady home values survey</x:v>
      </x:c>
      <x:c r="G22" s="22" t="str">
        <x:v>Ankete göre ABD ev sahipleri konut değerlerinin sabit kaldığını düşünüyor</x:v>
      </x:c>
      <x:c r="H22" s="19" t="n">
        <x:v>0</x:v>
      </x:c>
      <x:c r="I22" s="19" t="str">
        <x:v>neutral</x:v>
      </x:c>
      <x:c r="J22" s="23" t="n">
        <x:v>0.62</x:v>
      </x:c>
      <x:c r="K22" s="22" t="str">
        <x:v>Konut değerlerinde istikrar sinyali var ancak güçlü yönlü piyasa etkisi yok.</x:v>
      </x:c>
      <x:c r="L22" s="22" t="str">
        <x:v>same</x:v>
      </x:c>
      <x:c r="M22" s="22" t="str">
        <x:v>yes</x:v>
      </x:c>
      <x:c r="N22" s="22" t="str"/>
    </x:row>
    <x:row r="23" ht="54" customHeight="1">
      <x:c r="A23" s="19" t="str">
        <x:v>REUTERS_ANN_01172</x:v>
      </x:c>
      <x:c r="B23" s="20" t="n">
        <x:v>39108</x:v>
      </x:c>
      <x:c r="C23" s="19" t="n">
        <x:v>0</x:v>
      </x:c>
      <x:c r="D23" s="19" t="str">
        <x:v>neutral</x:v>
      </x:c>
      <x:c r="E23" s="21" t="n">
        <x:v>0.8377993106842041</x:v>
      </x:c>
      <x:c r="F23" s="22" t="str">
        <x:v>nyse ceo sees tokyo link announcement next week</x:v>
      </x:c>
      <x:c r="G23" s="22" t="str">
        <x:v>NYSE CEO'su Tokyo bağlantısı duyurusunun gelecek hafta gelebileceğini söyledi</x:v>
      </x:c>
      <x:c r="H23" s="19" t="n">
        <x:v>1</x:v>
      </x:c>
      <x:c r="I23" s="19" t="str">
        <x:v>positive</x:v>
      </x:c>
      <x:c r="J23" s="23" t="n">
        <x:v>0.7</x:v>
      </x:c>
      <x:c r="K23" s="22" t="str">
        <x:v>Borsa iş birliği olasılığı stratejik genişleme açısından hafif olumlu.</x:v>
      </x:c>
      <x:c r="L23" s="22" t="str">
        <x:v>different</x:v>
      </x:c>
      <x:c r="M23" s="22" t="str">
        <x:v>yes</x:v>
      </x:c>
      <x:c r="N23" s="22" t="str">
        <x:v>FinBERT=neutral, ChatGPT=positive; insan kontrolü önerilir.</x:v>
      </x:c>
    </x:row>
    <x:row r="24" ht="54" customHeight="1">
      <x:c r="A24" s="19" t="str">
        <x:v>REUTERS_ANN_01173</x:v>
      </x:c>
      <x:c r="B24" s="20" t="n">
        <x:v>39014</x:v>
      </x:c>
      <x:c r="C24" s="19" t="n">
        <x:v>-1</x:v>
      </x:c>
      <x:c r="D24" s="19" t="str">
        <x:v>negative</x:v>
      </x:c>
      <x:c r="E24" s="21" t="n">
        <x:v>0.9647782444953918</x:v>
      </x:c>
      <x:c r="F24" s="22" t="str">
        <x:v>sony says may lose some battery business on recall</x:v>
      </x:c>
      <x:c r="G24" s="22" t="str">
        <x:v>Sony, pil geri çağırması nedeniyle bazı pil işlerini kaybedebileceğini söyledi</x:v>
      </x:c>
      <x:c r="H24" s="19" t="n">
        <x:v>-1</x:v>
      </x:c>
      <x:c r="I24" s="19" t="str">
        <x:v>negative</x:v>
      </x:c>
      <x:c r="J24" s="23" t="n">
        <x:v>0.92</x:v>
      </x:c>
      <x:c r="K24" s="22" t="str">
        <x:v>Geri çağırma kaynaklı iş kaybı riski doğrudan olumsuz.</x:v>
      </x:c>
      <x:c r="L24" s="22" t="str">
        <x:v>same</x:v>
      </x:c>
      <x:c r="M24" s="22" t="str">
        <x:v>no</x:v>
      </x:c>
      <x:c r="N24" s="22" t="str"/>
    </x:row>
    <x:row r="25" ht="54" customHeight="1">
      <x:c r="A25" s="19" t="str">
        <x:v>REUTERS_ANN_01174</x:v>
      </x:c>
      <x:c r="B25" s="20" t="n">
        <x:v>39174</x:v>
      </x:c>
      <x:c r="C25" s="19" t="n">
        <x:v>1</x:v>
      </x:c>
      <x:c r="D25" s="19" t="str">
        <x:v>positive</x:v>
      </x:c>
      <x:c r="E25" s="21" t="n">
        <x:v>0.6660124063491821</x:v>
      </x:c>
      <x:c r="F25" s="22" t="str">
        <x:v>xerox to buy global imaging systems for $1.5 bln</x:v>
      </x:c>
      <x:c r="G25" s="22" t="str">
        <x:v>Xerox, Global Imaging Systems'ı 1,5 milyar dolara satın alacak</x:v>
      </x:c>
      <x:c r="H25" s="19" t="n">
        <x:v>1</x:v>
      </x:c>
      <x:c r="I25" s="19" t="str">
        <x:v>positive</x:v>
      </x:c>
      <x:c r="J25" s="23" t="n">
        <x:v>0.78</x:v>
      </x:c>
      <x:c r="K25" s="22" t="str">
        <x:v>Satın alma büyüme ve ölçek kazanımı beklentisi nedeniyle olumlu değerlendirildi.</x:v>
      </x:c>
      <x:c r="L25" s="22" t="str">
        <x:v>same</x:v>
      </x:c>
      <x:c r="M25" s="22" t="str">
        <x:v>no</x:v>
      </x:c>
      <x:c r="N25" s="22" t="str"/>
    </x:row>
    <x:row r="26" ht="54" customHeight="1">
      <x:c r="A26" s="19" t="str">
        <x:v>REUTERS_ANN_01175</x:v>
      </x:c>
      <x:c r="B26" s="20" t="n">
        <x:v>39164</x:v>
      </x:c>
      <x:c r="C26" s="19" t="n">
        <x:v>1</x:v>
      </x:c>
      <x:c r="D26" s="19" t="str">
        <x:v>positive</x:v>
      </x:c>
      <x:c r="E26" s="21" t="n">
        <x:v>0.924311339855194</x:v>
      </x:c>
      <x:c r="F26" s="22" t="str">
        <x:v>blue chips rise sp logs best week since 03</x:v>
      </x:c>
      <x:c r="G26" s="22" t="str">
        <x:v>Blue chip hisseler yükseldi; S&amp;P 2003'ten beri en iyi haftasını kaydetti</x:v>
      </x:c>
      <x:c r="H26" s="19" t="n">
        <x:v>1</x:v>
      </x:c>
      <x:c r="I26" s="19" t="str">
        <x:v>positive</x:v>
      </x:c>
      <x:c r="J26" s="23" t="n">
        <x:v>0.95</x:v>
      </x:c>
      <x:c r="K26" s="22" t="str">
        <x:v>Güçlü piyasa yükselişi açık olumlu sentiment taşır.</x:v>
      </x:c>
      <x:c r="L26" s="22" t="str">
        <x:v>same</x:v>
      </x:c>
      <x:c r="M26" s="22" t="str">
        <x:v>no</x:v>
      </x:c>
      <x:c r="N26" s="22" t="str"/>
    </x:row>
    <x:row r="27" ht="54" customHeight="1">
      <x:c r="A27" s="19" t="str">
        <x:v>REUTERS_ANN_01176</x:v>
      </x:c>
      <x:c r="B27" s="20" t="n">
        <x:v>39127</x:v>
      </x:c>
      <x:c r="C27" s="19" t="n">
        <x:v>-1</x:v>
      </x:c>
      <x:c r="D27" s="19" t="str">
        <x:v>negative</x:v>
      </x:c>
      <x:c r="E27" s="21" t="n">
        <x:v>0.917105197906494</x:v>
      </x:c>
      <x:c r="F27" s="22" t="str">
        <x:v>global investors eye bernanke, stocks keep gaining</x:v>
      </x:c>
      <x:c r="G27" s="22" t="str">
        <x:v>Küresel yatırımcılar Bernanke'ye odaklanırken hisseler yükselmeyi sürdürüyor</x:v>
      </x:c>
      <x:c r="H27" s="19" t="n">
        <x:v>1</x:v>
      </x:c>
      <x:c r="I27" s="19" t="str">
        <x:v>positive</x:v>
      </x:c>
      <x:c r="J27" s="23" t="n">
        <x:v>0.88</x:v>
      </x:c>
      <x:c r="K27" s="22" t="str">
        <x:v>Hisse piyasasında devam eden yükseliş olumlu piyasa sinyali.</x:v>
      </x:c>
      <x:c r="L27" s="22" t="str">
        <x:v>different</x:v>
      </x:c>
      <x:c r="M27" s="22" t="str">
        <x:v>yes</x:v>
      </x:c>
      <x:c r="N27" s="22" t="str">
        <x:v>FinBERT=negative, ChatGPT=positive; insan kontrolü önerilir.</x:v>
      </x:c>
    </x:row>
    <x:row r="28" ht="54" customHeight="1">
      <x:c r="A28" s="19" t="str">
        <x:v>REUTERS_ANN_01177</x:v>
      </x:c>
      <x:c r="B28" s="20" t="n">
        <x:v>39040</x:v>
      </x:c>
      <x:c r="C28" s="19" t="n">
        <x:v>0</x:v>
      </x:c>
      <x:c r="D28" s="19" t="str">
        <x:v>neutral</x:v>
      </x:c>
      <x:c r="E28" s="21" t="n">
        <x:v>0.9304553866386414</x:v>
      </x:c>
      <x:c r="F28" s="22" t="str">
        <x:v>blackstone has takeover plan for equity office -wsj</x:v>
      </x:c>
      <x:c r="G28" s="22" t="str">
        <x:v>WSJ'ye göre Blackstone'un Equity Office için devralma planı var</x:v>
      </x:c>
      <x:c r="H28" s="19" t="n">
        <x:v>1</x:v>
      </x:c>
      <x:c r="I28" s="19" t="str">
        <x:v>positive</x:v>
      </x:c>
      <x:c r="J28" s="23" t="n">
        <x:v>0.75</x:v>
      </x:c>
      <x:c r="K28" s="22" t="str">
        <x:v>Devralma planı hedef şirket değerlemesi için olumlu beklenti yaratır.</x:v>
      </x:c>
      <x:c r="L28" s="22" t="str">
        <x:v>different</x:v>
      </x:c>
      <x:c r="M28" s="22" t="str">
        <x:v>yes</x:v>
      </x:c>
      <x:c r="N28" s="22" t="str">
        <x:v>FinBERT=neutral, ChatGPT=positive; insan kontrolü önerilir.</x:v>
      </x:c>
    </x:row>
    <x:row r="29" ht="54" customHeight="1">
      <x:c r="A29" s="19" t="str">
        <x:v>REUTERS_ANN_01178</x:v>
      </x:c>
      <x:c r="B29" s="20" t="n">
        <x:v>39142</x:v>
      </x:c>
      <x:c r="C29" s="19" t="n">
        <x:v>-1</x:v>
      </x:c>
      <x:c r="D29" s="19" t="str">
        <x:v>negative</x:v>
      </x:c>
      <x:c r="E29" s="21" t="n">
        <x:v>0.9761240482330322</x:v>
      </x:c>
      <x:c r="F29" s="22" t="str">
        <x:v>gap 4th-quarter net income drops 35 percent</x:v>
      </x:c>
      <x:c r="G29" s="22" t="str">
        <x:v>Gap'in dördüncü çeyrek net kârı yüzde 35 düştü</x:v>
      </x:c>
      <x:c r="H29" s="19" t="n">
        <x:v>-1</x:v>
      </x:c>
      <x:c r="I29" s="19" t="str">
        <x:v>negative</x:v>
      </x:c>
      <x:c r="J29" s="23" t="n">
        <x:v>0.96</x:v>
      </x:c>
      <x:c r="K29" s="22" t="str">
        <x:v>Net kârda keskin düşüş açık biçimde olumsuz.</x:v>
      </x:c>
      <x:c r="L29" s="22" t="str">
        <x:v>same</x:v>
      </x:c>
      <x:c r="M29" s="22" t="str">
        <x:v>no</x:v>
      </x:c>
      <x:c r="N29" s="22" t="str"/>
    </x:row>
    <x:row r="30" ht="54" customHeight="1">
      <x:c r="A30" s="19" t="str">
        <x:v>REUTERS_ANN_01179</x:v>
      </x:c>
      <x:c r="B30" s="20" t="n">
        <x:v>39037</x:v>
      </x:c>
      <x:c r="C30" s="19" t="n">
        <x:v>1</x:v>
      </x:c>
      <x:c r="D30" s="19" t="str">
        <x:v>positive</x:v>
      </x:c>
      <x:c r="E30" s="21" t="n">
        <x:v>0.4897843599319458</x:v>
      </x:c>
      <x:c r="F30" s="22" t="str">
        <x:v>intel names yahoo cfo to board</x:v>
      </x:c>
      <x:c r="G30" s="22" t="str">
        <x:v>Intel, Yahoo CFO'sunu yönetim kuruluna atadı</x:v>
      </x:c>
      <x:c r="H30" s="19" t="n">
        <x:v>0</x:v>
      </x:c>
      <x:c r="I30" s="19" t="str">
        <x:v>neutral</x:v>
      </x:c>
      <x:c r="J30" s="23" t="n">
        <x:v>0.7</x:v>
      </x:c>
      <x:c r="K30" s="22" t="str">
        <x:v>Yönetim kurulu ataması finansal yönü net olmayan kurumsal haber niteliğinde.</x:v>
      </x:c>
      <x:c r="L30" s="22" t="str">
        <x:v>different</x:v>
      </x:c>
      <x:c r="M30" s="22" t="str">
        <x:v>yes</x:v>
      </x:c>
      <x:c r="N30" s="22" t="str">
        <x:v>FinBERT=positive, ChatGPT=neutral; insan kontrolü önerilir.</x:v>
      </x:c>
    </x:row>
    <x:row r="31" ht="54" customHeight="1">
      <x:c r="A31" s="19" t="str">
        <x:v>REUTERS_ANN_01180</x:v>
      </x:c>
      <x:c r="B31" s="20" t="n">
        <x:v>39028</x:v>
      </x:c>
      <x:c r="C31" s="19" t="n">
        <x:v>1</x:v>
      </x:c>
      <x:c r="D31" s="19" t="str">
        <x:v>positive</x:v>
      </x:c>
      <x:c r="E31" s="21" t="n">
        <x:v>0.9449496269226074</x:v>
      </x:c>
      <x:c r="F31" s="22" t="str">
        <x:v>wynn 3rd-qtr profit up on macau rights sale</x:v>
      </x:c>
      <x:c r="G31" s="22" t="str">
        <x:v>Wynn'in üçüncü çeyrek kârı Macau haklarının satışıyla arttı</x:v>
      </x:c>
      <x:c r="H31" s="19" t="n">
        <x:v>1</x:v>
      </x:c>
      <x:c r="I31" s="19" t="str">
        <x:v>positive</x:v>
      </x:c>
      <x:c r="J31" s="23" t="n">
        <x:v>0.92</x:v>
      </x:c>
      <x:c r="K31" s="22" t="str">
        <x:v>Kâr artışı olumlu olsa da tek seferlik satış etkisi bulunduğu için güven biraz sınırlı.</x:v>
      </x:c>
      <x:c r="L31" s="22" t="str">
        <x:v>same</x:v>
      </x:c>
      <x:c r="M31" s="22" t="str">
        <x:v>no</x:v>
      </x:c>
      <x:c r="N31" s="22" t="str"/>
    </x:row>
    <x:row r="32" ht="54" customHeight="1">
      <x:c r="A32" s="19" t="str">
        <x:v>REUTERS_ANN_01181</x:v>
      </x:c>
      <x:c r="B32" s="20" t="n">
        <x:v>39192</x:v>
      </x:c>
      <x:c r="C32" s="19" t="n">
        <x:v>1</x:v>
      </x:c>
      <x:c r="D32" s="19" t="str">
        <x:v>positive</x:v>
      </x:c>
      <x:c r="E32" s="21" t="n">
        <x:v>0.615490734577179</x:v>
      </x:c>
      <x:c r="F32" s="22" t="str">
        <x:v>house approves say on pay for shareholders</x:v>
      </x:c>
      <x:c r="G32" s="22" t="str">
        <x:v>Temsilciler Meclisi, hissedarlar için ücret oylaması hakkını onayladı</x:v>
      </x:c>
      <x:c r="H32" s="19" t="n">
        <x:v>1</x:v>
      </x:c>
      <x:c r="I32" s="19" t="str">
        <x:v>positive</x:v>
      </x:c>
      <x:c r="J32" s="23" t="n">
        <x:v>0.7</x:v>
      </x:c>
      <x:c r="K32" s="22" t="str">
        <x:v>Hissedar haklarını güçlendiren kurumsal yönetim adımı yatırımcı açısından olumlu.</x:v>
      </x:c>
      <x:c r="L32" s="22" t="str">
        <x:v>same</x:v>
      </x:c>
      <x:c r="M32" s="22" t="str">
        <x:v>no</x:v>
      </x:c>
      <x:c r="N32" s="22" t="str"/>
    </x:row>
    <x:row r="33" ht="54" customHeight="1">
      <x:c r="A33" s="19" t="str">
        <x:v>REUTERS_ANN_01182</x:v>
      </x:c>
      <x:c r="B33" s="20" t="n">
        <x:v>39036</x:v>
      </x:c>
      <x:c r="C33" s="19" t="n">
        <x:v>1</x:v>
      </x:c>
      <x:c r="D33" s="19" t="str">
        <x:v>positive</x:v>
      </x:c>
      <x:c r="E33" s="21" t="n">
        <x:v>0.9349037408828736</x:v>
      </x:c>
      <x:c r="F33" s="22" t="str">
        <x:v>ny fed nov manufacturing index rises unexpectedly</x:v>
      </x:c>
      <x:c r="G33" s="22" t="str">
        <x:v>New York Fed kasım imalat endeksi beklenmedik şekilde yükseldi</x:v>
      </x:c>
      <x:c r="H33" s="19" t="n">
        <x:v>1</x:v>
      </x:c>
      <x:c r="I33" s="19" t="str">
        <x:v>positive</x:v>
      </x:c>
      <x:c r="J33" s="23" t="n">
        <x:v>0.91</x:v>
      </x:c>
      <x:c r="K33" s="22" t="str">
        <x:v>Beklenenden güçlü imalat verisi makro görünüm için olumlu.</x:v>
      </x:c>
      <x:c r="L33" s="22" t="str">
        <x:v>same</x:v>
      </x:c>
      <x:c r="M33" s="22" t="str">
        <x:v>no</x:v>
      </x:c>
      <x:c r="N33" s="22" t="str"/>
    </x:row>
    <x:row r="34" ht="54" customHeight="1">
      <x:c r="A34" s="19" t="str">
        <x:v>REUTERS_ANN_01183</x:v>
      </x:c>
      <x:c r="B34" s="20" t="n">
        <x:v>39204</x:v>
      </x:c>
      <x:c r="C34" s="19" t="n">
        <x:v>1</x:v>
      </x:c>
      <x:c r="D34" s="19" t="str">
        <x:v>positive</x:v>
      </x:c>
      <x:c r="E34" s="21" t="n">
        <x:v>0.9030911922454834</x:v>
      </x:c>
      <x:c r="F34" s="22" t="str">
        <x:v>murdochs dow deal may up asia clout, but not china</x:v>
      </x:c>
      <x:c r="G34" s="22" t="str">
        <x:v>Murdoch'un Dow Jones anlaşması Asya etkisini artırabilir, fakat Çin'de sınırlı kalabilir</x:v>
      </x:c>
      <x:c r="H34" s="19" t="n">
        <x:v>1</x:v>
      </x:c>
      <x:c r="I34" s="19" t="str">
        <x:v>positive</x:v>
      </x:c>
      <x:c r="J34" s="23" t="n">
        <x:v>0.68</x:v>
      </x:c>
      <x:c r="K34" s="22" t="str">
        <x:v>Anlaşmanın bölgesel etkiyi artırma potansiyeli olumlu, ancak Çin sınırlaması nedeniyle güven orta.</x:v>
      </x:c>
      <x:c r="L34" s="22" t="str">
        <x:v>same</x:v>
      </x:c>
      <x:c r="M34" s="22" t="str">
        <x:v>yes</x:v>
      </x:c>
      <x:c r="N34" s="22" t="str"/>
    </x:row>
    <x:row r="35" ht="54" customHeight="1">
      <x:c r="A35" s="19" t="str">
        <x:v>REUTERS_ANN_01184</x:v>
      </x:c>
      <x:c r="B35" s="20" t="n">
        <x:v>39195</x:v>
      </x:c>
      <x:c r="C35" s="19" t="n">
        <x:v>0</x:v>
      </x:c>
      <x:c r="D35" s="19" t="str">
        <x:v>neutral</x:v>
      </x:c>
      <x:c r="E35" s="21" t="n">
        <x:v>0.9301276206970216</x:v>
      </x:c>
      <x:c r="F35" s="22" t="str">
        <x:v>icahn company sells 4 nevada casinos to goldman</x:v>
      </x:c>
      <x:c r="G35" s="22" t="str">
        <x:v>Icahn şirketi dört Nevada kumarhanesini Goldman'a sattı</x:v>
      </x:c>
      <x:c r="H35" s="19" t="n">
        <x:v>0</x:v>
      </x:c>
      <x:c r="I35" s="19" t="str">
        <x:v>neutral</x:v>
      </x:c>
      <x:c r="J35" s="23" t="n">
        <x:v>0.67</x:v>
      </x:c>
      <x:c r="K35" s="22" t="str">
        <x:v>Varlık satışı haberinde net kâr/zarar etkisi verilmediği için nötr.</x:v>
      </x:c>
      <x:c r="L35" s="22" t="str">
        <x:v>same</x:v>
      </x:c>
      <x:c r="M35" s="22" t="str">
        <x:v>yes</x:v>
      </x:c>
      <x:c r="N35" s="22" t="str"/>
    </x:row>
    <x:row r="36" ht="54" customHeight="1">
      <x:c r="A36" s="19" t="str">
        <x:v>REUTERS_ANN_01185</x:v>
      </x:c>
      <x:c r="B36" s="20" t="n">
        <x:v>39069</x:v>
      </x:c>
      <x:c r="C36" s="19" t="n">
        <x:v>0</x:v>
      </x:c>
      <x:c r="D36" s="19" t="str">
        <x:v>neutral</x:v>
      </x:c>
      <x:c r="E36" s="21" t="n">
        <x:v>0.9414467811584472</x:v>
      </x:c>
      <x:c r="F36" s="22" t="str">
        <x:v>warner music buying majority stake in roadrunner</x:v>
      </x:c>
      <x:c r="G36" s="22" t="str">
        <x:v>Warner Music, Roadrunner'da çoğunluk hissesi satın alıyor</x:v>
      </x:c>
      <x:c r="H36" s="19" t="n">
        <x:v>1</x:v>
      </x:c>
      <x:c r="I36" s="19" t="str">
        <x:v>positive</x:v>
      </x:c>
      <x:c r="J36" s="23" t="n">
        <x:v>0.72</x:v>
      </x:c>
      <x:c r="K36" s="22" t="str">
        <x:v>Satın alma hamlesi büyüme ve katalog genişlemesi açısından hafif olumlu.</x:v>
      </x:c>
      <x:c r="L36" s="22" t="str">
        <x:v>different</x:v>
      </x:c>
      <x:c r="M36" s="22" t="str">
        <x:v>yes</x:v>
      </x:c>
      <x:c r="N36" s="22" t="str">
        <x:v>FinBERT=neutral, ChatGPT=positive; insan kontrolü önerilir.</x:v>
      </x:c>
    </x:row>
    <x:row r="37" ht="54" customHeight="1">
      <x:c r="A37" s="19" t="str">
        <x:v>REUTERS_ANN_01186</x:v>
      </x:c>
      <x:c r="B37" s="20" t="n">
        <x:v>39183</x:v>
      </x:c>
      <x:c r="C37" s="19" t="n">
        <x:v>0</x:v>
      </x:c>
      <x:c r="D37" s="19" t="str">
        <x:v>neutral</x:v>
      </x:c>
      <x:c r="E37" s="21" t="n">
        <x:v>0.8771026730537415</x:v>
      </x:c>
      <x:c r="F37" s="22" t="str">
        <x:v>google talking to directv on tv advertising report</x:v>
      </x:c>
      <x:c r="G37" s="22" t="str">
        <x:v>Google'ın TV reklamcılığı için DirecTV ile görüştüğü bildirildi</x:v>
      </x:c>
      <x:c r="H37" s="19" t="n">
        <x:v>1</x:v>
      </x:c>
      <x:c r="I37" s="19" t="str">
        <x:v>positive</x:v>
      </x:c>
      <x:c r="J37" s="23" t="n">
        <x:v>0.74</x:v>
      </x:c>
      <x:c r="K37" s="22" t="str">
        <x:v>Yeni reklam kanalı ve iş birliği ihtimali büyüme açısından olumlu.</x:v>
      </x:c>
      <x:c r="L37" s="22" t="str">
        <x:v>different</x:v>
      </x:c>
      <x:c r="M37" s="22" t="str">
        <x:v>yes</x:v>
      </x:c>
      <x:c r="N37" s="22" t="str">
        <x:v>FinBERT=neutral, ChatGPT=positive; insan kontrolü önerilir.</x:v>
      </x:c>
    </x:row>
    <x:row r="38" ht="54" customHeight="1">
      <x:c r="A38" s="19" t="str">
        <x:v>REUTERS_ANN_01187</x:v>
      </x:c>
      <x:c r="B38" s="20" t="n">
        <x:v>39028</x:v>
      </x:c>
      <x:c r="C38" s="19" t="n">
        <x:v>-1</x:v>
      </x:c>
      <x:c r="D38" s="19" t="str">
        <x:v>negative</x:v>
      </x:c>
      <x:c r="E38" s="21" t="n">
        <x:v>0.4986215829849243</x:v>
      </x:c>
      <x:c r="F38" s="22" t="str">
        <x:v>att names suspected pretexters</x:v>
      </x:c>
      <x:c r="G38" s="22" t="str">
        <x:v>AT&amp;T, şüpheli pretexting faillerinin isimlerini açıkladı</x:v>
      </x:c>
      <x:c r="H38" s="19" t="n">
        <x:v>-1</x:v>
      </x:c>
      <x:c r="I38" s="19" t="str">
        <x:v>negative</x:v>
      </x:c>
      <x:c r="J38" s="23" t="n">
        <x:v>0.75</x:v>
      </x:c>
      <x:c r="K38" s="22" t="str">
        <x:v>Gizlilik/soruşturma bağlamı şirket itibarı açısından olumsuz.</x:v>
      </x:c>
      <x:c r="L38" s="22" t="str">
        <x:v>same</x:v>
      </x:c>
      <x:c r="M38" s="22" t="str">
        <x:v>no</x:v>
      </x:c>
      <x:c r="N38" s="22" t="str"/>
    </x:row>
    <x:row r="39" ht="54" customHeight="1">
      <x:c r="A39" s="19" t="str">
        <x:v>REUTERS_ANN_01188</x:v>
      </x:c>
      <x:c r="B39" s="20" t="n">
        <x:v>39163</x:v>
      </x:c>
      <x:c r="C39" s="19" t="n">
        <x:v>0</x:v>
      </x:c>
      <x:c r="D39" s="19" t="str">
        <x:v>neutral</x:v>
      </x:c>
      <x:c r="E39" s="21" t="n">
        <x:v>0.6030363440513611</x:v>
      </x:c>
      <x:c r="F39" s="22" t="str">
        <x:v>subprime lenders, regulators face u.s. senate panel</x:v>
      </x:c>
      <x:c r="G39" s="22" t="str">
        <x:v>Subprime kredi verenler ve düzenleyiciler ABD Senatosu paneliyle karşı karşıya</x:v>
      </x:c>
      <x:c r="H39" s="19" t="n">
        <x:v>-1</x:v>
      </x:c>
      <x:c r="I39" s="19" t="str">
        <x:v>negative</x:v>
      </x:c>
      <x:c r="J39" s="23" t="n">
        <x:v>0.85</x:v>
      </x:c>
      <x:c r="K39" s="22" t="str">
        <x:v>Subprime sektörüne yönelik düzenleyici inceleme ve baskı olumsuz.</x:v>
      </x:c>
      <x:c r="L39" s="22" t="str">
        <x:v>different</x:v>
      </x:c>
      <x:c r="M39" s="22" t="str">
        <x:v>yes</x:v>
      </x:c>
      <x:c r="N39" s="22" t="str">
        <x:v>FinBERT=neutral, ChatGPT=negative; insan kontrolü önerilir.</x:v>
      </x:c>
    </x:row>
    <x:row r="40" ht="54" customHeight="1">
      <x:c r="A40" s="19" t="str">
        <x:v>REUTERS_ANN_01189</x:v>
      </x:c>
      <x:c r="B40" s="20" t="n">
        <x:v>39170</x:v>
      </x:c>
      <x:c r="C40" s="19" t="n">
        <x:v>1</x:v>
      </x:c>
      <x:c r="D40" s="19" t="str">
        <x:v>positive</x:v>
      </x:c>
      <x:c r="E40" s="21" t="n">
        <x:v>0.8842212557792664</x:v>
      </x:c>
      <x:c r="F40" s="22" t="str">
        <x:v>feds stern subprime woes wont derail economy</x:v>
      </x:c>
      <x:c r="G40" s="22" t="str">
        <x:v>Fed'den Stern, subprime sorunlarının ekonomiyi raydan çıkarmayacağını söyledi</x:v>
      </x:c>
      <x:c r="H40" s="19" t="n">
        <x:v>1</x:v>
      </x:c>
      <x:c r="I40" s="19" t="str">
        <x:v>positive</x:v>
      </x:c>
      <x:c r="J40" s="23" t="n">
        <x:v>0.82</x:v>
      </x:c>
      <x:c r="K40" s="22" t="str">
        <x:v>Sistemik riskin sınırlı olduğu mesajı piyasa için rahatlatıcı ve olumlu.</x:v>
      </x:c>
      <x:c r="L40" s="22" t="str">
        <x:v>same</x:v>
      </x:c>
      <x:c r="M40" s="22" t="str">
        <x:v>no</x:v>
      </x:c>
      <x:c r="N40" s="22" t="str"/>
    </x:row>
    <x:row r="41" ht="54" customHeight="1">
      <x:c r="A41" s="19" t="str">
        <x:v>REUTERS_ANN_01190</x:v>
      </x:c>
      <x:c r="B41" s="20" t="n">
        <x:v>39105</x:v>
      </x:c>
      <x:c r="C41" s="19" t="n">
        <x:v>1</x:v>
      </x:c>
      <x:c r="D41" s="19" t="str">
        <x:v>positive</x:v>
      </x:c>
      <x:c r="E41" s="21" t="n">
        <x:v>0.947516918182373</x:v>
      </x:c>
      <x:c r="F41" s="22" t="str">
        <x:v>sun microsystems swings to profit</x:v>
      </x:c>
      <x:c r="G41" s="22" t="str">
        <x:v>Sun Microsystems yeniden kâra geçti</x:v>
      </x:c>
      <x:c r="H41" s="19" t="n">
        <x:v>1</x:v>
      </x:c>
      <x:c r="I41" s="19" t="str">
        <x:v>positive</x:v>
      </x:c>
      <x:c r="J41" s="23" t="n">
        <x:v>0.94</x:v>
      </x:c>
      <x:c r="K41" s="22" t="str">
        <x:v>Zarardan kâra dönüş açık biçimde olumlu finansal sinyal.</x:v>
      </x:c>
      <x:c r="L41" s="22" t="str">
        <x:v>same</x:v>
      </x:c>
      <x:c r="M41" s="22" t="str">
        <x:v>no</x:v>
      </x:c>
      <x:c r="N41" s="22" t="str"/>
    </x:row>
    <x:row r="42" ht="54" customHeight="1">
      <x:c r="A42" s="19" t="str">
        <x:v>REUTERS_ANN_01191</x:v>
      </x:c>
      <x:c r="B42" s="20" t="n">
        <x:v>39106</x:v>
      </x:c>
      <x:c r="C42" s="19" t="n">
        <x:v>-1</x:v>
      </x:c>
      <x:c r="D42" s="19" t="str">
        <x:v>negative</x:v>
      </x:c>
      <x:c r="E42" s="21" t="n">
        <x:v>0.9640066027641296</x:v>
      </x:c>
      <x:c r="F42" s="22" t="str">
        <x:v>wellpoint profit jumps 23 percent</x:v>
      </x:c>
      <x:c r="G42" s="22" t="str">
        <x:v>WellPoint'in kârı yüzde 23 arttı</x:v>
      </x:c>
      <x:c r="H42" s="19" t="n">
        <x:v>1</x:v>
      </x:c>
      <x:c r="I42" s="19" t="str">
        <x:v>positive</x:v>
      </x:c>
      <x:c r="J42" s="23" t="n">
        <x:v>0.94</x:v>
      </x:c>
      <x:c r="K42" s="22" t="str">
        <x:v>Kâr artışı doğrudan olumlu performans göstergesi.</x:v>
      </x:c>
      <x:c r="L42" s="22" t="str">
        <x:v>different</x:v>
      </x:c>
      <x:c r="M42" s="22" t="str">
        <x:v>yes</x:v>
      </x:c>
      <x:c r="N42" s="22" t="str">
        <x:v>FinBERT=negative, ChatGPT=positive; insan kontrolü önerilir.</x:v>
      </x:c>
    </x:row>
    <x:row r="43" ht="54" customHeight="1">
      <x:c r="A43" s="19" t="str">
        <x:v>REUTERS_ANN_01192</x:v>
      </x:c>
      <x:c r="B43" s="20" t="n">
        <x:v>39182</x:v>
      </x:c>
      <x:c r="C43" s="19" t="n">
        <x:v>1</x:v>
      </x:c>
      <x:c r="D43" s="19" t="str">
        <x:v>positive</x:v>
      </x:c>
      <x:c r="E43" s="21" t="n">
        <x:v>0.9184688329696656</x:v>
      </x:c>
      <x:c r="F43" s="22" t="str">
        <x:v>altadis rebuffs improved imperial approach</x:v>
      </x:c>
      <x:c r="G43" s="22" t="str">
        <x:v>Altadis, Imperial'in iyileştirilmiş teklifini reddetti</x:v>
      </x:c>
      <x:c r="H43" s="19" t="n">
        <x:v>0</x:v>
      </x:c>
      <x:c r="I43" s="19" t="str">
        <x:v>neutral</x:v>
      </x:c>
      <x:c r="J43" s="23" t="n">
        <x:v>0.62</x:v>
      </x:c>
      <x:c r="K43" s="22" t="str">
        <x:v>Daha iyi teklif olumlu olsa da reddedilmesi anlaşma belirsizliği yarattığı için nötr.</x:v>
      </x:c>
      <x:c r="L43" s="22" t="str">
        <x:v>different</x:v>
      </x:c>
      <x:c r="M43" s="22" t="str">
        <x:v>yes</x:v>
      </x:c>
      <x:c r="N43" s="22" t="str">
        <x:v>FinBERT=positive, ChatGPT=neutral; insan kontrolü önerilir.</x:v>
      </x:c>
    </x:row>
    <x:row r="44" ht="54" customHeight="1">
      <x:c r="A44" s="19" t="str">
        <x:v>REUTERS_ANN_01193</x:v>
      </x:c>
      <x:c r="B44" s="20" t="n">
        <x:v>39170</x:v>
      </x:c>
      <x:c r="C44" s="19" t="n">
        <x:v>-1</x:v>
      </x:c>
      <x:c r="D44" s="19" t="str">
        <x:v>negative</x:v>
      </x:c>
      <x:c r="E44" s="21" t="n">
        <x:v>0.9216123819351196</x:v>
      </x:c>
      <x:c r="F44" s="22" t="str">
        <x:v>focus for future amgen growth shifts to bone drug</x:v>
      </x:c>
      <x:c r="G44" s="22" t="str">
        <x:v>Amgen'in gelecekteki büyüme odağı kemik ilacına kayıyor</x:v>
      </x:c>
      <x:c r="H44" s="19" t="n">
        <x:v>1</x:v>
      </x:c>
      <x:c r="I44" s="19" t="str">
        <x:v>positive</x:v>
      </x:c>
      <x:c r="J44" s="23" t="n">
        <x:v>0.66</x:v>
      </x:c>
      <x:c r="K44" s="22" t="str">
        <x:v>Büyüme odağı ve yeni ürün beklentisi hafif olumlu.</x:v>
      </x:c>
      <x:c r="L44" s="22" t="str">
        <x:v>different</x:v>
      </x:c>
      <x:c r="M44" s="22" t="str">
        <x:v>yes</x:v>
      </x:c>
      <x:c r="N44" s="22" t="str">
        <x:v>FinBERT=negative, ChatGPT=positive; insan kontrolü önerilir.</x:v>
      </x:c>
    </x:row>
    <x:row r="45" ht="54" customHeight="1">
      <x:c r="A45" s="19" t="str">
        <x:v>REUTERS_ANN_01194</x:v>
      </x:c>
      <x:c r="B45" s="20" t="n">
        <x:v>39121</x:v>
      </x:c>
      <x:c r="C45" s="19" t="n">
        <x:v>1</x:v>
      </x:c>
      <x:c r="D45" s="19" t="str">
        <x:v>positive</x:v>
      </x:c>
      <x:c r="E45" s="21" t="n">
        <x:v>0.6487334966659546</x:v>
      </x:c>
      <x:c r="F45" s="22" t="str">
        <x:v>jj psoriasis drug posts mixed results in trial</x:v>
      </x:c>
      <x:c r="G45" s="22" t="str">
        <x:v>J&amp;J'nin sedef hastalığı ilacı denemede karışık sonuçlar verdi</x:v>
      </x:c>
      <x:c r="H45" s="19" t="n">
        <x:v>0</x:v>
      </x:c>
      <x:c r="I45" s="19" t="str">
        <x:v>neutral</x:v>
      </x:c>
      <x:c r="J45" s="23" t="n">
        <x:v>0.65</x:v>
      </x:c>
      <x:c r="K45" s="22" t="str">
        <x:v>Klinik sonuçlar karışık olduğu için net olumlu ya da olumsuz değil.</x:v>
      </x:c>
      <x:c r="L45" s="22" t="str">
        <x:v>different</x:v>
      </x:c>
      <x:c r="M45" s="22" t="str">
        <x:v>yes</x:v>
      </x:c>
      <x:c r="N45" s="22" t="str">
        <x:v>FinBERT=positive, ChatGPT=neutral; insan kontrolü önerilir.</x:v>
      </x:c>
    </x:row>
    <x:row r="46" ht="54" customHeight="1">
      <x:c r="A46" s="19" t="str">
        <x:v>REUTERS_ANN_01195</x:v>
      </x:c>
      <x:c r="B46" s="20" t="n">
        <x:v>39065</x:v>
      </x:c>
      <x:c r="C46" s="19" t="n">
        <x:v>0</x:v>
      </x:c>
      <x:c r="D46" s="19" t="str">
        <x:v>neutral</x:v>
      </x:c>
      <x:c r="E46" s="21" t="n">
        <x:v>0.8527958393096924</x:v>
      </x:c>
      <x:c r="F46" s="22" t="str">
        <x:v>adobe to launch creative suite at end of q2 -ceo</x:v>
      </x:c>
      <x:c r="G46" s="22" t="str">
        <x:v>Adobe, Creative Suite'i ikinci çeyrek sonunda piyasaya sürecek</x:v>
      </x:c>
      <x:c r="H46" s="19" t="n">
        <x:v>1</x:v>
      </x:c>
      <x:c r="I46" s="19" t="str">
        <x:v>positive</x:v>
      </x:c>
      <x:c r="J46" s="23" t="n">
        <x:v>0.7</x:v>
      </x:c>
      <x:c r="K46" s="22" t="str">
        <x:v>Yeni ürün lansmanı gelir potansiyeli açısından hafif olumlu.</x:v>
      </x:c>
      <x:c r="L46" s="22" t="str">
        <x:v>different</x:v>
      </x:c>
      <x:c r="M46" s="22" t="str">
        <x:v>yes</x:v>
      </x:c>
      <x:c r="N46" s="22" t="str">
        <x:v>FinBERT=neutral, ChatGPT=positive; insan kontrolü önerilir.</x:v>
      </x:c>
    </x:row>
    <x:row r="47" ht="54" customHeight="1">
      <x:c r="A47" s="19" t="str">
        <x:v>REUTERS_ANN_01196</x:v>
      </x:c>
      <x:c r="B47" s="20" t="n">
        <x:v>39121</x:v>
      </x:c>
      <x:c r="C47" s="19" t="n">
        <x:v>1</x:v>
      </x:c>
      <x:c r="D47" s="19" t="str">
        <x:v>positive</x:v>
      </x:c>
      <x:c r="E47" s="21" t="n">
        <x:v>0.6905562281608582</x:v>
      </x:c>
      <x:c r="F47" s="22" t="str">
        <x:v>kodak to cut more jobs, complete overhaul in 2007</x:v>
      </x:c>
      <x:c r="G47" s="22" t="str">
        <x:v>Kodak daha fazla iş kesecek ve 2007'de yeniden yapılanmayı tamamlayacak</x:v>
      </x:c>
      <x:c r="H47" s="19" t="n">
        <x:v>-1</x:v>
      </x:c>
      <x:c r="I47" s="19" t="str">
        <x:v>negative</x:v>
      </x:c>
      <x:c r="J47" s="23" t="n">
        <x:v>0.88</x:v>
      </x:c>
      <x:c r="K47" s="22" t="str">
        <x:v>Ek işten çıkarmalar ve yeniden yapılanma baskısı olumsuz.</x:v>
      </x:c>
      <x:c r="L47" s="22" t="str">
        <x:v>different</x:v>
      </x:c>
      <x:c r="M47" s="22" t="str">
        <x:v>yes</x:v>
      </x:c>
      <x:c r="N47" s="22" t="str">
        <x:v>FinBERT=positive, ChatGPT=negative; insan kontrolü önerilir.</x:v>
      </x:c>
    </x:row>
    <x:row r="48" ht="54" customHeight="1">
      <x:c r="A48" s="19" t="str">
        <x:v>REUTERS_ANN_01197</x:v>
      </x:c>
      <x:c r="B48" s="20" t="n">
        <x:v>39079</x:v>
      </x:c>
      <x:c r="C48" s="19" t="n">
        <x:v>-1</x:v>
      </x:c>
      <x:c r="D48" s="19" t="str">
        <x:v>negative</x:v>
      </x:c>
      <x:c r="E48" s="21" t="n">
        <x:v>0.932181715965271</x:v>
      </x:c>
      <x:c r="F48" s="22" t="str">
        <x:v>existing home sales edge up</x:v>
      </x:c>
      <x:c r="G48" s="22" t="str">
        <x:v>Mevcut konut satışları sınırlı şekilde yükseldi</x:v>
      </x:c>
      <x:c r="H48" s="19" t="n">
        <x:v>1</x:v>
      </x:c>
      <x:c r="I48" s="19" t="str">
        <x:v>positive</x:v>
      </x:c>
      <x:c r="J48" s="23" t="n">
        <x:v>0.78</x:v>
      </x:c>
      <x:c r="K48" s="22" t="str">
        <x:v>Konut satışlarında artış makro ve sektör açısından olumlu sinyal.</x:v>
      </x:c>
      <x:c r="L48" s="22" t="str">
        <x:v>different</x:v>
      </x:c>
      <x:c r="M48" s="22" t="str">
        <x:v>yes</x:v>
      </x:c>
      <x:c r="N48" s="22" t="str">
        <x:v>FinBERT=negative, ChatGPT=positive; insan kontrolü önerilir.</x:v>
      </x:c>
    </x:row>
    <x:row r="49" ht="54" customHeight="1">
      <x:c r="A49" s="19" t="str">
        <x:v>REUTERS_ANN_01198</x:v>
      </x:c>
      <x:c r="B49" s="20" t="n">
        <x:v>39022</x:v>
      </x:c>
      <x:c r="C49" s="19" t="n">
        <x:v>-1</x:v>
      </x:c>
      <x:c r="D49" s="19" t="str">
        <x:v>negative</x:v>
      </x:c>
      <x:c r="E49" s="21" t="n">
        <x:v>0.9761770963668824</x:v>
      </x:c>
      <x:c r="F49" s="22" t="str">
        <x:v>u.s. sept pending home sales index falls 1.1 pct</x:v>
      </x:c>
      <x:c r="G49" s="22" t="str">
        <x:v>ABD eylül bekleyen konut satışları endeksi yüzde 1,1 düştü</x:v>
      </x:c>
      <x:c r="H49" s="19" t="n">
        <x:v>-1</x:v>
      </x:c>
      <x:c r="I49" s="19" t="str">
        <x:v>negative</x:v>
      </x:c>
      <x:c r="J49" s="23" t="n">
        <x:v>0.91</x:v>
      </x:c>
      <x:c r="K49" s="22" t="str">
        <x:v>Bekleyen konut satışlarında düşüş konut piyasası için olumsuz.</x:v>
      </x:c>
      <x:c r="L49" s="22" t="str">
        <x:v>same</x:v>
      </x:c>
      <x:c r="M49" s="22" t="str">
        <x:v>no</x:v>
      </x:c>
      <x:c r="N49" s="22" t="str"/>
    </x:row>
    <x:row r="50" ht="54" customHeight="1">
      <x:c r="A50" s="19" t="str">
        <x:v>REUTERS_ANN_01199</x:v>
      </x:c>
      <x:c r="B50" s="20" t="n">
        <x:v>39194</x:v>
      </x:c>
      <x:c r="C50" s="19" t="n">
        <x:v>1</x:v>
      </x:c>
      <x:c r="D50" s="19" t="str">
        <x:v>positive</x:v>
      </x:c>
      <x:c r="E50" s="21" t="n">
        <x:v>0.8232354521751404</x:v>
      </x:c>
      <x:c r="F50" s="22" t="str">
        <x:v>dow 13,000 in focus with earnings on tap</x:v>
      </x:c>
      <x:c r="G50" s="22" t="str">
        <x:v>Gündemde şirket kârları varken Dow 13.000 seviyesine odaklandı</x:v>
      </x:c>
      <x:c r="H50" s="19" t="n">
        <x:v>1</x:v>
      </x:c>
      <x:c r="I50" s="19" t="str">
        <x:v>positive</x:v>
      </x:c>
      <x:c r="J50" s="23" t="n">
        <x:v>0.82</x:v>
      </x:c>
      <x:c r="K50" s="22" t="str">
        <x:v>Endeksin tarihi seviyeye yaklaşması ve kazanç beklentileri olumlu piyasa havası verir.</x:v>
      </x:c>
      <x:c r="L50" s="22" t="str">
        <x:v>same</x:v>
      </x:c>
      <x:c r="M50" s="22" t="str">
        <x:v>no</x:v>
      </x:c>
      <x:c r="N50" s="22" t="str"/>
    </x:row>
    <x:row r="51" ht="54" customHeight="1">
      <x:c r="A51" s="19" t="str">
        <x:v>REUTERS_ANN_01200</x:v>
      </x:c>
      <x:c r="B51" s="20" t="n">
        <x:v>39111</x:v>
      </x:c>
      <x:c r="C51" s="19" t="n">
        <x:v>0</x:v>
      </x:c>
      <x:c r="D51" s="19" t="str">
        <x:v>neutral</x:v>
      </x:c>
      <x:c r="E51" s="21" t="n">
        <x:v>0.5634149312973022</x:v>
      </x:c>
      <x:c r="F51" s="22" t="str">
        <x:v>house bill would ban wal-mart, retailers banks</x:v>
      </x:c>
      <x:c r="G51" s="22" t="str">
        <x:v>Meclis tasarısı Wal-Mart ve perakendecilerin banka kurmasını yasaklayabilir</x:v>
      </x:c>
      <x:c r="H51" s="19" t="n">
        <x:v>-1</x:v>
      </x:c>
      <x:c r="I51" s="19" t="str">
        <x:v>negative</x:v>
      </x:c>
      <x:c r="J51" s="23" t="n">
        <x:v>0.78</x:v>
      </x:c>
      <x:c r="K51" s="22" t="str">
        <x:v>Perakendecilerin finansal genişlemesini sınırlayabilecek düzenleme olumsuz.</x:v>
      </x:c>
      <x:c r="L51" s="22" t="str">
        <x:v>different</x:v>
      </x:c>
      <x:c r="M51" s="22" t="str">
        <x:v>yes</x:v>
      </x:c>
      <x:c r="N51" s="22" t="str">
        <x:v>FinBERT=neutral, ChatGPT=negative; insan kontrolü önerilir.</x:v>
      </x:c>
    </x:row>
  </x:sheetData>
  <x:conditionalFormatting sqref="I2:I51">
    <x:cfRule type="expression" dxfId="0" priority="1">
      <x:formula>I2="positive"</x:formula>
    </x:cfRule>
    <x:cfRule type="expression" dxfId="1" priority="2">
      <x:formula>I2="negative"</x:formula>
    </x:cfRule>
    <x:cfRule type="expression" dxfId="2" priority="3">
      <x:formula>I2="neutral"</x:formula>
    </x:cfRule>
  </x:conditionalFormatting>
  <x:conditionalFormatting sqref="L2:L51">
    <x:cfRule type="expression" dxfId="3" priority="4">
      <x:formula>L2="different"</x:formula>
    </x:cfRule>
  </x:conditionalFormatting>
  <x:conditionalFormatting sqref="M2:M51">
    <x:cfRule type="expression" dxfId="4" priority="5">
      <x:formula>M2="yes"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9cfa788a0c4d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0" t="str">
        <x:v>REUTERS Annotation Batch 024</x:v>
      </x:c>
      <x:c r="B1" s="30" t="str"/>
    </x:row>
    <x:row r="2">
      <x:c r="A2" t="str">
        <x:v>Rows</x:v>
      </x:c>
      <x:c r="B2" t="str">
        <x:v>1150 - 1199</x:v>
      </x:c>
    </x:row>
    <x:row r="3">
      <x:c r="A3" t="str">
        <x:v>Total records</x:v>
      </x:c>
      <x:c r="B3" t="n">
        <x:f>COUNTA(annotations!A2:A51)</x:f>
        <x:v>50</x:v>
      </x:c>
    </x:row>
    <x:row r="4">
      <x:c r="A4" t="str"/>
      <x:c r="B4" t="str"/>
    </x:row>
    <x:row r="5">
      <x:c r="A5" s="33" t="str">
        <x:v>ChatGPT label</x:v>
      </x:c>
      <x:c r="B5" s="33" t="str">
        <x:v>Count</x:v>
      </x:c>
    </x:row>
    <x:row r="6">
      <x:c r="A6" t="str">
        <x:v>positive</x:v>
      </x:c>
      <x:c r="B6" t="n">
        <x:f>COUNTIF(annotations!I2:I51,"positive")</x:f>
        <x:v>29</x:v>
      </x:c>
    </x:row>
    <x:row r="7">
      <x:c r="A7" t="str">
        <x:v>neutral</x:v>
      </x:c>
      <x:c r="B7" t="n">
        <x:f>COUNTIF(annotations!I2:I51,"neutral")</x:f>
        <x:v>12</x:v>
      </x:c>
    </x:row>
    <x:row r="8">
      <x:c r="A8" t="str">
        <x:v>negative</x:v>
      </x:c>
      <x:c r="B8" t="n">
        <x:f>COUNTIF(annotations!I2:I51,"negative")</x:f>
        <x:v>9</x:v>
      </x:c>
    </x:row>
    <x:row r="9">
      <x:c r="A9" t="str"/>
      <x:c r="B9" t="str"/>
    </x:row>
    <x:row r="10">
      <x:c r="A10" s="33" t="str">
        <x:v>FinBERT comparison</x:v>
      </x:c>
      <x:c r="B10" s="33" t="str">
        <x:v>Count</x:v>
      </x:c>
    </x:row>
    <x:row r="11">
      <x:c r="A11" t="str">
        <x:v>same</x:v>
      </x:c>
      <x:c r="B11" t="n">
        <x:f>COUNTIF(annotations!L2:L51,"same")</x:f>
        <x:v>26</x:v>
      </x:c>
    </x:row>
    <x:row r="12">
      <x:c r="A12" t="str">
        <x:v>different</x:v>
      </x:c>
      <x:c r="B12" t="n">
        <x:f>COUNTIF(annotations!L2:L51,"different")</x:f>
        <x:v>24</x:v>
      </x:c>
    </x:row>
    <x:row r="13">
      <x:c r="A13" t="str">
        <x:v>needs_review</x:v>
      </x:c>
      <x:c r="B13" t="n">
        <x:f>COUNTIF(annotations!M2:M51,"yes")</x:f>
        <x:v>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32" customHeight="1">
      <x:c r="A1" s="36" t="str">
        <x:v>Field</x:v>
      </x:c>
      <x:c r="B1" s="36" t="str">
        <x:v>Explanation</x:v>
      </x:c>
    </x:row>
    <x:row r="2" ht="32" customHeight="1">
      <x:c r="A2" t="str">
        <x:v>chatgpt_label</x:v>
      </x:c>
      <x:c r="B2" t="str">
        <x:v>Başlığın yatırımcı/piyasa/şirket açısından baskın finansal duygu yönü: positive, neutral veya negative.</x:v>
      </x:c>
    </x:row>
    <x:row r="3" ht="32" customHeight="1">
      <x:c r="A3" t="str">
        <x:v>chatgpt_confidence</x:v>
      </x:c>
      <x:c r="B3" t="str">
        <x:v>0-1 arası güven skoru; başlık kısa veya karışık sinyalliyse daha düşük tutuldu.</x:v>
      </x:c>
    </x:row>
    <x:row r="4" ht="32" customHeight="1">
      <x:c r="A4" t="str">
        <x:v>finbert_match</x:v>
      </x:c>
      <x:c r="B4" t="str">
        <x:v>FinBERT etiketi ile ChatGPT etiketi aynıysa same, farklıysa different.</x:v>
      </x:c>
    </x:row>
    <x:row r="5" ht="32" customHeight="1">
      <x:c r="A5" t="str">
        <x:v>needs_review</x:v>
      </x:c>
      <x:c r="B5" t="str">
        <x:v>Etiketler farklıysa veya ChatGPT güveni düşükse insan kontrolü önerilir.</x:v>
      </x:c>
    </x:row>
    <x:row r="6" ht="32" customHeight="1">
      <x:c r="A6" t="str">
        <x:v>review_note</x:v>
      </x:c>
      <x:c r="B6" t="str">
        <x:v>Farklı etiket durumunda kısa kontrol notu.</x:v>
      </x:c>
    </x:row>
    <x:row r="7" ht="32" customHeight="1">
      <x:c r="A7" t="str">
        <x:v>Batch note</x:v>
      </x:c>
      <x:c r="B7" t="str">
        <x:v>Bu dosya REUTERS ANNOTATION BATCH 024, Rows 1150-1199 için hazırlanmıştır.</x:v>
      </x:c>
    </x:row>
  </x:sheetData>
  <x:pageMargins left="0.7" right="0.7" top="0.75" bottom="0.75" header="0.3" footer="0.3"/>
</x:worksheet>
</file>