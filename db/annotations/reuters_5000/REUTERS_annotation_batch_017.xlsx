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51264b995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bee60446a56f4cda"/>
    <x:sheet xmlns:r="http://schemas.openxmlformats.org/officeDocument/2006/relationships" name="summary" sheetId="2" r:id="R3808b3bdad094b38"/>
    <x:sheet xmlns:r="http://schemas.openxmlformats.org/officeDocument/2006/relationships" name="labeling_notes" sheetId="3" r:id="Rabe73bc7472b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  <x:dxf>
      <x:font>
        <x:b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663bbd5e34cd5" /><Relationship Type="http://schemas.openxmlformats.org/officeDocument/2006/relationships/theme" Target="/xl/theme/theme1.xml" Id="R237821ba5c774692" /><Relationship Type="http://schemas.openxmlformats.org/officeDocument/2006/relationships/sharedStrings" Target="/xl/sharedStrings.xml" Id="Rf4a2ee181a344a36" /><Relationship Type="http://schemas.openxmlformats.org/officeDocument/2006/relationships/worksheet" Target="/xl/worksheets/sheet1.xml" Id="Rbee60446a56f4cda" /><Relationship Type="http://schemas.openxmlformats.org/officeDocument/2006/relationships/worksheet" Target="/xl/worksheets/sheet2.xml" Id="R3808b3bdad094b38" /><Relationship Type="http://schemas.openxmlformats.org/officeDocument/2006/relationships/worksheet" Target="/xl/worksheets/sheet3.xml" Id="Rabe73bc7472b4f26" /></Relationships>
</file>

<file path=xl/tables/table1.xml><?xml version="1.0" encoding="utf-8"?>
<x:table xmlns:x="http://schemas.openxmlformats.org/spreadsheetml/2006/main" id="1" name="ReutersBatch017Table" displayName="ReutersBatch017Table" ref="A1:M51" headerRowCount="1">
  <x:tableColumns count="13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"/>
    <x:tableColumn id="7" name="text_tr"/>
    <x:tableColumn id="8" name="chatgpt_score"/>
    <x:tableColumn id="9" name="chatgpt_label"/>
    <x:tableColumn id="10" name="chatgpt_confidence"/>
    <x:tableColumn id="11" name="chatgpt_reason_tr"/>
    <x:tableColumn id="12" name="finbert_match"/>
    <x:tableColumn id="13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bcea2f1f534fd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4" hidden="0" customWidth="1"/>
    <x:col min="5" max="5" width="18" hidden="0" customWidth="1"/>
    <x:col min="6" max="6" width="44" hidden="0" customWidth="1"/>
    <x:col min="7" max="7" width="48" hidden="0" customWidth="1"/>
    <x:col min="8" max="8" width="14" hidden="0" customWidth="1"/>
    <x:col min="9" max="9" width="15" hidden="0" customWidth="1"/>
    <x:col min="10" max="10" width="18" hidden="0" customWidth="1"/>
    <x:col min="11" max="11" width="55" hidden="0" customWidth="1"/>
    <x:col min="12" max="12" width="18" hidden="0" customWidth="1"/>
    <x:col min="13" max="13" width="40" hidden="0" customWidth="1"/>
  </x:cols>
  <x:sheetData>
    <x:row r="1">
      <x:c r="A1" s="6" t="str">
        <x:v>annotation_id</x:v>
      </x:c>
      <x:c r="B1" s="6" t="str">
        <x:v>date</x:v>
      </x:c>
      <x:c r="C1" s="6" t="str">
        <x:v>finbert_score</x:v>
      </x:c>
      <x:c r="D1" s="6" t="str">
        <x:v>finbert_label</x:v>
      </x:c>
      <x:c r="E1" s="6" t="str">
        <x:v>finbert_confidence</x:v>
      </x:c>
      <x:c r="F1" s="6" t="str">
        <x:v>text</x:v>
      </x:c>
      <x:c r="G1" s="6" t="str">
        <x:v>text_tr</x:v>
      </x:c>
      <x:c r="H1" s="6" t="str">
        <x:v>chatgpt_score</x:v>
      </x:c>
      <x:c r="I1" s="6" t="str">
        <x:v>chatgpt_label</x:v>
      </x:c>
      <x:c r="J1" s="6" t="str">
        <x:v>chatgpt_confidence</x:v>
      </x:c>
      <x:c r="K1" s="6" t="str">
        <x:v>chatgpt_reason_tr</x:v>
      </x:c>
      <x:c r="L1" s="6" t="str">
        <x:v>finbert_match</x:v>
      </x:c>
      <x:c r="M1" s="6" t="str">
        <x:v>review_note</x:v>
      </x:c>
    </x:row>
    <x:row r="2" ht="48" customHeight="1">
      <x:c r="A2" s="26" t="str">
        <x:v>REUTERS_ANN_00801</x:v>
      </x:c>
      <x:c r="B2" s="27" t="n">
        <x:v>39185</x:v>
      </x:c>
      <x:c r="C2" s="26" t="n">
        <x:v>0</x:v>
      </x:c>
      <x:c r="D2" s="26" t="str">
        <x:v>neutral</x:v>
      </x:c>
      <x:c r="E2" s="28" t="n">
        <x:v>0.5639223456382751</x:v>
      </x:c>
      <x:c r="F2" s="26" t="str">
        <x:v>wal-mart workers lawyer seeks info on surveillance</x:v>
      </x:c>
      <x:c r="G2" s="26" t="str">
        <x:v>Wal-Mart çalışanlarının avukatı gözetim faaliyetleri hakkında bilgi istiyor</x:v>
      </x:c>
      <x:c r="H2" s="26" t="n">
        <x:v>-1</x:v>
      </x:c>
      <x:c r="I2" s="26" t="str">
        <x:v>negative</x:v>
      </x:c>
      <x:c r="J2" s="29" t="n">
        <x:v>0.82</x:v>
      </x:c>
      <x:c r="K2" s="26" t="str">
        <x:v>Gözetim iddiası ve hukuki bilgi talebi şirket açısından itibar/hukuk riski taşır.</x:v>
      </x:c>
      <x:c r="L2" s="26" t="str">
        <x:f>IF(D2=I2,"same","different_review")</x:f>
        <x:v>different_review</x:v>
      </x:c>
      <x:c r="M2" s="26" t="str">
        <x:v>FinBERT etiketiyle farklı; insan incelemesi önerilir.</x:v>
      </x:c>
    </x:row>
    <x:row r="3" ht="48" customHeight="1">
      <x:c r="A3" s="26" t="str">
        <x:v>REUTERS_ANN_00802</x:v>
      </x:c>
      <x:c r="B3" s="27" t="n">
        <x:v>39115</x:v>
      </x:c>
      <x:c r="C3" s="26" t="n">
        <x:v>-1</x:v>
      </x:c>
      <x:c r="D3" s="26" t="str">
        <x:v>negative</x:v>
      </x:c>
      <x:c r="E3" s="28" t="n">
        <x:v>0.6268787980079651</x:v>
      </x:c>
      <x:c r="F3" s="26" t="str">
        <x:v>volvo shares rise on strong orders</x:v>
      </x:c>
      <x:c r="G3" s="26" t="str">
        <x:v>Volvo hisseleri güçlü siparişler sayesinde yükseldi</x:v>
      </x:c>
      <x:c r="H3" s="26" t="n">
        <x:v>1</x:v>
      </x:c>
      <x:c r="I3" s="26" t="str">
        <x:v>positive</x:v>
      </x:c>
      <x:c r="J3" s="29" t="n">
        <x:v>0.94</x:v>
      </x:c>
      <x:c r="K3" s="26" t="str">
        <x:v>Güçlü siparişler ve hisse yükselişi açık biçimde olumlu piyasa sinyalidir.</x:v>
      </x:c>
      <x:c r="L3" s="26" t="str">
        <x:f>IF(D3=I3,"same","different_review")</x:f>
        <x:v>different_review</x:v>
      </x:c>
      <x:c r="M3" s="26" t="str">
        <x:v>FinBERT etiketiyle farklı; insan incelemesi önerilir.</x:v>
      </x:c>
    </x:row>
    <x:row r="4" ht="48" customHeight="1">
      <x:c r="A4" s="26" t="str">
        <x:v>REUTERS_ANN_00803</x:v>
      </x:c>
      <x:c r="B4" s="27" t="n">
        <x:v>39197</x:v>
      </x:c>
      <x:c r="C4" s="26" t="n">
        <x:v>0</x:v>
      </x:c>
      <x:c r="D4" s="26" t="str">
        <x:v>neutral</x:v>
      </x:c>
      <x:c r="E4" s="28" t="n">
        <x:v>0.6559251546859741</x:v>
      </x:c>
      <x:c r="F4" s="26" t="str">
        <x:v>apple iphone on track to ship in late june cfo</x:v>
      </x:c>
      <x:c r="G4" s="26" t="str">
        <x:v>Apple CFO'suna göre iPhone haziran sonunda sevkiyata hazır</x:v>
      </x:c>
      <x:c r="H4" s="26" t="n">
        <x:v>1</x:v>
      </x:c>
      <x:c r="I4" s="26" t="str">
        <x:v>positive</x:v>
      </x:c>
      <x:c r="J4" s="29" t="n">
        <x:v>0.78</x:v>
      </x:c>
      <x:c r="K4" s="26" t="str">
        <x:v>Yeni ürünün planlandığı gibi sevkiyata hazır olması şirket beklentileri açısından olumlu.</x:v>
      </x:c>
      <x:c r="L4" s="26" t="str">
        <x:f>IF(D4=I4,"same","different_review")</x:f>
        <x:v>different_review</x:v>
      </x:c>
      <x:c r="M4" s="26" t="str">
        <x:v>FinBERT etiketiyle farklı; insan incelemesi önerilir.</x:v>
      </x:c>
    </x:row>
    <x:row r="5" ht="48" customHeight="1">
      <x:c r="A5" s="26" t="str">
        <x:v>REUTERS_ANN_00804</x:v>
      </x:c>
      <x:c r="B5" s="27" t="n">
        <x:v>39143</x:v>
      </x:c>
      <x:c r="C5" s="26" t="n">
        <x:v>-1</x:v>
      </x:c>
      <x:c r="D5" s="26" t="str">
        <x:v>negative</x:v>
      </x:c>
      <x:c r="E5" s="28" t="n">
        <x:v>0.942454993724823</x:v>
      </x:c>
      <x:c r="F5" s="26" t="str">
        <x:v>gold, silver sink on fund sales</x:v>
      </x:c>
      <x:c r="G5" s="26" t="str">
        <x:v>Altın ve gümüş fon satışlarıyla sert düştü</x:v>
      </x:c>
      <x:c r="H5" s="26" t="n">
        <x:v>-1</x:v>
      </x:c>
      <x:c r="I5" s="26" t="str">
        <x:v>negative</x:v>
      </x:c>
      <x:c r="J5" s="29" t="n">
        <x:v>0.93</x:v>
      </x:c>
      <x:c r="K5" s="26" t="str">
        <x:v>Emtia fiyatlarında düşüş ve satış baskısı negatif piyasa sinyalidir.</x:v>
      </x:c>
      <x:c r="L5" s="26" t="str">
        <x:f>IF(D5=I5,"same","different_review")</x:f>
        <x:v>same</x:v>
      </x:c>
      <x:c r="M5" s="26" t="str">
        <x:v>FinBERT ile uyumlu.</x:v>
      </x:c>
    </x:row>
    <x:row r="6" ht="48" customHeight="1">
      <x:c r="A6" s="26" t="str">
        <x:v>REUTERS_ANN_00805</x:v>
      </x:c>
      <x:c r="B6" s="27" t="n">
        <x:v>39200</x:v>
      </x:c>
      <x:c r="C6" s="26" t="n">
        <x:v>0</x:v>
      </x:c>
      <x:c r="D6" s="26" t="str">
        <x:v>neutral</x:v>
      </x:c>
      <x:c r="E6" s="28" t="n">
        <x:v>0.6454716920852661</x:v>
      </x:c>
      <x:c r="F6" s="26" t="str">
        <x:v>abn faces turmoil as dutch court to rule on lasalle</x:v>
      </x:c>
      <x:c r="G6" s="26" t="str">
        <x:v>ABN, Hollanda mahkemesinin LaSalle kararı öncesinde çalkantıyla karşı karşıya</x:v>
      </x:c>
      <x:c r="H6" s="26" t="n">
        <x:v>-1</x:v>
      </x:c>
      <x:c r="I6" s="26" t="str">
        <x:v>negative</x:v>
      </x:c>
      <x:c r="J6" s="29" t="n">
        <x:v>0.84</x:v>
      </x:c>
      <x:c r="K6" s="26" t="str">
        <x:v>Mahkeme belirsizliği ve çalkantı ifadesi şirket/takeover süreci açısından olumsuz.</x:v>
      </x:c>
      <x:c r="L6" s="26" t="str">
        <x:f>IF(D6=I6,"same","different_review")</x:f>
        <x:v>different_review</x:v>
      </x:c>
      <x:c r="M6" s="26" t="str">
        <x:v>FinBERT etiketiyle farklı; insan incelemesi önerilir.</x:v>
      </x:c>
    </x:row>
    <x:row r="7" ht="48" customHeight="1">
      <x:c r="A7" s="26" t="str">
        <x:v>REUTERS_ANN_00806</x:v>
      </x:c>
      <x:c r="B7" s="27" t="n">
        <x:v>39121</x:v>
      </x:c>
      <x:c r="C7" s="26" t="n">
        <x:v>1</x:v>
      </x:c>
      <x:c r="D7" s="26" t="str">
        <x:v>positive</x:v>
      </x:c>
      <x:c r="E7" s="28" t="n">
        <x:v>0.9485161900520324</x:v>
      </x:c>
      <x:c r="F7" s="26" t="str">
        <x:v>abn amro 2006 profit up</x:v>
      </x:c>
      <x:c r="G7" s="26" t="str">
        <x:v>ABN Amro'nun 2006 kârı arttı</x:v>
      </x:c>
      <x:c r="H7" s="26" t="n">
        <x:v>1</x:v>
      </x:c>
      <x:c r="I7" s="26" t="str">
        <x:v>positive</x:v>
      </x:c>
      <x:c r="J7" s="29" t="n">
        <x:v>0.95</x:v>
      </x:c>
      <x:c r="K7" s="26" t="str">
        <x:v>Kâr artışı doğrudan olumlu finansal performans göstergesidir.</x:v>
      </x:c>
      <x:c r="L7" s="26" t="str">
        <x:f>IF(D7=I7,"same","different_review")</x:f>
        <x:v>same</x:v>
      </x:c>
      <x:c r="M7" s="26" t="str">
        <x:v>FinBERT ile uyumlu.</x:v>
      </x:c>
    </x:row>
    <x:row r="8" ht="48" customHeight="1">
      <x:c r="A8" s="26" t="str">
        <x:v>REUTERS_ANN_00807</x:v>
      </x:c>
      <x:c r="B8" s="27" t="n">
        <x:v>39161</x:v>
      </x:c>
      <x:c r="C8" s="26" t="n">
        <x:v>0</x:v>
      </x:c>
      <x:c r="D8" s="26" t="str">
        <x:v>neutral</x:v>
      </x:c>
      <x:c r="E8" s="28" t="n">
        <x:v>0.923620343208313</x:v>
      </x:c>
      <x:c r="F8" s="26" t="str">
        <x:v>palm takeover expected this week report</x:v>
      </x:c>
      <x:c r="G8" s="26" t="str">
        <x:v>Palm için devralma anlaşmasının bu hafta bekleniyor olduğu bildirildi</x:v>
      </x:c>
      <x:c r="H8" s="26" t="n">
        <x:v>0</x:v>
      </x:c>
      <x:c r="I8" s="26" t="str">
        <x:v>neutral</x:v>
      </x:c>
      <x:c r="J8" s="29" t="n">
        <x:v>0.72</x:v>
      </x:c>
      <x:c r="K8" s="26" t="str">
        <x:v>Beklenen işlem haberi var; fiyat, onay veya etkisi net olmadığı için nötr tutuldu.</x:v>
      </x:c>
      <x:c r="L8" s="26" t="str">
        <x:f>IF(D8=I8,"same","different_review")</x:f>
        <x:v>same</x:v>
      </x:c>
      <x:c r="M8" s="26" t="str">
        <x:v>FinBERT ile uyumlu.</x:v>
      </x:c>
    </x:row>
    <x:row r="9" ht="48" customHeight="1">
      <x:c r="A9" s="26" t="str">
        <x:v>REUTERS_ANN_00808</x:v>
      </x:c>
      <x:c r="B9" s="27" t="n">
        <x:v>39128</x:v>
      </x:c>
      <x:c r="C9" s="26" t="n">
        <x:v>1</x:v>
      </x:c>
      <x:c r="D9" s="26" t="str">
        <x:v>positive</x:v>
      </x:c>
      <x:c r="E9" s="28" t="n">
        <x:v>0.6148775815963745</x:v>
      </x:c>
      <x:c r="F9" s="26" t="str">
        <x:v>caterpillar to buy back $7.5 billion in stock</x:v>
      </x:c>
      <x:c r="G9" s="26" t="str">
        <x:v>Caterpillar 7,5 milyar dolarlık hisse geri alımı yapacak</x:v>
      </x:c>
      <x:c r="H9" s="26" t="n">
        <x:v>1</x:v>
      </x:c>
      <x:c r="I9" s="26" t="str">
        <x:v>positive</x:v>
      </x:c>
      <x:c r="J9" s="29" t="n">
        <x:v>0.88</x:v>
      </x:c>
      <x:c r="K9" s="26" t="str">
        <x:v>Büyük ölçekli geri alım hissedar değeri açısından genellikle olumlu algılanır.</x:v>
      </x:c>
      <x:c r="L9" s="26" t="str">
        <x:f>IF(D9=I9,"same","different_review")</x:f>
        <x:v>same</x:v>
      </x:c>
      <x:c r="M9" s="26" t="str">
        <x:v>FinBERT ile uyumlu.</x:v>
      </x:c>
    </x:row>
    <x:row r="10" ht="48" customHeight="1">
      <x:c r="A10" s="26" t="str">
        <x:v>REUTERS_ANN_00809</x:v>
      </x:c>
      <x:c r="B10" s="27" t="n">
        <x:v>39175</x:v>
      </x:c>
      <x:c r="C10" s="26" t="n">
        <x:v>-1</x:v>
      </x:c>
      <x:c r="D10" s="26" t="str">
        <x:v>negative</x:v>
      </x:c>
      <x:c r="E10" s="28" t="n">
        <x:v>0.6750444173812866</x:v>
      </x:c>
      <x:c r="F10" s="26" t="str">
        <x:v>coles shares put on trading halt</x:v>
      </x:c>
      <x:c r="G10" s="26" t="str">
        <x:v>Coles hisselerinde işlem durduruldu</x:v>
      </x:c>
      <x:c r="H10" s="26" t="n">
        <x:v>-1</x:v>
      </x:c>
      <x:c r="I10" s="26" t="str">
        <x:v>negative</x:v>
      </x:c>
      <x:c r="J10" s="29" t="n">
        <x:v>0.72</x:v>
      </x:c>
      <x:c r="K10" s="26" t="str">
        <x:v>İşlem durdurma belirsizlik ve risk işareti oluşturduğu için olumsuz değerlendirildi.</x:v>
      </x:c>
      <x:c r="L10" s="26" t="str">
        <x:f>IF(D10=I10,"same","different_review")</x:f>
        <x:v>same</x:v>
      </x:c>
      <x:c r="M10" s="26" t="str">
        <x:v>FinBERT ile uyumlu.</x:v>
      </x:c>
    </x:row>
    <x:row r="11" ht="48" customHeight="1">
      <x:c r="A11" s="26" t="str">
        <x:v>REUTERS_ANN_00810</x:v>
      </x:c>
      <x:c r="B11" s="27" t="n">
        <x:v>39014</x:v>
      </x:c>
      <x:c r="C11" s="26" t="n">
        <x:v>1</x:v>
      </x:c>
      <x:c r="D11" s="26" t="str">
        <x:v>positive</x:v>
      </x:c>
      <x:c r="E11" s="28" t="n">
        <x:v>0.7930712699890137</x:v>
      </x:c>
      <x:c r="F11" s="26" t="str">
        <x:v>ge,wal-mart,shenzhen bank tie up on china credit card</x:v>
      </x:c>
      <x:c r="G11" s="26" t="str">
        <x:v>GE, Wal-Mart ve Shenzhen Bank Çin kredi kartı alanında iş birliği yapıyor</x:v>
      </x:c>
      <x:c r="H11" s="26" t="n">
        <x:v>1</x:v>
      </x:c>
      <x:c r="I11" s="26" t="str">
        <x:v>positive</x:v>
      </x:c>
      <x:c r="J11" s="29" t="n">
        <x:v>0.82</x:v>
      </x:c>
      <x:c r="K11" s="26" t="str">
        <x:v>Yeni ortaklık ve pazar genişlemesi şirketler açısından olumlu stratejik sinyal verir.</x:v>
      </x:c>
      <x:c r="L11" s="26" t="str">
        <x:f>IF(D11=I11,"same","different_review")</x:f>
        <x:v>same</x:v>
      </x:c>
      <x:c r="M11" s="26" t="str">
        <x:v>FinBERT ile uyumlu.</x:v>
      </x:c>
    </x:row>
    <x:row r="12" ht="48" customHeight="1">
      <x:c r="A12" s="26" t="str">
        <x:v>REUTERS_ANN_00811</x:v>
      </x:c>
      <x:c r="B12" s="27" t="n">
        <x:v>39065</x:v>
      </x:c>
      <x:c r="C12" s="26" t="n">
        <x:v>-1</x:v>
      </x:c>
      <x:c r="D12" s="26" t="str">
        <x:v>negative</x:v>
      </x:c>
      <x:c r="E12" s="28" t="n">
        <x:v>0.9764594435691832</x:v>
      </x:c>
      <x:c r="F12" s="26" t="str">
        <x:v>tourism sales dip for first time in four years</x:v>
      </x:c>
      <x:c r="G12" s="26" t="str">
        <x:v>Turizm satışları dört yılda ilk kez geriledi</x:v>
      </x:c>
      <x:c r="H12" s="26" t="n">
        <x:v>-1</x:v>
      </x:c>
      <x:c r="I12" s="26" t="str">
        <x:v>negative</x:v>
      </x:c>
      <x:c r="J12" s="29" t="n">
        <x:v>0.95</x:v>
      </x:c>
      <x:c r="K12" s="26" t="str">
        <x:v>Satışlardaki düşüş sektör ve gelir görünümü açısından açıkça olumsuzdur.</x:v>
      </x:c>
      <x:c r="L12" s="26" t="str">
        <x:f>IF(D12=I12,"same","different_review")</x:f>
        <x:v>same</x:v>
      </x:c>
      <x:c r="M12" s="26" t="str">
        <x:v>FinBERT ile uyumlu.</x:v>
      </x:c>
    </x:row>
    <x:row r="13" ht="48" customHeight="1">
      <x:c r="A13" s="26" t="str">
        <x:v>REUTERS_ANN_00812</x:v>
      </x:c>
      <x:c r="B13" s="27" t="n">
        <x:v>39145</x:v>
      </x:c>
      <x:c r="C13" s="26" t="n">
        <x:v>-1</x:v>
      </x:c>
      <x:c r="D13" s="26" t="str">
        <x:v>negative</x:v>
      </x:c>
      <x:c r="E13" s="28" t="n">
        <x:v>0.510625422000885</x:v>
      </x:c>
      <x:c r="F13" s="26" t="str">
        <x:v>starbucks steams at starstrucks indian coffee chain</x:v>
      </x:c>
      <x:c r="G13" s="26" t="str">
        <x:v>Starbucks, Hindistan'daki Starstrucks kahve zincirine karşı tepki gösteriyor</x:v>
      </x:c>
      <x:c r="H13" s="26" t="n">
        <x:v>-1</x:v>
      </x:c>
      <x:c r="I13" s="26" t="str">
        <x:v>negative</x:v>
      </x:c>
      <x:c r="J13" s="29" t="n">
        <x:v>0.7</x:v>
      </x:c>
      <x:c r="K13" s="26" t="str">
        <x:v>Marka/isim anlaşmazlığı hukuki veya rekabet kaynaklı risk oluşturur.</x:v>
      </x:c>
      <x:c r="L13" s="26" t="str">
        <x:f>IF(D13=I13,"same","different_review")</x:f>
        <x:v>same</x:v>
      </x:c>
      <x:c r="M13" s="26" t="str">
        <x:v>FinBERT ile uyumlu.</x:v>
      </x:c>
    </x:row>
    <x:row r="14" ht="48" customHeight="1">
      <x:c r="A14" s="26" t="str">
        <x:v>REUTERS_ANN_00813</x:v>
      </x:c>
      <x:c r="B14" s="27" t="n">
        <x:v>39186</x:v>
      </x:c>
      <x:c r="C14" s="26" t="n">
        <x:v>-1</x:v>
      </x:c>
      <x:c r="D14" s="26" t="str">
        <x:v>negative</x:v>
      </x:c>
      <x:c r="E14" s="28" t="n">
        <x:v>0.7391734719276428</x:v>
      </x:c>
      <x:c r="F14" s="26" t="str">
        <x:v>benn says wolfowitz controversy hurts world bank</x:v>
      </x:c>
      <x:c r="G14" s="26" t="str">
        <x:v>Benn, Wolfowitz tartışmasının Dünya Bankası'na zarar verdiğini söylüyor</x:v>
      </x:c>
      <x:c r="H14" s="26" t="n">
        <x:v>-1</x:v>
      </x:c>
      <x:c r="I14" s="26" t="str">
        <x:v>negative</x:v>
      </x:c>
      <x:c r="J14" s="29" t="n">
        <x:v>0.88</x:v>
      </x:c>
      <x:c r="K14" s="26" t="str">
        <x:v>Kurumsal tartışmanın kuruma zarar verdiği belirtiliyor; itibar açısından negatif.</x:v>
      </x:c>
      <x:c r="L14" s="26" t="str">
        <x:f>IF(D14=I14,"same","different_review")</x:f>
        <x:v>same</x:v>
      </x:c>
      <x:c r="M14" s="26" t="str">
        <x:v>FinBERT ile uyumlu.</x:v>
      </x:c>
    </x:row>
    <x:row r="15" ht="48" customHeight="1">
      <x:c r="A15" s="26" t="str">
        <x:v>REUTERS_ANN_00814</x:v>
      </x:c>
      <x:c r="B15" s="27" t="n">
        <x:v>39149</x:v>
      </x:c>
      <x:c r="C15" s="26" t="n">
        <x:v>-1</x:v>
      </x:c>
      <x:c r="D15" s="26" t="str">
        <x:v>negative</x:v>
      </x:c>
      <x:c r="E15" s="28" t="n">
        <x:v>0.8408907651901245</x:v>
      </x:c>
      <x:c r="F15" s="26" t="str">
        <x:v>navistar, ford to try to resolve engine dispute</x:v>
      </x:c>
      <x:c r="G15" s="26" t="str">
        <x:v>Navistar ve Ford motor anlaşmazlığını çözmeye çalışacak</x:v>
      </x:c>
      <x:c r="H15" s="26" t="n">
        <x:v>-1</x:v>
      </x:c>
      <x:c r="I15" s="26" t="str">
        <x:v>negative</x:v>
      </x:c>
      <x:c r="J15" s="29" t="n">
        <x:v>0.76</x:v>
      </x:c>
      <x:c r="K15" s="26" t="str">
        <x:v>Ana sinyal mevcut bir anlaşmazlık ve operasyonel/hukuki sürtüşmedir.</x:v>
      </x:c>
      <x:c r="L15" s="26" t="str">
        <x:f>IF(D15=I15,"same","different_review")</x:f>
        <x:v>same</x:v>
      </x:c>
      <x:c r="M15" s="26" t="str">
        <x:v>FinBERT ile uyumlu.</x:v>
      </x:c>
    </x:row>
    <x:row r="16" ht="48" customHeight="1">
      <x:c r="A16" s="26" t="str">
        <x:v>REUTERS_ANN_00815</x:v>
      </x:c>
      <x:c r="B16" s="27" t="n">
        <x:v>39034</x:v>
      </x:c>
      <x:c r="C16" s="26" t="n">
        <x:v>1</x:v>
      </x:c>
      <x:c r="D16" s="26" t="str">
        <x:v>positive</x:v>
      </x:c>
      <x:c r="E16" s="28" t="n">
        <x:v>0.6805691719055176</x:v>
      </x:c>
      <x:c r="F16" s="26" t="str">
        <x:v>bank of america speeds up free online trading</x:v>
      </x:c>
      <x:c r="G16" s="26" t="str">
        <x:v>Bank of America ücretsiz çevrim içi işlem hizmetini hızlandırıyor</x:v>
      </x:c>
      <x:c r="H16" s="26" t="n">
        <x:v>1</x:v>
      </x:c>
      <x:c r="I16" s="26" t="str">
        <x:v>positive</x:v>
      </x:c>
      <x:c r="J16" s="29" t="n">
        <x:v>0.8</x:v>
      </x:c>
      <x:c r="K16" s="26" t="str">
        <x:v>Ücretsiz işlem hizmetinin genişlemesi müşteri kazanımı ve rekabet gücü açısından olumlu.</x:v>
      </x:c>
      <x:c r="L16" s="26" t="str">
        <x:f>IF(D16=I16,"same","different_review")</x:f>
        <x:v>same</x:v>
      </x:c>
      <x:c r="M16" s="26" t="str">
        <x:v>FinBERT ile uyumlu.</x:v>
      </x:c>
    </x:row>
    <x:row r="17" ht="48" customHeight="1">
      <x:c r="A17" s="26" t="str">
        <x:v>REUTERS_ANN_00816</x:v>
      </x:c>
      <x:c r="B17" s="27" t="n">
        <x:v>39058</x:v>
      </x:c>
      <x:c r="C17" s="26" t="n">
        <x:v>0</x:v>
      </x:c>
      <x:c r="D17" s="26" t="str">
        <x:v>neutral</x:v>
      </x:c>
      <x:c r="E17" s="28" t="n">
        <x:v>0.9440302848815918</x:v>
      </x:c>
      <x:c r="F17" s="26" t="str">
        <x:v>factbox business interests of the seminole tribe of florida</x:v>
      </x:c>
      <x:c r="G17" s="26" t="str">
        <x:v>Florida Seminole kabilesinin ticari çıkarlarına ilişkin bilgi notu</x:v>
      </x:c>
      <x:c r="H17" s="26" t="n">
        <x:v>0</x:v>
      </x:c>
      <x:c r="I17" s="26" t="str">
        <x:v>neutral</x:v>
      </x:c>
      <x:c r="J17" s="29" t="n">
        <x:v>0.95</x:v>
      </x:c>
      <x:c r="K17" s="26" t="str">
        <x:v>Factbox/bilgi notu niteliğinde; belirgin olumlu veya olumsuz finansal sinyal yok.</x:v>
      </x:c>
      <x:c r="L17" s="26" t="str">
        <x:f>IF(D17=I17,"same","different_review")</x:f>
        <x:v>same</x:v>
      </x:c>
      <x:c r="M17" s="26" t="str">
        <x:v>FinBERT ile uyumlu.</x:v>
      </x:c>
    </x:row>
    <x:row r="18" ht="48" customHeight="1">
      <x:c r="A18" s="26" t="str">
        <x:v>REUTERS_ANN_00817</x:v>
      </x:c>
      <x:c r="B18" s="27" t="n">
        <x:v>39098</x:v>
      </x:c>
      <x:c r="C18" s="26" t="n">
        <x:v>0</x:v>
      </x:c>
      <x:c r="D18" s="26" t="str">
        <x:v>neutral</x:v>
      </x:c>
      <x:c r="E18" s="28" t="n">
        <x:v>0.7976936101913452</x:v>
      </x:c>
      <x:c r="F18" s="26" t="str">
        <x:v>jury selection begins in coke trade secrets case</x:v>
      </x:c>
      <x:c r="G18" s="26" t="str">
        <x:v>Coke ticari sırlar davasında jüri seçimi başladı</x:v>
      </x:c>
      <x:c r="H18" s="26" t="n">
        <x:v>-1</x:v>
      </x:c>
      <x:c r="I18" s="26" t="str">
        <x:v>negative</x:v>
      </x:c>
      <x:c r="J18" s="29" t="n">
        <x:v>0.74</x:v>
      </x:c>
      <x:c r="K18" s="26" t="str">
        <x:v>Ticari sır davası hukuki risk ve itibar riski içerir.</x:v>
      </x:c>
      <x:c r="L18" s="26" t="str">
        <x:f>IF(D18=I18,"same","different_review")</x:f>
        <x:v>different_review</x:v>
      </x:c>
      <x:c r="M18" s="26" t="str">
        <x:v>FinBERT etiketiyle farklı; insan incelemesi önerilir.</x:v>
      </x:c>
    </x:row>
    <x:row r="19" ht="48" customHeight="1">
      <x:c r="A19" s="26" t="str">
        <x:v>REUTERS_ANN_00818</x:v>
      </x:c>
      <x:c r="B19" s="27" t="n">
        <x:v>39206</x:v>
      </x:c>
      <x:c r="C19" s="26" t="n">
        <x:v>1</x:v>
      </x:c>
      <x:c r="D19" s="26" t="str">
        <x:v>positive</x:v>
      </x:c>
      <x:c r="E19" s="28" t="n">
        <x:v>0.949409246444702</x:v>
      </x:c>
      <x:c r="F19" s="26" t="str">
        <x:v>berkshire hathaway profit rises 12 pct</x:v>
      </x:c>
      <x:c r="G19" s="26" t="str">
        <x:v>Berkshire Hathaway kârı yüzde 12 arttı</x:v>
      </x:c>
      <x:c r="H19" s="26" t="n">
        <x:v>1</x:v>
      </x:c>
      <x:c r="I19" s="26" t="str">
        <x:v>positive</x:v>
      </x:c>
      <x:c r="J19" s="29" t="n">
        <x:v>0.95</x:v>
      </x:c>
      <x:c r="K19" s="26" t="str">
        <x:v>Kâr artışı net olumlu finansal performans sinyalidir.</x:v>
      </x:c>
      <x:c r="L19" s="26" t="str">
        <x:f>IF(D19=I19,"same","different_review")</x:f>
        <x:v>same</x:v>
      </x:c>
      <x:c r="M19" s="26" t="str">
        <x:v>FinBERT ile uyumlu.</x:v>
      </x:c>
    </x:row>
    <x:row r="20" ht="48" customHeight="1">
      <x:c r="A20" s="26" t="str">
        <x:v>REUTERS_ANN_00819</x:v>
      </x:c>
      <x:c r="B20" s="27" t="n">
        <x:v>39115</x:v>
      </x:c>
      <x:c r="C20" s="26" t="n">
        <x:v>1</x:v>
      </x:c>
      <x:c r="D20" s="26" t="str">
        <x:v>positive</x:v>
      </x:c>
      <x:c r="E20" s="28" t="n">
        <x:v>0.9549150466918944</x:v>
      </x:c>
      <x:c r="F20" s="26" t="str">
        <x:v>thq profit up on strong sales of cars</x:v>
      </x:c>
      <x:c r="G20" s="26" t="str">
        <x:v>THQ'nun kârı Cars oyununun güçlü satışlarıyla arttı</x:v>
      </x:c>
      <x:c r="H20" s="26" t="n">
        <x:v>1</x:v>
      </x:c>
      <x:c r="I20" s="26" t="str">
        <x:v>positive</x:v>
      </x:c>
      <x:c r="J20" s="29" t="n">
        <x:v>0.95</x:v>
      </x:c>
      <x:c r="K20" s="26" t="str">
        <x:v>Güçlü satış ve kâr artışı açıkça olumlu.</x:v>
      </x:c>
      <x:c r="L20" s="26" t="str">
        <x:f>IF(D20=I20,"same","different_review")</x:f>
        <x:v>same</x:v>
      </x:c>
      <x:c r="M20" s="26" t="str">
        <x:v>FinBERT ile uyumlu.</x:v>
      </x:c>
    </x:row>
    <x:row r="21" ht="48" customHeight="1">
      <x:c r="A21" s="26" t="str">
        <x:v>REUTERS_ANN_00820</x:v>
      </x:c>
      <x:c r="B21" s="27" t="n">
        <x:v>39093</x:v>
      </x:c>
      <x:c r="C21" s="26" t="n">
        <x:v>0</x:v>
      </x:c>
      <x:c r="D21" s="26" t="str">
        <x:v>neutral</x:v>
      </x:c>
      <x:c r="E21" s="28" t="n">
        <x:v>0.6164313554763794</x:v>
      </x:c>
      <x:c r="F21" s="26" t="str">
        <x:v>ebay to buy ticketer stubhub for $310 million</x:v>
      </x:c>
      <x:c r="G21" s="26" t="str">
        <x:v>eBay bilet platformu StubHub'ı 310 milyon dolara satın alacak</x:v>
      </x:c>
      <x:c r="H21" s="26" t="n">
        <x:v>0</x:v>
      </x:c>
      <x:c r="I21" s="26" t="str">
        <x:v>neutral</x:v>
      </x:c>
      <x:c r="J21" s="29" t="n">
        <x:v>0.7</x:v>
      </x:c>
      <x:c r="K21" s="26" t="str">
        <x:v>Satın alma haberi tek başına yön belirtmiyor; değer etkisi net değil.</x:v>
      </x:c>
      <x:c r="L21" s="26" t="str">
        <x:f>IF(D21=I21,"same","different_review")</x:f>
        <x:v>same</x:v>
      </x:c>
      <x:c r="M21" s="26" t="str">
        <x:v>FinBERT ile uyumlu.</x:v>
      </x:c>
    </x:row>
    <x:row r="22" ht="48" customHeight="1">
      <x:c r="A22" s="26" t="str">
        <x:v>REUTERS_ANN_00821</x:v>
      </x:c>
      <x:c r="B22" s="27" t="n">
        <x:v>39148</x:v>
      </x:c>
      <x:c r="C22" s="26" t="n">
        <x:v>-1</x:v>
      </x:c>
      <x:c r="D22" s="26" t="str">
        <x:v>negative</x:v>
      </x:c>
      <x:c r="E22" s="28" t="n">
        <x:v>0.9563145637512208</x:v>
      </x:c>
      <x:c r="F22" s="26" t="str">
        <x:v>home loan refinancing surges as rates plunge</x:v>
      </x:c>
      <x:c r="G22" s="26" t="str">
        <x:v>Faizler düşünce konut kredisi refinansmanı hızla arttı</x:v>
      </x:c>
      <x:c r="H22" s="26" t="n">
        <x:v>1</x:v>
      </x:c>
      <x:c r="I22" s="26" t="str">
        <x:v>positive</x:v>
      </x:c>
      <x:c r="J22" s="29" t="n">
        <x:v>0.78</x:v>
      </x:c>
      <x:c r="K22" s="26" t="str">
        <x:v>Düşen faiz ve artan refinansman faaliyeti konut kredisi aktivitesi açısından olumlu okunur.</x:v>
      </x:c>
      <x:c r="L22" s="26" t="str">
        <x:f>IF(D22=I22,"same","different_review")</x:f>
        <x:v>different_review</x:v>
      </x:c>
      <x:c r="M22" s="26" t="str">
        <x:v>FinBERT etiketiyle farklı; insan incelemesi önerilir.</x:v>
      </x:c>
    </x:row>
    <x:row r="23" ht="48" customHeight="1">
      <x:c r="A23" s="26" t="str">
        <x:v>REUTERS_ANN_00822</x:v>
      </x:c>
      <x:c r="B23" s="27" t="n">
        <x:v>39120</x:v>
      </x:c>
      <x:c r="C23" s="26" t="n">
        <x:v>1</x:v>
      </x:c>
      <x:c r="D23" s="26" t="str">
        <x:v>positive</x:v>
      </x:c>
      <x:c r="E23" s="28" t="n">
        <x:v>0.9493153691291808</x:v>
      </x:c>
      <x:c r="F23" s="26" t="str">
        <x:v>dean foods profit rises</x:v>
      </x:c>
      <x:c r="G23" s="26" t="str">
        <x:v>Dean Foods kârı arttı</x:v>
      </x:c>
      <x:c r="H23" s="26" t="n">
        <x:v>1</x:v>
      </x:c>
      <x:c r="I23" s="26" t="str">
        <x:v>positive</x:v>
      </x:c>
      <x:c r="J23" s="29" t="n">
        <x:v>0.94</x:v>
      </x:c>
      <x:c r="K23" s="26" t="str">
        <x:v>Kâr artışı açık olumlu sinyaldir.</x:v>
      </x:c>
      <x:c r="L23" s="26" t="str">
        <x:f>IF(D23=I23,"same","different_review")</x:f>
        <x:v>same</x:v>
      </x:c>
      <x:c r="M23" s="26" t="str">
        <x:v>FinBERT ile uyumlu.</x:v>
      </x:c>
    </x:row>
    <x:row r="24" ht="48" customHeight="1">
      <x:c r="A24" s="26" t="str">
        <x:v>REUTERS_ANN_00823</x:v>
      </x:c>
      <x:c r="B24" s="27" t="n">
        <x:v>39204</x:v>
      </x:c>
      <x:c r="C24" s="26" t="n">
        <x:v>0</x:v>
      </x:c>
      <x:c r="D24" s="26" t="str">
        <x:v>neutral</x:v>
      </x:c>
      <x:c r="E24" s="28" t="n">
        <x:v>0.8657247424125671</x:v>
      </x:c>
      <x:c r="F24" s="26" t="str">
        <x:v>pawn shops poised as britons run up debt</x:v>
      </x:c>
      <x:c r="G24" s="26" t="str">
        <x:v>Britanyalıların borcu artarken rehinciler fırsata hazır görünüyor</x:v>
      </x:c>
      <x:c r="H24" s="26" t="n">
        <x:v>0</x:v>
      </x:c>
      <x:c r="I24" s="26" t="str">
        <x:v>neutral</x:v>
      </x:c>
      <x:c r="J24" s="29" t="n">
        <x:v>0.66</x:v>
      </x:c>
      <x:c r="K24" s="26" t="str">
        <x:v>Rehinciler için olumlu, tüketici borçluluğu için olumsuz karışık sinyal var.</x:v>
      </x:c>
      <x:c r="L24" s="26" t="str">
        <x:f>IF(D24=I24,"same","different_review")</x:f>
        <x:v>same</x:v>
      </x:c>
      <x:c r="M24" s="26" t="str">
        <x:v>FinBERT ile uyumlu.</x:v>
      </x:c>
    </x:row>
    <x:row r="25" ht="48" customHeight="1">
      <x:c r="A25" s="26" t="str">
        <x:v>REUTERS_ANN_00824</x:v>
      </x:c>
      <x:c r="B25" s="27" t="n">
        <x:v>39013</x:v>
      </x:c>
      <x:c r="C25" s="26" t="n">
        <x:v>1</x:v>
      </x:c>
      <x:c r="D25" s="26" t="str">
        <x:v>positive</x:v>
      </x:c>
      <x:c r="E25" s="28" t="n">
        <x:v>0.6159435510635376</x:v>
      </x:c>
      <x:c r="F25" s="26" t="str">
        <x:v>update 4-wal-mart to slow u.s. expansion, spending growth</x:v>
      </x:c>
      <x:c r="G25" s="26" t="str">
        <x:v>Wal-Mart ABD'deki genişlemeyi ve harcama büyümesini yavaşlatacak</x:v>
      </x:c>
      <x:c r="H25" s="26" t="n">
        <x:v>-1</x:v>
      </x:c>
      <x:c r="I25" s="26" t="str">
        <x:v>negative</x:v>
      </x:c>
      <x:c r="J25" s="29" t="n">
        <x:v>0.82</x:v>
      </x:c>
      <x:c r="K25" s="26" t="str">
        <x:v>Genişleme ve harcama büyümesinin yavaşlaması şirket büyümesi açısından olumsuz.</x:v>
      </x:c>
      <x:c r="L25" s="26" t="str">
        <x:f>IF(D25=I25,"same","different_review")</x:f>
        <x:v>different_review</x:v>
      </x:c>
      <x:c r="M25" s="26" t="str">
        <x:v>FinBERT etiketiyle farklı; insan incelemesi önerilir.</x:v>
      </x:c>
    </x:row>
    <x:row r="26" ht="48" customHeight="1">
      <x:c r="A26" s="26" t="str">
        <x:v>REUTERS_ANN_00825</x:v>
      </x:c>
      <x:c r="B26" s="27" t="n">
        <x:v>39157</x:v>
      </x:c>
      <x:c r="C26" s="26" t="n">
        <x:v>0</x:v>
      </x:c>
      <x:c r="D26" s="26" t="str">
        <x:v>neutral</x:v>
      </x:c>
      <x:c r="E26" s="28" t="n">
        <x:v>0.5451146960258484</x:v>
      </x:c>
      <x:c r="F26" s="26" t="str">
        <x:v>ex-qwest ceo to go on trial for insider trading</x:v>
      </x:c>
      <x:c r="G26" s="26" t="str">
        <x:v>Eski Qwest CEO'su içeriden öğrenenlerin ticareti davasında yargılanacak</x:v>
      </x:c>
      <x:c r="H26" s="26" t="n">
        <x:v>-1</x:v>
      </x:c>
      <x:c r="I26" s="26" t="str">
        <x:v>negative</x:v>
      </x:c>
      <x:c r="J26" s="29" t="n">
        <x:v>0.86</x:v>
      </x:c>
      <x:c r="K26" s="26" t="str">
        <x:v>İçeriden öğrenenlerin ticareti davası hukuki ve itibar riski taşır.</x:v>
      </x:c>
      <x:c r="L26" s="26" t="str">
        <x:f>IF(D26=I26,"same","different_review")</x:f>
        <x:v>different_review</x:v>
      </x:c>
      <x:c r="M26" s="26" t="str">
        <x:v>FinBERT etiketiyle farklı; insan incelemesi önerilir.</x:v>
      </x:c>
    </x:row>
    <x:row r="27" ht="48" customHeight="1">
      <x:c r="A27" s="26" t="str">
        <x:v>REUTERS_ANN_00826</x:v>
      </x:c>
      <x:c r="B27" s="27" t="n">
        <x:v>39036</x:v>
      </x:c>
      <x:c r="C27" s="26" t="n">
        <x:v>-1</x:v>
      </x:c>
      <x:c r="D27" s="26" t="str">
        <x:v>negative</x:v>
      </x:c>
      <x:c r="E27" s="28" t="n">
        <x:v>0.9030696153640748</x:v>
      </x:c>
      <x:c r="F27" s="26" t="str">
        <x:v>wachovia to shut 200 branches before 2009</x:v>
      </x:c>
      <x:c r="G27" s="26" t="str">
        <x:v>Wachovia 2009'dan önce 200 şubeyi kapatacak</x:v>
      </x:c>
      <x:c r="H27" s="26" t="n">
        <x:v>-1</x:v>
      </x:c>
      <x:c r="I27" s="26" t="str">
        <x:v>negative</x:v>
      </x:c>
      <x:c r="J27" s="29" t="n">
        <x:v>0.88</x:v>
      </x:c>
      <x:c r="K27" s="26" t="str">
        <x:v>Şube kapatma maliyet baskısı veya yeniden yapılanma sinyali olduğu için olumsuz.</x:v>
      </x:c>
      <x:c r="L27" s="26" t="str">
        <x:f>IF(D27=I27,"same","different_review")</x:f>
        <x:v>same</x:v>
      </x:c>
      <x:c r="M27" s="26" t="str">
        <x:v>FinBERT ile uyumlu.</x:v>
      </x:c>
    </x:row>
    <x:row r="28" ht="48" customHeight="1">
      <x:c r="A28" s="26" t="str">
        <x:v>REUTERS_ANN_00827</x:v>
      </x:c>
      <x:c r="B28" s="27" t="n">
        <x:v>39018</x:v>
      </x:c>
      <x:c r="C28" s="26" t="n">
        <x:v>-1</x:v>
      </x:c>
      <x:c r="D28" s="26" t="str">
        <x:v>negative</x:v>
      </x:c>
      <x:c r="E28" s="28" t="n">
        <x:v>0.9746246337890624</x:v>
      </x:c>
      <x:c r="F28" s="26" t="str">
        <x:v>wal-mart sees october same-store sales up 0.5 percent</x:v>
      </x:c>
      <x:c r="G28" s="26" t="str">
        <x:v>Wal-Mart ekim ayı aynı mağaza satışlarının yüzde 0,5 arttığını görüyor</x:v>
      </x:c>
      <x:c r="H28" s="26" t="n">
        <x:v>1</x:v>
      </x:c>
      <x:c r="I28" s="26" t="str">
        <x:v>positive</x:v>
      </x:c>
      <x:c r="J28" s="29" t="n">
        <x:v>0.74</x:v>
      </x:c>
      <x:c r="K28" s="26" t="str">
        <x:v>Satış artışı düşük olsa da yön olarak olumlu.</x:v>
      </x:c>
      <x:c r="L28" s="26" t="str">
        <x:f>IF(D28=I28,"same","different_review")</x:f>
        <x:v>different_review</x:v>
      </x:c>
      <x:c r="M28" s="26" t="str">
        <x:v>FinBERT etiketiyle farklı; insan incelemesi önerilir.</x:v>
      </x:c>
    </x:row>
    <x:row r="29" ht="48" customHeight="1">
      <x:c r="A29" s="26" t="str">
        <x:v>REUTERS_ANN_00828</x:v>
      </x:c>
      <x:c r="B29" s="27" t="n">
        <x:v>39100</x:v>
      </x:c>
      <x:c r="C29" s="26" t="n">
        <x:v>-1</x:v>
      </x:c>
      <x:c r="D29" s="26" t="str">
        <x:v>negative</x:v>
      </x:c>
      <x:c r="E29" s="28" t="n">
        <x:v>0.9245025515556335</x:v>
      </x:c>
      <x:c r="F29" s="26" t="str">
        <x:v>data show robust u.s. economy</x:v>
      </x:c>
      <x:c r="G29" s="26" t="str">
        <x:v>Veriler ABD ekonomisinin güçlü olduğunu gösteriyor</x:v>
      </x:c>
      <x:c r="H29" s="26" t="n">
        <x:v>1</x:v>
      </x:c>
      <x:c r="I29" s="26" t="str">
        <x:v>positive</x:v>
      </x:c>
      <x:c r="J29" s="29" t="n">
        <x:v>0.91</x:v>
      </x:c>
      <x:c r="K29" s="26" t="str">
        <x:v>Güçlü ekonomi ifadesi açık makro olumlu sinyalidir.</x:v>
      </x:c>
      <x:c r="L29" s="26" t="str">
        <x:f>IF(D29=I29,"same","different_review")</x:f>
        <x:v>different_review</x:v>
      </x:c>
      <x:c r="M29" s="26" t="str">
        <x:v>FinBERT etiketiyle farklı; insan incelemesi önerilir.</x:v>
      </x:c>
    </x:row>
    <x:row r="30" ht="48" customHeight="1">
      <x:c r="A30" s="26" t="str">
        <x:v>REUTERS_ANN_00829</x:v>
      </x:c>
      <x:c r="B30" s="27" t="n">
        <x:v>39069</x:v>
      </x:c>
      <x:c r="C30" s="26" t="n">
        <x:v>1</x:v>
      </x:c>
      <x:c r="D30" s="26" t="str">
        <x:v>positive</x:v>
      </x:c>
      <x:c r="E30" s="28" t="n">
        <x:v>0.7725980877876282</x:v>
      </x:c>
      <x:c r="F30" s="26" t="str">
        <x:v>current account gap hits record</x:v>
      </x:c>
      <x:c r="G30" s="26" t="str">
        <x:v>Cari açık rekor seviyeye ulaştı</x:v>
      </x:c>
      <x:c r="H30" s="26" t="n">
        <x:v>-1</x:v>
      </x:c>
      <x:c r="I30" s="26" t="str">
        <x:v>negative</x:v>
      </x:c>
      <x:c r="J30" s="29" t="n">
        <x:v>0.9</x:v>
      </x:c>
      <x:c r="K30" s="26" t="str">
        <x:v>Rekor cari açık makroekonomik dengesizlik ve olumsuz risk sinyali verir.</x:v>
      </x:c>
      <x:c r="L30" s="26" t="str">
        <x:f>IF(D30=I30,"same","different_review")</x:f>
        <x:v>different_review</x:v>
      </x:c>
      <x:c r="M30" s="26" t="str">
        <x:v>FinBERT etiketiyle farklı; insan incelemesi önerilir.</x:v>
      </x:c>
    </x:row>
    <x:row r="31" ht="48" customHeight="1">
      <x:c r="A31" s="26" t="str">
        <x:v>REUTERS_ANN_00830</x:v>
      </x:c>
      <x:c r="B31" s="27" t="n">
        <x:v>39023</x:v>
      </x:c>
      <x:c r="C31" s="26" t="n">
        <x:v>1</x:v>
      </x:c>
      <x:c r="D31" s="26" t="str">
        <x:v>positive</x:v>
      </x:c>
      <x:c r="E31" s="28" t="n">
        <x:v>0.8596211671829224</x:v>
      </x:c>
      <x:c r="F31" s="26" t="str">
        <x:v>st. mary land to acquire texas oil-gas properties</x:v>
      </x:c>
      <x:c r="G31" s="26" t="str">
        <x:v>St. Mary Land, Teksas petrol ve gaz varlıklarını satın alacak</x:v>
      </x:c>
      <x:c r="H31" s="26" t="n">
        <x:v>1</x:v>
      </x:c>
      <x:c r="I31" s="26" t="str">
        <x:v>positive</x:v>
      </x:c>
      <x:c r="J31" s="29" t="n">
        <x:v>0.77</x:v>
      </x:c>
      <x:c r="K31" s="26" t="str">
        <x:v>Enerji varlığı satın alımı büyüme/varlık genişlemesi olarak olumlu değerlendirildi.</x:v>
      </x:c>
      <x:c r="L31" s="26" t="str">
        <x:f>IF(D31=I31,"same","different_review")</x:f>
        <x:v>same</x:v>
      </x:c>
      <x:c r="M31" s="26" t="str">
        <x:v>FinBERT ile uyumlu.</x:v>
      </x:c>
    </x:row>
    <x:row r="32" ht="48" customHeight="1">
      <x:c r="A32" s="26" t="str">
        <x:v>REUTERS_ANN_00831</x:v>
      </x:c>
      <x:c r="B32" s="27" t="n">
        <x:v>39113</x:v>
      </x:c>
      <x:c r="C32" s="26" t="n">
        <x:v>1</x:v>
      </x:c>
      <x:c r="D32" s="26" t="str">
        <x:v>positive</x:v>
      </x:c>
      <x:c r="E32" s="28" t="n">
        <x:v>0.9471219778060912</x:v>
      </x:c>
      <x:c r="F32" s="26" t="str">
        <x:v>takeda 9-mth profit up, keeps forecasts</x:v>
      </x:c>
      <x:c r="G32" s="26" t="str">
        <x:v>Takeda'nın 9 aylık kârı arttı, tahminlerini korudu</x:v>
      </x:c>
      <x:c r="H32" s="26" t="n">
        <x:v>1</x:v>
      </x:c>
      <x:c r="I32" s="26" t="str">
        <x:v>positive</x:v>
      </x:c>
      <x:c r="J32" s="29" t="n">
        <x:v>0.94</x:v>
      </x:c>
      <x:c r="K32" s="26" t="str">
        <x:v>Kâr artışı ve tahminlerin korunması olumlu performans sinyalidir.</x:v>
      </x:c>
      <x:c r="L32" s="26" t="str">
        <x:f>IF(D32=I32,"same","different_review")</x:f>
        <x:v>same</x:v>
      </x:c>
      <x:c r="M32" s="26" t="str">
        <x:v>FinBERT ile uyumlu.</x:v>
      </x:c>
    </x:row>
    <x:row r="33" ht="48" customHeight="1">
      <x:c r="A33" s="26" t="str">
        <x:v>REUTERS_ANN_00832</x:v>
      </x:c>
      <x:c r="B33" s="27" t="n">
        <x:v>39147</x:v>
      </x:c>
      <x:c r="C33" s="26" t="n">
        <x:v>0</x:v>
      </x:c>
      <x:c r="D33" s="26" t="str">
        <x:v>neutral</x:v>
      </x:c>
      <x:c r="E33" s="28" t="n">
        <x:v>0.800940752029419</x:v>
      </x:c>
      <x:c r="F33" s="26" t="str">
        <x:v>buyout firm blackstone may bid for chrysler source</x:v>
      </x:c>
      <x:c r="G33" s="26" t="str">
        <x:v>Satın alma şirketi Blackstone Chrysler için teklif verebilir</x:v>
      </x:c>
      <x:c r="H33" s="26" t="n">
        <x:v>0</x:v>
      </x:c>
      <x:c r="I33" s="26" t="str">
        <x:v>neutral</x:v>
      </x:c>
      <x:c r="J33" s="29" t="n">
        <x:v>0.72</x:v>
      </x:c>
      <x:c r="K33" s="26" t="str">
        <x:v>Olası teklif haberi var ancak gerçekleşme ve etkisi belirsiz.</x:v>
      </x:c>
      <x:c r="L33" s="26" t="str">
        <x:f>IF(D33=I33,"same","different_review")</x:f>
        <x:v>same</x:v>
      </x:c>
      <x:c r="M33" s="26" t="str">
        <x:v>FinBERT ile uyumlu.</x:v>
      </x:c>
    </x:row>
    <x:row r="34" ht="48" customHeight="1">
      <x:c r="A34" s="26" t="str">
        <x:v>REUTERS_ANN_00833</x:v>
      </x:c>
      <x:c r="B34" s="27" t="n">
        <x:v>39203</x:v>
      </x:c>
      <x:c r="C34" s="26" t="n">
        <x:v>-1</x:v>
      </x:c>
      <x:c r="D34" s="26" t="str">
        <x:v>negative</x:v>
      </x:c>
      <x:c r="E34" s="28" t="n">
        <x:v>0.9109598994255066</x:v>
      </x:c>
      <x:c r="F34" s="26" t="str">
        <x:v>abn faces new suit as takeover battle heats up</x:v>
      </x:c>
      <x:c r="G34" s="26" t="str">
        <x:v>ABN, devralma savaşı kızışırken yeni bir davayla karşı karşıya</x:v>
      </x:c>
      <x:c r="H34" s="26" t="n">
        <x:v>-1</x:v>
      </x:c>
      <x:c r="I34" s="26" t="str">
        <x:v>negative</x:v>
      </x:c>
      <x:c r="J34" s="29" t="n">
        <x:v>0.88</x:v>
      </x:c>
      <x:c r="K34" s="26" t="str">
        <x:v>Yeni dava ve devralma mücadelesindeki gerilim olumsuz risk yaratır.</x:v>
      </x:c>
      <x:c r="L34" s="26" t="str">
        <x:f>IF(D34=I34,"same","different_review")</x:f>
        <x:v>same</x:v>
      </x:c>
      <x:c r="M34" s="26" t="str">
        <x:v>FinBERT ile uyumlu.</x:v>
      </x:c>
    </x:row>
    <x:row r="35" ht="48" customHeight="1">
      <x:c r="A35" s="26" t="str">
        <x:v>REUTERS_ANN_00834</x:v>
      </x:c>
      <x:c r="B35" s="27" t="n">
        <x:v>39020</x:v>
      </x:c>
      <x:c r="C35" s="26" t="n">
        <x:v>1</x:v>
      </x:c>
      <x:c r="D35" s="26" t="str">
        <x:v>positive</x:v>
      </x:c>
      <x:c r="E35" s="28" t="n">
        <x:v>0.7310060262680054</x:v>
      </x:c>
      <x:c r="F35" s="26" t="str">
        <x:v>ibm/lehman in $180 mln china investment fund jv</x:v>
      </x:c>
      <x:c r="G35" s="26" t="str">
        <x:v>IBM ve Lehman Çin'de 180 milyon dolarlık yatırım fonu ortak girişimi kuruyor</x:v>
      </x:c>
      <x:c r="H35" s="26" t="n">
        <x:v>1</x:v>
      </x:c>
      <x:c r="I35" s="26" t="str">
        <x:v>positive</x:v>
      </x:c>
      <x:c r="J35" s="29" t="n">
        <x:v>0.81</x:v>
      </x:c>
      <x:c r="K35" s="26" t="str">
        <x:v>Yeni yatırım fonu ve ortak girişim büyüme fırsatı sunar.</x:v>
      </x:c>
      <x:c r="L35" s="26" t="str">
        <x:f>IF(D35=I35,"same","different_review")</x:f>
        <x:v>same</x:v>
      </x:c>
      <x:c r="M35" s="26" t="str">
        <x:v>FinBERT ile uyumlu.</x:v>
      </x:c>
    </x:row>
    <x:row r="36" ht="48" customHeight="1">
      <x:c r="A36" s="26" t="str">
        <x:v>REUTERS_ANN_00835</x:v>
      </x:c>
      <x:c r="B36" s="27" t="n">
        <x:v>39134</x:v>
      </x:c>
      <x:c r="C36" s="26" t="n">
        <x:v>1</x:v>
      </x:c>
      <x:c r="D36" s="26" t="str">
        <x:v>positive</x:v>
      </x:c>
      <x:c r="E36" s="28" t="n">
        <x:v>0.949209213256836</x:v>
      </x:c>
      <x:c r="F36" s="26" t="str">
        <x:v>medco profit beats street view, raises 2007 view</x:v>
      </x:c>
      <x:c r="G36" s="26" t="str">
        <x:v>Medco kârı beklentileri aştı, 2007 tahminini yükseltti</x:v>
      </x:c>
      <x:c r="H36" s="26" t="n">
        <x:v>1</x:v>
      </x:c>
      <x:c r="I36" s="26" t="str">
        <x:v>positive</x:v>
      </x:c>
      <x:c r="J36" s="29" t="n">
        <x:v>0.96</x:v>
      </x:c>
      <x:c r="K36" s="26" t="str">
        <x:v>Beklenti üzeri kâr ve yukarı yönlü görünüm açıkça olumlu.</x:v>
      </x:c>
      <x:c r="L36" s="26" t="str">
        <x:f>IF(D36=I36,"same","different_review")</x:f>
        <x:v>same</x:v>
      </x:c>
      <x:c r="M36" s="26" t="str">
        <x:v>FinBERT ile uyumlu.</x:v>
      </x:c>
    </x:row>
    <x:row r="37" ht="48" customHeight="1">
      <x:c r="A37" s="26" t="str">
        <x:v>REUTERS_ANN_00836</x:v>
      </x:c>
      <x:c r="B37" s="27" t="n">
        <x:v>39051</x:v>
      </x:c>
      <x:c r="C37" s="26" t="n">
        <x:v>0</x:v>
      </x:c>
      <x:c r="D37" s="26" t="str">
        <x:v>neutral</x:v>
      </x:c>
      <x:c r="E37" s="28" t="n">
        <x:v>0.7791604399681091</x:v>
      </x:c>
      <x:c r="F37" s="26" t="str">
        <x:v>honda to install xm satellite radio in 650,000 cars</x:v>
      </x:c>
      <x:c r="G37" s="26" t="str">
        <x:v>Honda 650.000 araca XM uydu radyosu kuracak</x:v>
      </x:c>
      <x:c r="H37" s="26" t="n">
        <x:v>1</x:v>
      </x:c>
      <x:c r="I37" s="26" t="str">
        <x:v>positive</x:v>
      </x:c>
      <x:c r="J37" s="29" t="n">
        <x:v>0.75</x:v>
      </x:c>
      <x:c r="K37" s="26" t="str">
        <x:v>Yeni donanım/ortaklık müşteri değeri ve ürün genişlemesi açısından olumlu.</x:v>
      </x:c>
      <x:c r="L37" s="26" t="str">
        <x:f>IF(D37=I37,"same","different_review")</x:f>
        <x:v>different_review</x:v>
      </x:c>
      <x:c r="M37" s="26" t="str">
        <x:v>FinBERT etiketiyle farklı; insan incelemesi önerilir.</x:v>
      </x:c>
    </x:row>
    <x:row r="38" ht="48" customHeight="1">
      <x:c r="A38" s="26" t="str">
        <x:v>REUTERS_ANN_00837</x:v>
      </x:c>
      <x:c r="B38" s="27" t="n">
        <x:v>39111</x:v>
      </x:c>
      <x:c r="C38" s="26" t="n">
        <x:v>1</x:v>
      </x:c>
      <x:c r="D38" s="26" t="str">
        <x:v>positive</x:v>
      </x:c>
      <x:c r="E38" s="28" t="n">
        <x:v>0.9096811413764954</x:v>
      </x:c>
      <x:c r="F38" s="26" t="str">
        <x:v>healthsouth to sell unit for $245 million</x:v>
      </x:c>
      <x:c r="G38" s="26" t="str">
        <x:v>HealthSouth birimini 245 milyon dolara satacak</x:v>
      </x:c>
      <x:c r="H38" s="26" t="n">
        <x:v>1</x:v>
      </x:c>
      <x:c r="I38" s="26" t="str">
        <x:v>positive</x:v>
      </x:c>
      <x:c r="J38" s="29" t="n">
        <x:v>0.73</x:v>
      </x:c>
      <x:c r="K38" s="26" t="str">
        <x:v>Birim satışı nakit yaratma ve portföy sadeleşmesi olarak olumlu değerlendirildi.</x:v>
      </x:c>
      <x:c r="L38" s="26" t="str">
        <x:f>IF(D38=I38,"same","different_review")</x:f>
        <x:v>same</x:v>
      </x:c>
      <x:c r="M38" s="26" t="str">
        <x:v>FinBERT ile uyumlu.</x:v>
      </x:c>
    </x:row>
    <x:row r="39" ht="48" customHeight="1">
      <x:c r="A39" s="26" t="str">
        <x:v>REUTERS_ANN_00838</x:v>
      </x:c>
      <x:c r="B39" s="27" t="n">
        <x:v>39202</x:v>
      </x:c>
      <x:c r="C39" s="26" t="n">
        <x:v>-1</x:v>
      </x:c>
      <x:c r="D39" s="26" t="str">
        <x:v>negative</x:v>
      </x:c>
      <x:c r="E39" s="28" t="n">
        <x:v>0.9728043675422668</x:v>
      </x:c>
      <x:c r="F39" s="26" t="str">
        <x:v>homebuilder centex posts quarterly loss</x:v>
      </x:c>
      <x:c r="G39" s="26" t="str">
        <x:v>Konut üreticisi Centex üç aylık zarar açıkladı</x:v>
      </x:c>
      <x:c r="H39" s="26" t="n">
        <x:v>-1</x:v>
      </x:c>
      <x:c r="I39" s="26" t="str">
        <x:v>negative</x:v>
      </x:c>
      <x:c r="J39" s="29" t="n">
        <x:v>0.95</x:v>
      </x:c>
      <x:c r="K39" s="26" t="str">
        <x:v>Zarar açıklanması açık negatif finansal sonuçtur.</x:v>
      </x:c>
      <x:c r="L39" s="26" t="str">
        <x:f>IF(D39=I39,"same","different_review")</x:f>
        <x:v>same</x:v>
      </x:c>
      <x:c r="M39" s="26" t="str">
        <x:v>FinBERT ile uyumlu.</x:v>
      </x:c>
    </x:row>
    <x:row r="40" ht="48" customHeight="1">
      <x:c r="A40" s="26" t="str">
        <x:v>REUTERS_ANN_00839</x:v>
      </x:c>
      <x:c r="B40" s="27" t="n">
        <x:v>39196</x:v>
      </x:c>
      <x:c r="C40" s="26" t="n">
        <x:v>0</x:v>
      </x:c>
      <x:c r="D40" s="26" t="str">
        <x:v>neutral</x:v>
      </x:c>
      <x:c r="E40" s="28" t="n">
        <x:v>0.8227103352546692</x:v>
      </x:c>
      <x:c r="F40" s="26" t="str">
        <x:v>wolfowitz hires lawyer to present his case</x:v>
      </x:c>
      <x:c r="G40" s="26" t="str">
        <x:v>Wolfowitz davasını sunmak için avukat tuttu</x:v>
      </x:c>
      <x:c r="H40" s="26" t="n">
        <x:v>-1</x:v>
      </x:c>
      <x:c r="I40" s="26" t="str">
        <x:v>negative</x:v>
      </x:c>
      <x:c r="J40" s="29" t="n">
        <x:v>0.78</x:v>
      </x:c>
      <x:c r="K40" s="26" t="str">
        <x:v>Avukat tutulması süren tartışma/hukuki savunma ihtiyacına işaret eder.</x:v>
      </x:c>
      <x:c r="L40" s="26" t="str">
        <x:f>IF(D40=I40,"same","different_review")</x:f>
        <x:v>different_review</x:v>
      </x:c>
      <x:c r="M40" s="26" t="str">
        <x:v>FinBERT etiketiyle farklı; insan incelemesi önerilir.</x:v>
      </x:c>
    </x:row>
    <x:row r="41" ht="48" customHeight="1">
      <x:c r="A41" s="26" t="str">
        <x:v>REUTERS_ANN_00840</x:v>
      </x:c>
      <x:c r="B41" s="27" t="n">
        <x:v>39120</x:v>
      </x:c>
      <x:c r="C41" s="26" t="n">
        <x:v>0</x:v>
      </x:c>
      <x:c r="D41" s="26" t="str">
        <x:v>neutral</x:v>
      </x:c>
      <x:c r="E41" s="28" t="n">
        <x:v>0.8589996099472046</x:v>
      </x:c>
      <x:c r="F41" s="26" t="str">
        <x:v>myspace in talks to team up with ebay paper</x:v>
      </x:c>
      <x:c r="G41" s="26" t="str">
        <x:v>MySpace'in eBay ile iş birliği yapmak için görüştüğü bildirildi</x:v>
      </x:c>
      <x:c r="H41" s="26" t="n">
        <x:v>0</x:v>
      </x:c>
      <x:c r="I41" s="26" t="str">
        <x:v>neutral</x:v>
      </x:c>
      <x:c r="J41" s="29" t="n">
        <x:v>0.7</x:v>
      </x:c>
      <x:c r="K41" s="26" t="str">
        <x:v>Görüşme haberi var ancak sonuç ve finansal etki belirsiz.</x:v>
      </x:c>
      <x:c r="L41" s="26" t="str">
        <x:f>IF(D41=I41,"same","different_review")</x:f>
        <x:v>same</x:v>
      </x:c>
      <x:c r="M41" s="26" t="str">
        <x:v>FinBERT ile uyumlu.</x:v>
      </x:c>
    </x:row>
    <x:row r="42" ht="48" customHeight="1">
      <x:c r="A42" s="26" t="str">
        <x:v>REUTERS_ANN_00841</x:v>
      </x:c>
      <x:c r="B42" s="27" t="n">
        <x:v>39171</x:v>
      </x:c>
      <x:c r="C42" s="26" t="n">
        <x:v>1</x:v>
      </x:c>
      <x:c r="D42" s="26" t="str">
        <x:v>positive</x:v>
      </x:c>
      <x:c r="E42" s="28" t="n">
        <x:v>0.8646663427352905</x:v>
      </x:c>
      <x:c r="F42" s="26" t="str">
        <x:v>wall st indexes flat as china news eclipses data</x:v>
      </x:c>
      <x:c r="G42" s="26" t="str">
        <x:v>Wall Street endeksleri Çin haberlerinin verileri gölgelemesiyle yatay kaldı</x:v>
      </x:c>
      <x:c r="H42" s="26" t="n">
        <x:v>0</x:v>
      </x:c>
      <x:c r="I42" s="26" t="str">
        <x:v>neutral</x:v>
      </x:c>
      <x:c r="J42" s="29" t="n">
        <x:v>0.74</x:v>
      </x:c>
      <x:c r="K42" s="26" t="str">
        <x:v>Endekslerin yatay kalması belirgin yön sinyali üretmiyor.</x:v>
      </x:c>
      <x:c r="L42" s="26" t="str">
        <x:f>IF(D42=I42,"same","different_review")</x:f>
        <x:v>different_review</x:v>
      </x:c>
      <x:c r="M42" s="26" t="str">
        <x:v>FinBERT etiketiyle farklı; insan incelemesi önerilir.</x:v>
      </x:c>
    </x:row>
    <x:row r="43" ht="48" customHeight="1">
      <x:c r="A43" s="26" t="str">
        <x:v>REUTERS_ANN_00842</x:v>
      </x:c>
      <x:c r="B43" s="27" t="n">
        <x:v>39200</x:v>
      </x:c>
      <x:c r="C43" s="26" t="n">
        <x:v>-1</x:v>
      </x:c>
      <x:c r="D43" s="26" t="str">
        <x:v>negative</x:v>
      </x:c>
      <x:c r="E43" s="28" t="n">
        <x:v>0.862770140171051</x:v>
      </x:c>
      <x:c r="F43" s="26" t="str">
        <x:v>feds yellen says u.s. economic downturn possible</x:v>
      </x:c>
      <x:c r="G43" s="26" t="str">
        <x:v>Fed'den Yellen ABD ekonomisinde gerilemenin mümkün olduğunu söylüyor</x:v>
      </x:c>
      <x:c r="H43" s="26" t="n">
        <x:v>-1</x:v>
      </x:c>
      <x:c r="I43" s="26" t="str">
        <x:v>negative</x:v>
      </x:c>
      <x:c r="J43" s="29" t="n">
        <x:v>0.89</x:v>
      </x:c>
      <x:c r="K43" s="26" t="str">
        <x:v>Ekonomik gerileme ihtimali açık negatif makro risk sinyalidir.</x:v>
      </x:c>
      <x:c r="L43" s="26" t="str">
        <x:f>IF(D43=I43,"same","different_review")</x:f>
        <x:v>same</x:v>
      </x:c>
      <x:c r="M43" s="26" t="str">
        <x:v>FinBERT ile uyumlu.</x:v>
      </x:c>
    </x:row>
    <x:row r="44" ht="48" customHeight="1">
      <x:c r="A44" s="26" t="str">
        <x:v>REUTERS_ANN_00843</x:v>
      </x:c>
      <x:c r="B44" s="27" t="n">
        <x:v>39149</x:v>
      </x:c>
      <x:c r="C44" s="26" t="n">
        <x:v>-1</x:v>
      </x:c>
      <x:c r="D44" s="26" t="str">
        <x:v>negative</x:v>
      </x:c>
      <x:c r="E44" s="28" t="n">
        <x:v>0.9326146841049194</x:v>
      </x:c>
      <x:c r="F44" s="26" t="str">
        <x:v>walgreen sued for discrimination</x:v>
      </x:c>
      <x:c r="G44" s="26" t="str">
        <x:v>Walgreen ayrımcılık iddiasıyla dava edildi</x:v>
      </x:c>
      <x:c r="H44" s="26" t="n">
        <x:v>-1</x:v>
      </x:c>
      <x:c r="I44" s="26" t="str">
        <x:v>negative</x:v>
      </x:c>
      <x:c r="J44" s="29" t="n">
        <x:v>0.9</x:v>
      </x:c>
      <x:c r="K44" s="26" t="str">
        <x:v>Dava ve ayrımcılık iddiası hukuki/itibar riski yaratır.</x:v>
      </x:c>
      <x:c r="L44" s="26" t="str">
        <x:f>IF(D44=I44,"same","different_review")</x:f>
        <x:v>same</x:v>
      </x:c>
      <x:c r="M44" s="26" t="str">
        <x:v>FinBERT ile uyumlu.</x:v>
      </x:c>
    </x:row>
    <x:row r="45" ht="48" customHeight="1">
      <x:c r="A45" s="26" t="str">
        <x:v>REUTERS_ANN_00844</x:v>
      </x:c>
      <x:c r="B45" s="27" t="n">
        <x:v>39136</x:v>
      </x:c>
      <x:c r="C45" s="26" t="n">
        <x:v>-1</x:v>
      </x:c>
      <x:c r="D45" s="26" t="str">
        <x:v>negative</x:v>
      </x:c>
      <x:c r="E45" s="28" t="n">
        <x:v>0.833997368812561</x:v>
      </x:c>
      <x:c r="F45" s="26" t="str">
        <x:v>fed officials still wary on inflation</x:v>
      </x:c>
      <x:c r="G45" s="26" t="str">
        <x:v>Fed yetkilileri enflasyon konusunda hâlâ temkinli</x:v>
      </x:c>
      <x:c r="H45" s="26" t="n">
        <x:v>-1</x:v>
      </x:c>
      <x:c r="I45" s="26" t="str">
        <x:v>negative</x:v>
      </x:c>
      <x:c r="J45" s="29" t="n">
        <x:v>0.78</x:v>
      </x:c>
      <x:c r="K45" s="26" t="str">
        <x:v>Enflasyon endişesi faiz ve piyasa baskısı açısından olumsuz okunur.</x:v>
      </x:c>
      <x:c r="L45" s="26" t="str">
        <x:f>IF(D45=I45,"same","different_review")</x:f>
        <x:v>same</x:v>
      </x:c>
      <x:c r="M45" s="26" t="str">
        <x:v>FinBERT ile uyumlu.</x:v>
      </x:c>
    </x:row>
    <x:row r="46" ht="48" customHeight="1">
      <x:c r="A46" s="26" t="str">
        <x:v>REUTERS_ANN_00845</x:v>
      </x:c>
      <x:c r="B46" s="27" t="n">
        <x:v>39154</x:v>
      </x:c>
      <x:c r="C46" s="26" t="n">
        <x:v>-1</x:v>
      </x:c>
      <x:c r="D46" s="26" t="str">
        <x:v>negative</x:v>
      </x:c>
      <x:c r="E46" s="28" t="n">
        <x:v>0.9678932428359984</x:v>
      </x:c>
      <x:c r="F46" s="26" t="str">
        <x:v>countrywide eliminates 108 jobs</x:v>
      </x:c>
      <x:c r="G46" s="26" t="str">
        <x:v>Countrywide 108 kişilik işten çıkarma yaptı</x:v>
      </x:c>
      <x:c r="H46" s="26" t="n">
        <x:v>-1</x:v>
      </x:c>
      <x:c r="I46" s="26" t="str">
        <x:v>negative</x:v>
      </x:c>
      <x:c r="J46" s="29" t="n">
        <x:v>0.93</x:v>
      </x:c>
      <x:c r="K46" s="26" t="str">
        <x:v>İşten çıkarma operasyonel baskı ve zayıflık göstergesi olarak negatif.</x:v>
      </x:c>
      <x:c r="L46" s="26" t="str">
        <x:f>IF(D46=I46,"same","different_review")</x:f>
        <x:v>same</x:v>
      </x:c>
      <x:c r="M46" s="26" t="str">
        <x:v>FinBERT ile uyumlu.</x:v>
      </x:c>
    </x:row>
    <x:row r="47" ht="48" customHeight="1">
      <x:c r="A47" s="26" t="str">
        <x:v>REUTERS_ANN_00846</x:v>
      </x:c>
      <x:c r="B47" s="27" t="n">
        <x:v>39170</x:v>
      </x:c>
      <x:c r="C47" s="26" t="n">
        <x:v>1</x:v>
      </x:c>
      <x:c r="D47" s="26" t="str">
        <x:v>positive</x:v>
      </x:c>
      <x:c r="E47" s="28" t="n">
        <x:v>0.9514480233192444</x:v>
      </x:c>
      <x:c r="F47" s="26" t="str">
        <x:v>carmax earnings rise 15 percent</x:v>
      </x:c>
      <x:c r="G47" s="26" t="str">
        <x:v>CarMax kârı yüzde 15 arttı</x:v>
      </x:c>
      <x:c r="H47" s="26" t="n">
        <x:v>1</x:v>
      </x:c>
      <x:c r="I47" s="26" t="str">
        <x:v>positive</x:v>
      </x:c>
      <x:c r="J47" s="29" t="n">
        <x:v>0.95</x:v>
      </x:c>
      <x:c r="K47" s="26" t="str">
        <x:v>Kâr artışı açık olumlu finansal performanstır.</x:v>
      </x:c>
      <x:c r="L47" s="26" t="str">
        <x:f>IF(D47=I47,"same","different_review")</x:f>
        <x:v>same</x:v>
      </x:c>
      <x:c r="M47" s="26" t="str">
        <x:v>FinBERT ile uyumlu.</x:v>
      </x:c>
    </x:row>
    <x:row r="48" ht="48" customHeight="1">
      <x:c r="A48" s="26" t="str">
        <x:v>REUTERS_ANN_00847</x:v>
      </x:c>
      <x:c r="B48" s="27" t="n">
        <x:v>39058</x:v>
      </x:c>
      <x:c r="C48" s="26" t="n">
        <x:v>0</x:v>
      </x:c>
      <x:c r="D48" s="26" t="str">
        <x:v>neutral</x:v>
      </x:c>
      <x:c r="E48" s="28" t="n">
        <x:v>0.800184965133667</x:v>
      </x:c>
      <x:c r="F48" s="26" t="str">
        <x:v>google begins limited test of radio advertising</x:v>
      </x:c>
      <x:c r="G48" s="26" t="str">
        <x:v>Google radyo reklamcılığının sınırlı testine başladı</x:v>
      </x:c>
      <x:c r="H48" s="26" t="n">
        <x:v>0</x:v>
      </x:c>
      <x:c r="I48" s="26" t="str">
        <x:v>neutral</x:v>
      </x:c>
      <x:c r="J48" s="29" t="n">
        <x:v>0.68</x:v>
      </x:c>
      <x:c r="K48" s="26" t="str">
        <x:v>Deneme/pilot aşaması var; finansal etkisi henüz net değil.</x:v>
      </x:c>
      <x:c r="L48" s="26" t="str">
        <x:f>IF(D48=I48,"same","different_review")</x:f>
        <x:v>same</x:v>
      </x:c>
      <x:c r="M48" s="26" t="str">
        <x:v>FinBERT ile uyumlu.</x:v>
      </x:c>
    </x:row>
    <x:row r="49" ht="48" customHeight="1">
      <x:c r="A49" s="26" t="str">
        <x:v>REUTERS_ANN_00848</x:v>
      </x:c>
      <x:c r="B49" s="27" t="n">
        <x:v>39182</x:v>
      </x:c>
      <x:c r="C49" s="26" t="n">
        <x:v>1</x:v>
      </x:c>
      <x:c r="D49" s="26" t="str">
        <x:v>positive</x:v>
      </x:c>
      <x:c r="E49" s="28" t="n">
        <x:v>0.9507558345794678</x:v>
      </x:c>
      <x:c r="F49" s="26" t="str">
        <x:v>corrected alcoa quarterly profit up on higher metal prices</x:v>
      </x:c>
      <x:c r="G49" s="26" t="str">
        <x:v>Düzeltilmiş: Alcoa'nın çeyrek kârı yüksek metal fiyatlarıyla arttı</x:v>
      </x:c>
      <x:c r="H49" s="26" t="n">
        <x:v>1</x:v>
      </x:c>
      <x:c r="I49" s="26" t="str">
        <x:v>positive</x:v>
      </x:c>
      <x:c r="J49" s="29" t="n">
        <x:v>0.95</x:v>
      </x:c>
      <x:c r="K49" s="26" t="str">
        <x:v>Yüksek fiyatlar sayesinde kâr artışı net olumlu sinyaldir.</x:v>
      </x:c>
      <x:c r="L49" s="26" t="str">
        <x:f>IF(D49=I49,"same","different_review")</x:f>
        <x:v>same</x:v>
      </x:c>
      <x:c r="M49" s="26" t="str">
        <x:v>FinBERT ile uyumlu.</x:v>
      </x:c>
    </x:row>
    <x:row r="50" ht="48" customHeight="1">
      <x:c r="A50" s="26" t="str">
        <x:v>REUTERS_ANN_00849</x:v>
      </x:c>
      <x:c r="B50" s="27" t="n">
        <x:v>39160</x:v>
      </x:c>
      <x:c r="C50" s="26" t="n">
        <x:v>1</x:v>
      </x:c>
      <x:c r="D50" s="26" t="str">
        <x:v>positive</x:v>
      </x:c>
      <x:c r="E50" s="28" t="n">
        <x:v>0.5812433362007141</x:v>
      </x:c>
      <x:c r="F50" s="26" t="str">
        <x:v>egl agrees to $1.7 billion buyout by ceo-led group</x:v>
      </x:c>
      <x:c r="G50" s="26" t="str">
        <x:v>EGL, CEO liderliğindeki grubun 1,7 milyar dolarlık satın alma teklifini kabul etti</x:v>
      </x:c>
      <x:c r="H50" s="26" t="n">
        <x:v>1</x:v>
      </x:c>
      <x:c r="I50" s="26" t="str">
        <x:v>positive</x:v>
      </x:c>
      <x:c r="J50" s="29" t="n">
        <x:v>0.82</x:v>
      </x:c>
      <x:c r="K50" s="26" t="str">
        <x:v>Kabul edilen büyük satın alma teklifi hissedarlar açısından olumlu olabilir.</x:v>
      </x:c>
      <x:c r="L50" s="26" t="str">
        <x:f>IF(D50=I50,"same","different_review")</x:f>
        <x:v>same</x:v>
      </x:c>
      <x:c r="M50" s="26" t="str">
        <x:v>FinBERT ile uyumlu.</x:v>
      </x:c>
    </x:row>
    <x:row r="51" ht="48" customHeight="1">
      <x:c r="A51" s="26" t="str">
        <x:v>REUTERS_ANN_00850</x:v>
      </x:c>
      <x:c r="B51" s="27" t="n">
        <x:v>39090</x:v>
      </x:c>
      <x:c r="C51" s="26" t="n">
        <x:v>1</x:v>
      </x:c>
      <x:c r="D51" s="26" t="str">
        <x:v>positive</x:v>
      </x:c>
      <x:c r="E51" s="28" t="n">
        <x:v>0.914527416229248</x:v>
      </x:c>
      <x:c r="F51" s="26" t="str">
        <x:v>eu approves motorolas purchase of symbol</x:v>
      </x:c>
      <x:c r="G51" s="26" t="str">
        <x:v>AB, Motorola'nın Symbol'ü satın almasını onayladı</x:v>
      </x:c>
      <x:c r="H51" s="26" t="n">
        <x:v>1</x:v>
      </x:c>
      <x:c r="I51" s="26" t="str">
        <x:v>positive</x:v>
      </x:c>
      <x:c r="J51" s="29" t="n">
        <x:v>0.84</x:v>
      </x:c>
      <x:c r="K51" s="26" t="str">
        <x:v>Regülasyon onayı anlaşmanın ilerlemesini sağladığı için olumlu.</x:v>
      </x:c>
      <x:c r="L51" s="26" t="str">
        <x:f>IF(D51=I51,"same","different_review")</x:f>
        <x:v>same</x:v>
      </x:c>
      <x:c r="M51" s="26" t="str">
        <x:v>FinBERT ile uyumlu.</x:v>
      </x:c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L2:L51">
    <x:cfRule type="expression" dxfId="3" priority="4">
      <x:formula>L2="different_review"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bcea2f1f534f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34" t="str">
        <x:v>REUTERS ANNOTATION BATCH 017</x:v>
      </x:c>
      <x:c r="B1" s="34" t="str"/>
    </x:row>
    <x:row r="2">
      <x:c r="A2" s="37" t="str">
        <x:v>Rows</x:v>
      </x:c>
      <x:c r="B2" t="str">
        <x:v>800 - 849</x:v>
      </x:c>
    </x:row>
    <x:row r="3">
      <x:c r="A3" s="37" t="str">
        <x:v>Total records</x:v>
      </x:c>
      <x:c r="B3" t="n">
        <x:v>50</x:v>
      </x:c>
    </x:row>
    <x:row r="4">
      <x:c r="A4" s="37" t="str">
        <x:v>ChatGPT positive</x:v>
      </x:c>
      <x:c r="B4" t="n">
        <x:f>COUNTIF(annotations!I:I,"positive")</x:f>
        <x:v>22</x:v>
      </x:c>
    </x:row>
    <x:row r="5">
      <x:c r="A5" s="37" t="str">
        <x:v>ChatGPT neutral</x:v>
      </x:c>
      <x:c r="B5" t="n">
        <x:f>COUNTIF(annotations!I:I,"neutral")</x:f>
        <x:v>8</x:v>
      </x:c>
    </x:row>
    <x:row r="6">
      <x:c r="A6" s="37" t="str">
        <x:v>ChatGPT negative</x:v>
      </x:c>
      <x:c r="B6" t="n">
        <x:f>COUNTIF(annotations!I:I,"negative")</x:f>
        <x:v>20</x:v>
      </x:c>
    </x:row>
    <x:row r="7">
      <x:c r="A7" s="37" t="str">
        <x:v>FinBERT same</x:v>
      </x:c>
      <x:c r="B7" t="n">
        <x:f>COUNTIF(annotations!L:L,"same")</x:f>
        <x:v>36</x:v>
      </x:c>
    </x:row>
    <x:row r="8">
      <x:c r="A8" s="37" t="str">
        <x:v>Different / review</x:v>
      </x:c>
      <x:c r="B8" t="n">
        <x:f>COUNTIF(annotations!L:L,"different_review")</x:f>
        <x:v>14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" t="str">
        <x:v>Alan</x:v>
      </x:c>
      <x:c r="B1" s="3" t="str">
        <x:v>Açıklama</x:v>
      </x:c>
    </x:row>
    <x:row r="2">
      <x:c r="A2" s="26" t="str">
        <x:v>chatgpt_label</x:v>
      </x:c>
      <x:c r="B2" s="26" t="str">
        <x:v>Başlığın finansal/piyasa etkisine göre verilen nihai duygu etiketi: positive, neutral, negative.</x:v>
      </x:c>
    </x:row>
    <x:row r="3">
      <x:c r="A3" s="26" t="str">
        <x:v>chatgpt_confidence</x:v>
      </x:c>
      <x:c r="B3" s="26" t="str">
        <x:v>Etiket güveni 0-1 arasıdır; başlık netse yüksek, karışık/bağlam isteyenlerde daha düşüktür.</x:v>
      </x:c>
    </x:row>
    <x:row r="4">
      <x:c r="A4" s="26" t="str">
        <x:v>chatgpt_reason_tr</x:v>
      </x:c>
      <x:c r="B4" s="26" t="str">
        <x:v>Türkçe kısa gerekçe; neden bu etiketin seçildiğini açıklar.</x:v>
      </x:c>
    </x:row>
    <x:row r="5">
      <x:c r="A5" s="26" t="str">
        <x:v>finbert_match</x:v>
      </x:c>
      <x:c r="B5" s="26" t="str">
        <x:v>FinBERT etiketi ile ChatGPT etiketi aynıysa same, farklıysa different_review.</x:v>
      </x:c>
    </x:row>
  </x:sheetData>
  <x:pageMargins left="0.7" right="0.7" top="0.75" bottom="0.75" header="0.3" footer="0.3"/>
</x:worksheet>
</file>