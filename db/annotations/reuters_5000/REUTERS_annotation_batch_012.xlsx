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128518f87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83ca9675f0646f1"/>
    <x:sheet xmlns:r="http://schemas.openxmlformats.org/officeDocument/2006/relationships" name="Summary" sheetId="2" r:id="Re093eed4c9e1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ill>
        <x:patternFill patternType="solid">
          <x:bgColor rgb="DCFCE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15ae02cf04242" /><Relationship Type="http://schemas.openxmlformats.org/officeDocument/2006/relationships/theme" Target="/xl/theme/theme1.xml" Id="R2f345220d0de40b6" /><Relationship Type="http://schemas.openxmlformats.org/officeDocument/2006/relationships/sharedStrings" Target="/xl/sharedStrings.xml" Id="R9a9ba4ee5b5a47e5" /><Relationship Type="http://schemas.openxmlformats.org/officeDocument/2006/relationships/worksheet" Target="/xl/worksheets/sheet1.xml" Id="R183ca9675f0646f1" /><Relationship Type="http://schemas.openxmlformats.org/officeDocument/2006/relationships/worksheet" Target="/xl/worksheets/sheet2.xml" Id="Re093eed4c9e14b19" /></Relationships>
</file>

<file path=xl/tables/table1.xml><?xml version="1.0" encoding="utf-8"?>
<x:table xmlns:x="http://schemas.openxmlformats.org/spreadsheetml/2006/main" id="1" name="ReutersAnnotationBatch012" displayName="ReutersAnnotationBatch012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confidence"/>
    <x:tableColumn id="10" name="chatgpt_reason_tr"/>
    <x:tableColumn id="11" name="finbert_match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e85b420f7d4bb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1" hidden="0" customWidth="1"/>
    <x:col min="4" max="4" width="13" hidden="0" customWidth="1"/>
    <x:col min="5" max="5" width="16" hidden="0" customWidth="1"/>
    <x:col min="6" max="6" width="46" hidden="0" customWidth="1"/>
    <x:col min="7" max="7" width="48" hidden="0" customWidth="1"/>
    <x:col min="8" max="8" width="14" hidden="0" customWidth="1"/>
    <x:col min="9" max="9" width="16" hidden="0" customWidth="1"/>
    <x:col min="10" max="10" width="56" hidden="0" customWidth="1"/>
    <x:col min="11" max="11" width="14" hidden="0" customWidth="1"/>
    <x:col min="12" max="12" width="18" hidden="0" customWidth="1"/>
  </x:cols>
  <x:sheetData>
    <x:row r="1">
      <x:c r="A1" s="10" t="str">
        <x:v>annotation_id</x:v>
      </x:c>
      <x:c r="B1" s="10" t="str">
        <x:v>date</x:v>
      </x:c>
      <x:c r="C1" s="10" t="str">
        <x:v>finbert_score</x:v>
      </x:c>
      <x:c r="D1" s="10" t="str">
        <x:v>finbert_label</x:v>
      </x:c>
      <x:c r="E1" s="10" t="str">
        <x:v>finbert_confidence</x:v>
      </x:c>
      <x:c r="F1" s="10" t="str">
        <x:v>text_en</x:v>
      </x:c>
      <x:c r="G1" s="10" t="str">
        <x:v>text_tr</x:v>
      </x:c>
      <x:c r="H1" s="10" t="str">
        <x:v>chatgpt_label</x:v>
      </x:c>
      <x:c r="I1" s="10" t="str">
        <x:v>chatgpt_confidence</x:v>
      </x:c>
      <x:c r="J1" s="10" t="str">
        <x:v>chatgpt_reason_tr</x:v>
      </x:c>
      <x:c r="K1" s="10" t="str">
        <x:v>finbert_match</x:v>
      </x:c>
      <x:c r="L1" s="10" t="str">
        <x:v>review_note</x:v>
      </x:c>
    </x:row>
    <x:row r="2">
      <x:c r="A2" s="11" t="str">
        <x:v>REUTERS_ANN_00551</x:v>
      </x:c>
      <x:c r="B2" s="14" t="n">
        <x:v>39111</x:v>
      </x:c>
      <x:c r="C2" s="11" t="n">
        <x:v>1</x:v>
      </x:c>
      <x:c r="D2" s="11" t="str">
        <x:v>positive</x:v>
      </x:c>
      <x:c r="E2" s="16" t="n">
        <x:v>0.5373271107673645</x:v>
      </x:c>
      <x:c r="F2" s="11" t="str">
        <x:v>healthsouth in deal to sell rehabilitation division</x:v>
      </x:c>
      <x:c r="G2" s="11" t="str">
        <x:v>HealthSouth, rehabilitasyon birimini satmak için anlaşma yaptı</x:v>
      </x:c>
      <x:c r="H2" s="11" t="str">
        <x:v>positive</x:v>
      </x:c>
      <x:c r="I2" s="18" t="n">
        <x:v>0.78</x:v>
      </x:c>
      <x:c r="J2" s="11" t="str">
        <x:v>Varlık satışı/yeniden yapılandırma şirket için nakit yaratma ve odaklanma sinyali verdiği için hafif olumlu.</x:v>
      </x:c>
      <x:c r="K2" s="11" t="str">
        <x:f>IF(D2=H2,"same","different")</x:f>
        <x:v>same</x:v>
      </x:c>
      <x:c r="L2" s="11" t="str">
        <x:v>FinBERT ile uyumlu</x:v>
      </x:c>
    </x:row>
    <x:row r="3">
      <x:c r="A3" s="11" t="str">
        <x:v>REUTERS_ANN_00552</x:v>
      </x:c>
      <x:c r="B3" s="14" t="n">
        <x:v>39079</x:v>
      </x:c>
      <x:c r="C3" s="11" t="n">
        <x:v>0</x:v>
      </x:c>
      <x:c r="D3" s="11" t="str">
        <x:v>neutral</x:v>
      </x:c>
      <x:c r="E3" s="16" t="n">
        <x:v>0.7749768495559692</x:v>
      </x:c>
      <x:c r="F3" s="11" t="str">
        <x:v>exchanges yet to set ford commemoration plans</x:v>
      </x:c>
      <x:c r="G3" s="11" t="str">
        <x:v>Borsalar Ford'u anma planlarını henüz belirlemedi</x:v>
      </x:c>
      <x:c r="H3" s="11" t="str">
        <x:v>neutral</x:v>
      </x:c>
      <x:c r="I3" s="18" t="n">
        <x:v>0.92</x:v>
      </x:c>
      <x:c r="J3" s="11" t="str">
        <x:v>Anma planlarına ilişkin operasyonel bir bilgi; doğrudan finansal olumlu/olumsuz sinyal zayıf.</x:v>
      </x:c>
      <x:c r="K3" s="11" t="str">
        <x:f>IF(D3=H3,"same","different")</x:f>
        <x:v>same</x:v>
      </x:c>
      <x:c r="L3" s="11" t="str">
        <x:v>FinBERT ile uyumlu</x:v>
      </x:c>
    </x:row>
    <x:row r="4">
      <x:c r="A4" s="11" t="str">
        <x:v>REUTERS_ANN_00553</x:v>
      </x:c>
      <x:c r="B4" s="14" t="n">
        <x:v>39162</x:v>
      </x:c>
      <x:c r="C4" s="11" t="n">
        <x:v>1</x:v>
      </x:c>
      <x:c r="D4" s="11" t="str">
        <x:v>positive</x:v>
      </x:c>
      <x:c r="E4" s="16" t="n">
        <x:v>0.8989751935005188</x:v>
      </x:c>
      <x:c r="F4" s="11" t="str">
        <x:v>starbucks backs 2007 eps, sales views</x:v>
      </x:c>
      <x:c r="G4" s="11" t="str">
        <x:v>Starbucks, 2007 hisse başı kâr ve satış beklentilerini korudu</x:v>
      </x:c>
      <x:c r="H4" s="11" t="str">
        <x:v>positive</x:v>
      </x:c>
      <x:c r="I4" s="18" t="n">
        <x:v>0.89</x:v>
      </x:c>
      <x:c r="J4" s="11" t="str">
        <x:v>Şirketin beklentilerini teyit etmesi güven verici ve olumlu bir görünüm işareti.</x:v>
      </x:c>
      <x:c r="K4" s="11" t="str">
        <x:f>IF(D4=H4,"same","different")</x:f>
        <x:v>same</x:v>
      </x:c>
      <x:c r="L4" s="11" t="str">
        <x:v>FinBERT ile uyumlu</x:v>
      </x:c>
    </x:row>
    <x:row r="5">
      <x:c r="A5" s="11" t="str">
        <x:v>REUTERS_ANN_00554</x:v>
      </x:c>
      <x:c r="B5" s="14" t="n">
        <x:v>39140</x:v>
      </x:c>
      <x:c r="C5" s="11" t="n">
        <x:v>-1</x:v>
      </x:c>
      <x:c r="D5" s="11" t="str">
        <x:v>negative</x:v>
      </x:c>
      <x:c r="E5" s="16" t="n">
        <x:v>0.9629347324371338</x:v>
      </x:c>
      <x:c r="F5" s="11" t="str">
        <x:v>nyse says experienced trading delays</x:v>
      </x:c>
      <x:c r="G5" s="11" t="str">
        <x:v>NYSE, işlem gecikmeleri yaşandığını açıkladı</x:v>
      </x:c>
      <x:c r="H5" s="11" t="str">
        <x:v>negative</x:v>
      </x:c>
      <x:c r="I5" s="18" t="n">
        <x:v>0.88</x:v>
      </x:c>
      <x:c r="J5" s="11" t="str">
        <x:v>Borsadaki işlem gecikmeleri operasyonel aksaklık ve güven sorunu yarattığı için olumsuz.</x:v>
      </x:c>
      <x:c r="K5" s="11" t="str">
        <x:f>IF(D5=H5,"same","different")</x:f>
        <x:v>same</x:v>
      </x:c>
      <x:c r="L5" s="11" t="str">
        <x:v>FinBERT ile uyumlu</x:v>
      </x:c>
    </x:row>
    <x:row r="6">
      <x:c r="A6" s="11" t="str">
        <x:v>REUTERS_ANN_00555</x:v>
      </x:c>
      <x:c r="B6" s="14" t="n">
        <x:v>39063</x:v>
      </x:c>
      <x:c r="C6" s="11" t="n">
        <x:v>0</x:v>
      </x:c>
      <x:c r="D6" s="11" t="str">
        <x:v>neutral</x:v>
      </x:c>
      <x:c r="E6" s="16" t="n">
        <x:v>0.8957069516181946</x:v>
      </x:c>
      <x:c r="F6" s="11" t="str">
        <x:v>gazprom plans to buy half of sakhalin-2 chairman</x:v>
      </x:c>
      <x:c r="G6" s="11" t="str">
        <x:v>Gazprom, Sakhalin-2'nin yarısını satın almayı planlıyor; başkan açıklaması</x:v>
      </x:c>
      <x:c r="H6" s="11" t="str">
        <x:v>neutral</x:v>
      </x:c>
      <x:c r="I6" s="18" t="n">
        <x:v>0.78</x:v>
      </x:c>
      <x:c r="J6" s="11" t="str">
        <x:v>Satın alma planı bilgisi var ancak başlık tek başına net bir değer etkisi göstermiyor.</x:v>
      </x:c>
      <x:c r="K6" s="11" t="str">
        <x:f>IF(D6=H6,"same","different")</x:f>
        <x:v>same</x:v>
      </x:c>
      <x:c r="L6" s="11" t="str">
        <x:v>FinBERT ile uyumlu</x:v>
      </x:c>
    </x:row>
    <x:row r="7">
      <x:c r="A7" s="11" t="str">
        <x:v>REUTERS_ANN_00556</x:v>
      </x:c>
      <x:c r="B7" s="14" t="n">
        <x:v>39045</x:v>
      </x:c>
      <x:c r="C7" s="11" t="n">
        <x:v>-1</x:v>
      </x:c>
      <x:c r="D7" s="11" t="str">
        <x:v>negative</x:v>
      </x:c>
      <x:c r="E7" s="16" t="n">
        <x:v>0.930892050266266</x:v>
      </x:c>
      <x:c r="F7" s="11" t="str">
        <x:v>update 4-eads board split puts new airbus jet on hold</x:v>
      </x:c>
      <x:c r="G7" s="11" t="str">
        <x:v>EADS yönetimindeki bölünme yeni Airbus jetini beklemeye aldı</x:v>
      </x:c>
      <x:c r="H7" s="11" t="str">
        <x:v>negative</x:v>
      </x:c>
      <x:c r="I7" s="18" t="n">
        <x:v>0.91</x:v>
      </x:c>
      <x:c r="J7" s="11" t="str">
        <x:v>Yönetim ayrışması ve proje gecikmesi şirket açısından olumsuz bir sinyal.</x:v>
      </x:c>
      <x:c r="K7" s="11" t="str">
        <x:f>IF(D7=H7,"same","different")</x:f>
        <x:v>same</x:v>
      </x:c>
      <x:c r="L7" s="11" t="str">
        <x:v>FinBERT ile uyumlu</x:v>
      </x:c>
    </x:row>
    <x:row r="8">
      <x:c r="A8" s="11" t="str">
        <x:v>REUTERS_ANN_00557</x:v>
      </x:c>
      <x:c r="B8" s="14" t="n">
        <x:v>39034</x:v>
      </x:c>
      <x:c r="C8" s="11" t="n">
        <x:v>1</x:v>
      </x:c>
      <x:c r="D8" s="11" t="str">
        <x:v>positive</x:v>
      </x:c>
      <x:c r="E8" s="16" t="n">
        <x:v>0.9417970776557922</x:v>
      </x:c>
      <x:c r="F8" s="11" t="str">
        <x:v>dram demand for q1 2007 very strong samsung</x:v>
      </x:c>
      <x:c r="G8" s="11" t="str">
        <x:v>Samsung'a göre 2007 birinci çeyreğinde DRAM talebi çok güçlü</x:v>
      </x:c>
      <x:c r="H8" s="11" t="str">
        <x:v>positive</x:v>
      </x:c>
      <x:c r="I8" s="18" t="n">
        <x:v>0.91</x:v>
      </x:c>
      <x:c r="J8" s="11" t="str">
        <x:v>Güçlü talep yarı iletken gelirleri ve sektör görünümü için olumlu.</x:v>
      </x:c>
      <x:c r="K8" s="11" t="str">
        <x:f>IF(D8=H8,"same","different")</x:f>
        <x:v>same</x:v>
      </x:c>
      <x:c r="L8" s="11" t="str">
        <x:v>FinBERT ile uyumlu</x:v>
      </x:c>
    </x:row>
    <x:row r="9">
      <x:c r="A9" s="11" t="str">
        <x:v>REUTERS_ANN_00558</x:v>
      </x:c>
      <x:c r="B9" s="14" t="n">
        <x:v>39121</x:v>
      </x:c>
      <x:c r="C9" s="11" t="n">
        <x:v>1</x:v>
      </x:c>
      <x:c r="D9" s="11" t="str">
        <x:v>positive</x:v>
      </x:c>
      <x:c r="E9" s="16" t="n">
        <x:v>0.8286958336830139</x:v>
      </x:c>
      <x:c r="F9" s="11" t="str">
        <x:v>bt says will consider all leverage options</x:v>
      </x:c>
      <x:c r="G9" s="11" t="str">
        <x:v>BT, tüm kaldıraç/finansman seçeneklerini değerlendireceğini söyledi</x:v>
      </x:c>
      <x:c r="H9" s="11" t="str">
        <x:v>neutral</x:v>
      </x:c>
      <x:c r="I9" s="18" t="n">
        <x:v>0.74</x:v>
      </x:c>
      <x:c r="J9" s="11" t="str">
        <x:v>Finansman stratejisi hakkında genel bir açıklama; yönü başlıktan net değil.</x:v>
      </x:c>
      <x:c r="K9" s="11" t="str">
        <x:f>IF(D9=H9,"same","different")</x:f>
        <x:v>different</x:v>
      </x:c>
      <x:c r="L9" s="11" t="str">
        <x:v>Kontrol önerilir</x:v>
      </x:c>
    </x:row>
    <x:row r="10">
      <x:c r="A10" s="11" t="str">
        <x:v>REUTERS_ANN_00559</x:v>
      </x:c>
      <x:c r="B10" s="14" t="n">
        <x:v>39052</x:v>
      </x:c>
      <x:c r="C10" s="11" t="n">
        <x:v>1</x:v>
      </x:c>
      <x:c r="D10" s="11" t="str">
        <x:v>positive</x:v>
      </x:c>
      <x:c r="E10" s="16" t="n">
        <x:v>0.7928372621536255</x:v>
      </x:c>
      <x:c r="F10" s="11" t="str">
        <x:v>capital one finishes $13.2 bln north fork purchase</x:v>
      </x:c>
      <x:c r="G10" s="11" t="str">
        <x:v>Capital One, 13,2 milyar dolarlık North Fork satın almasını tamamladı</x:v>
      </x:c>
      <x:c r="H10" s="11" t="str">
        <x:v>neutral</x:v>
      </x:c>
      <x:c r="I10" s="18" t="n">
        <x:v>0.76</x:v>
      </x:c>
      <x:c r="J10" s="11" t="str">
        <x:v>Satın almanın tamamlanması stratejik bir gelişme olsa da başlıkta performans etkisi belirsiz.</x:v>
      </x:c>
      <x:c r="K10" s="11" t="str">
        <x:f>IF(D10=H10,"same","different")</x:f>
        <x:v>different</x:v>
      </x:c>
      <x:c r="L10" s="11" t="str">
        <x:v>Kontrol önerilir</x:v>
      </x:c>
    </x:row>
    <x:row r="11">
      <x:c r="A11" s="11" t="str">
        <x:v>REUTERS_ANN_00560</x:v>
      </x:c>
      <x:c r="B11" s="14" t="n">
        <x:v>39029</x:v>
      </x:c>
      <x:c r="C11" s="11" t="n">
        <x:v>0</x:v>
      </x:c>
      <x:c r="D11" s="11" t="str">
        <x:v>neutral</x:v>
      </x:c>
      <x:c r="E11" s="16" t="n">
        <x:v>0.9274239540100098</x:v>
      </x:c>
      <x:c r="F11" s="11" t="str">
        <x:v>la billionaires make bid for tribune source</x:v>
      </x:c>
      <x:c r="G11" s="11" t="str">
        <x:v>Los Angeleslı milyarderler Tribune için teklif verdi; kaynak</x:v>
      </x:c>
      <x:c r="H11" s="11" t="str">
        <x:v>neutral</x:v>
      </x:c>
      <x:c r="I11" s="18" t="n">
        <x:v>0.8</x:v>
      </x:c>
      <x:c r="J11" s="11" t="str">
        <x:v>Teklif haberi M&amp;A sürecine ilişkin, olumlu/olumsuz sonuç başlıktan çıkarılamıyor.</x:v>
      </x:c>
      <x:c r="K11" s="11" t="str">
        <x:f>IF(D11=H11,"same","different")</x:f>
        <x:v>same</x:v>
      </x:c>
      <x:c r="L11" s="11" t="str">
        <x:v>FinBERT ile uyumlu</x:v>
      </x:c>
    </x:row>
    <x:row r="12">
      <x:c r="A12" s="11" t="str">
        <x:v>REUTERS_ANN_00561</x:v>
      </x:c>
      <x:c r="B12" s="14" t="n">
        <x:v>39133</x:v>
      </x:c>
      <x:c r="C12" s="11" t="n">
        <x:v>1</x:v>
      </x:c>
      <x:c r="D12" s="11" t="str">
        <x:v>positive</x:v>
      </x:c>
      <x:c r="E12" s="16" t="n">
        <x:v>0.9508185386657716</x:v>
      </x:c>
      <x:c r="F12" s="11" t="str">
        <x:v>hp quarterly profit rises</x:v>
      </x:c>
      <x:c r="G12" s="11" t="str">
        <x:v>HP'nin çeyreklik kârı arttı</x:v>
      </x:c>
      <x:c r="H12" s="11" t="str">
        <x:v>positive</x:v>
      </x:c>
      <x:c r="I12" s="18" t="n">
        <x:v>0.95</x:v>
      </x:c>
      <x:c r="J12" s="11" t="str">
        <x:v>Kâr artışı doğrudan olumlu finansal performans sinyali.</x:v>
      </x:c>
      <x:c r="K12" s="11" t="str">
        <x:f>IF(D12=H12,"same","different")</x:f>
        <x:v>same</x:v>
      </x:c>
      <x:c r="L12" s="11" t="str">
        <x:v>FinBERT ile uyumlu</x:v>
      </x:c>
    </x:row>
    <x:row r="13">
      <x:c r="A13" s="11" t="str">
        <x:v>REUTERS_ANN_00562</x:v>
      </x:c>
      <x:c r="B13" s="14" t="n">
        <x:v>39195</x:v>
      </x:c>
      <x:c r="C13" s="11" t="n">
        <x:v>1</x:v>
      </x:c>
      <x:c r="D13" s="11" t="str">
        <x:v>positive</x:v>
      </x:c>
      <x:c r="E13" s="16" t="n">
        <x:v>0.8411632180213928</x:v>
      </x:c>
      <x:c r="F13" s="11" t="str">
        <x:v>texas instruments profit, outlook beat forecasts</x:v>
      </x:c>
      <x:c r="G13" s="11" t="str">
        <x:v>Texas Instruments'ın kârı ve görünümü tahminleri aştı</x:v>
      </x:c>
      <x:c r="H13" s="11" t="str">
        <x:v>positive</x:v>
      </x:c>
      <x:c r="I13" s="18" t="n">
        <x:v>0.95</x:v>
      </x:c>
      <x:c r="J13" s="11" t="str">
        <x:v>Hem kâr hem de görünümün beklentileri aşması güçlü olumlu sinyal.</x:v>
      </x:c>
      <x:c r="K13" s="11" t="str">
        <x:f>IF(D13=H13,"same","different")</x:f>
        <x:v>same</x:v>
      </x:c>
      <x:c r="L13" s="11" t="str">
        <x:v>FinBERT ile uyumlu</x:v>
      </x:c>
    </x:row>
    <x:row r="14">
      <x:c r="A14" s="11" t="str">
        <x:v>REUTERS_ANN_00563</x:v>
      </x:c>
      <x:c r="B14" s="14" t="n">
        <x:v>39138</x:v>
      </x:c>
      <x:c r="C14" s="11" t="n">
        <x:v>0</x:v>
      </x:c>
      <x:c r="D14" s="11" t="str">
        <x:v>neutral</x:v>
      </x:c>
      <x:c r="E14" s="16" t="n">
        <x:v>0.7794600129127502</x:v>
      </x:c>
      <x:c r="F14" s="11" t="str">
        <x:v>citigroup names american express crittenden cfo</x:v>
      </x:c>
      <x:c r="G14" s="11" t="str">
        <x:v>Citigroup, American Express'ten Crittenden'ı CFO olarak atadı</x:v>
      </x:c>
      <x:c r="H14" s="11" t="str">
        <x:v>neutral</x:v>
      </x:c>
      <x:c r="I14" s="18" t="n">
        <x:v>0.9</x:v>
      </x:c>
      <x:c r="J14" s="11" t="str">
        <x:v>Yönetici ataması haberi; başlıkta finansal performans yönü yok.</x:v>
      </x:c>
      <x:c r="K14" s="11" t="str">
        <x:f>IF(D14=H14,"same","different")</x:f>
        <x:v>same</x:v>
      </x:c>
      <x:c r="L14" s="11" t="str">
        <x:v>FinBERT ile uyumlu</x:v>
      </x:c>
    </x:row>
    <x:row r="15">
      <x:c r="A15" s="11" t="str">
        <x:v>REUTERS_ANN_00564</x:v>
      </x:c>
      <x:c r="B15" s="14" t="n">
        <x:v>39148</x:v>
      </x:c>
      <x:c r="C15" s="11" t="n">
        <x:v>0</x:v>
      </x:c>
      <x:c r="D15" s="11" t="str">
        <x:v>neutral</x:v>
      </x:c>
      <x:c r="E15" s="16" t="n">
        <x:v>0.9122978448867798</x:v>
      </x:c>
      <x:c r="F15" s="11" t="str">
        <x:v>strategies for your tax forms bottom line</x:v>
      </x:c>
      <x:c r="G15" s="11" t="str">
        <x:v>Vergi formlarınız için stratejiler: sonuç satırı</x:v>
      </x:c>
      <x:c r="H15" s="11" t="str">
        <x:v>neutral</x:v>
      </x:c>
      <x:c r="I15" s="18" t="n">
        <x:v>0.93</x:v>
      </x:c>
      <x:c r="J15" s="11" t="str">
        <x:v>Kişisel finans tavsiyesi niteliğinde; şirket/piyasa sentimenti taşımıyor.</x:v>
      </x:c>
      <x:c r="K15" s="11" t="str">
        <x:f>IF(D15=H15,"same","different")</x:f>
        <x:v>same</x:v>
      </x:c>
      <x:c r="L15" s="11" t="str">
        <x:v>FinBERT ile uyumlu</x:v>
      </x:c>
    </x:row>
    <x:row r="16">
      <x:c r="A16" s="11" t="str">
        <x:v>REUTERS_ANN_00565</x:v>
      </x:c>
      <x:c r="B16" s="14" t="n">
        <x:v>39163</x:v>
      </x:c>
      <x:c r="C16" s="11" t="n">
        <x:v>-1</x:v>
      </x:c>
      <x:c r="D16" s="11" t="str">
        <x:v>negative</x:v>
      </x:c>
      <x:c r="E16" s="16" t="n">
        <x:v>0.970097541809082</x:v>
      </x:c>
      <x:c r="F16" s="11" t="str">
        <x:v>boston globe cuts 6 pct of newsroom with buyouts</x:v>
      </x:c>
      <x:c r="G16" s="11" t="str">
        <x:v>Boston Globe, satın alma paketleriyle haber merkezinin yüzde 6'sını azaltıyor</x:v>
      </x:c>
      <x:c r="H16" s="11" t="str">
        <x:v>negative</x:v>
      </x:c>
      <x:c r="I16" s="18" t="n">
        <x:v>0.91</x:v>
      </x:c>
      <x:c r="J16" s="11" t="str">
        <x:v>Personel azaltımı ve küçülme operasyonel baskı işareti olduğu için olumsuz.</x:v>
      </x:c>
      <x:c r="K16" s="11" t="str">
        <x:f>IF(D16=H16,"same","different")</x:f>
        <x:v>same</x:v>
      </x:c>
      <x:c r="L16" s="11" t="str">
        <x:v>FinBERT ile uyumlu</x:v>
      </x:c>
    </x:row>
    <x:row r="17">
      <x:c r="A17" s="11" t="str">
        <x:v>REUTERS_ANN_00566</x:v>
      </x:c>
      <x:c r="B17" s="14" t="n">
        <x:v>39119</x:v>
      </x:c>
      <x:c r="C17" s="11" t="n">
        <x:v>1</x:v>
      </x:c>
      <x:c r="D17" s="11" t="str">
        <x:v>positive</x:v>
      </x:c>
      <x:c r="E17" s="16" t="n">
        <x:v>0.7031945586204529</x:v>
      </x:c>
      <x:c r="F17" s="11" t="str">
        <x:v>directv and echostar face slower growth in 2007</x:v>
      </x:c>
      <x:c r="G17" s="11" t="str">
        <x:v>DirecTV ve EchoStar 2007'de daha yavaş büyümeyle karşı karşıya</x:v>
      </x:c>
      <x:c r="H17" s="11" t="str">
        <x:v>negative</x:v>
      </x:c>
      <x:c r="I17" s="18" t="n">
        <x:v>0.88</x:v>
      </x:c>
      <x:c r="J17" s="11" t="str">
        <x:v>Büyümenin yavaşlayacağı beklentisi gelir görünümü açısından olumsuz.</x:v>
      </x:c>
      <x:c r="K17" s="11" t="str">
        <x:f>IF(D17=H17,"same","different")</x:f>
        <x:v>different</x:v>
      </x:c>
      <x:c r="L17" s="11" t="str">
        <x:v>Kontrol önerilir</x:v>
      </x:c>
    </x:row>
    <x:row r="18">
      <x:c r="A18" s="11" t="str">
        <x:v>REUTERS_ANN_00567</x:v>
      </x:c>
      <x:c r="B18" s="14" t="n">
        <x:v>39105</x:v>
      </x:c>
      <x:c r="C18" s="11" t="n">
        <x:v>1</x:v>
      </x:c>
      <x:c r="D18" s="11" t="str">
        <x:v>positive</x:v>
      </x:c>
      <x:c r="E18" s="16" t="n">
        <x:v>0.9478495717048644</x:v>
      </x:c>
      <x:c r="F18" s="11" t="str">
        <x:v>bank of america, wachovia profits soar on mergers</x:v>
      </x:c>
      <x:c r="G18" s="11" t="str">
        <x:v>Bank of America ve Wachovia'nın kârları birleşmeler sayesinde güçlü arttı</x:v>
      </x:c>
      <x:c r="H18" s="11" t="str">
        <x:v>positive</x:v>
      </x:c>
      <x:c r="I18" s="18" t="n">
        <x:v>0.94</x:v>
      </x:c>
      <x:c r="J18" s="11" t="str">
        <x:v>Kârların hızla artması ve birleşme katkısı olumlu finansal sinyal.</x:v>
      </x:c>
      <x:c r="K18" s="11" t="str">
        <x:f>IF(D18=H18,"same","different")</x:f>
        <x:v>same</x:v>
      </x:c>
      <x:c r="L18" s="11" t="str">
        <x:v>FinBERT ile uyumlu</x:v>
      </x:c>
    </x:row>
    <x:row r="19">
      <x:c r="A19" s="11" t="str">
        <x:v>REUTERS_ANN_00568</x:v>
      </x:c>
      <x:c r="B19" s="14" t="n">
        <x:v>39153</x:v>
      </x:c>
      <x:c r="C19" s="11" t="n">
        <x:v>0</x:v>
      </x:c>
      <x:c r="D19" s="11" t="str">
        <x:v>neutral</x:v>
      </x:c>
      <x:c r="E19" s="16" t="n">
        <x:v>0.7989078760147095</x:v>
      </x:c>
      <x:c r="F19" s="11" t="str">
        <x:v>japan yamamoto says respects tse decision on nikko</x:v>
      </x:c>
      <x:c r="G19" s="11" t="str">
        <x:v>Japonya'dan Yamamoto, Nikko konusunda TSE kararına saygı duyduğunu söyledi</x:v>
      </x:c>
      <x:c r="H19" s="11" t="str">
        <x:v>neutral</x:v>
      </x:c>
      <x:c r="I19" s="18" t="n">
        <x:v>0.89</x:v>
      </x:c>
      <x:c r="J19" s="11" t="str">
        <x:v>Düzenleyici karara ilişkin açıklama; başlıkta net piyasa yönü yok.</x:v>
      </x:c>
      <x:c r="K19" s="11" t="str">
        <x:f>IF(D19=H19,"same","different")</x:f>
        <x:v>same</x:v>
      </x:c>
      <x:c r="L19" s="11" t="str">
        <x:v>FinBERT ile uyumlu</x:v>
      </x:c>
    </x:row>
    <x:row r="20">
      <x:c r="A20" s="11" t="str">
        <x:v>REUTERS_ANN_00569</x:v>
      </x:c>
      <x:c r="B20" s="14" t="n">
        <x:v>39175</x:v>
      </x:c>
      <x:c r="C20" s="11" t="n">
        <x:v>0</x:v>
      </x:c>
      <x:c r="D20" s="11" t="str">
        <x:v>neutral</x:v>
      </x:c>
      <x:c r="E20" s="16" t="n">
        <x:v>0.8963120579719543</x:v>
      </x:c>
      <x:c r="F20" s="11" t="str">
        <x:v>marshall ilsley to spin off metavante -wsj</x:v>
      </x:c>
      <x:c r="G20" s="11" t="str">
        <x:v>Marshall &amp; Ilsley, Metavante'yi ayırmayı planlıyor; WSJ</x:v>
      </x:c>
      <x:c r="H20" s="11" t="str">
        <x:v>neutral</x:v>
      </x:c>
      <x:c r="I20" s="18" t="n">
        <x:v>0.82</x:v>
      </x:c>
      <x:c r="J20" s="11" t="str">
        <x:v>Spin-off planı stratejik bir işlem, ancak başlık tek başına değer yönünü netleştirmiyor.</x:v>
      </x:c>
      <x:c r="K20" s="11" t="str">
        <x:f>IF(D20=H20,"same","different")</x:f>
        <x:v>same</x:v>
      </x:c>
      <x:c r="L20" s="11" t="str">
        <x:v>FinBERT ile uyumlu</x:v>
      </x:c>
    </x:row>
    <x:row r="21">
      <x:c r="A21" s="11" t="str">
        <x:v>REUTERS_ANN_00570</x:v>
      </x:c>
      <x:c r="B21" s="14" t="n">
        <x:v>39199</x:v>
      </x:c>
      <x:c r="C21" s="11" t="n">
        <x:v>1</x:v>
      </x:c>
      <x:c r="D21" s="11" t="str">
        <x:v>positive</x:v>
      </x:c>
      <x:c r="E21" s="16" t="n">
        <x:v>0.9453111290931702</x:v>
      </x:c>
      <x:c r="F21" s="11" t="str">
        <x:v>microsoft profit tops wall st view on vista sales</x:v>
      </x:c>
      <x:c r="G21" s="11" t="str">
        <x:v>Microsoft'un kârı Vista satışlarıyla Wall Street beklentisini aştı</x:v>
      </x:c>
      <x:c r="H21" s="11" t="str">
        <x:v>positive</x:v>
      </x:c>
      <x:c r="I21" s="18" t="n">
        <x:v>0.96</x:v>
      </x:c>
      <x:c r="J21" s="11" t="str">
        <x:v>Beklentileri aşan kâr ve ürün satış desteği güçlü olumlu sinyal.</x:v>
      </x:c>
      <x:c r="K21" s="11" t="str">
        <x:f>IF(D21=H21,"same","different")</x:f>
        <x:v>same</x:v>
      </x:c>
      <x:c r="L21" s="11" t="str">
        <x:v>FinBERT ile uyumlu</x:v>
      </x:c>
    </x:row>
    <x:row r="22">
      <x:c r="A22" s="11" t="str">
        <x:v>REUTERS_ANN_00571</x:v>
      </x:c>
      <x:c r="B22" s="14" t="n">
        <x:v>39090</x:v>
      </x:c>
      <x:c r="C22" s="11" t="n">
        <x:v>1</x:v>
      </x:c>
      <x:c r="D22" s="11" t="str">
        <x:v>positive</x:v>
      </x:c>
      <x:c r="E22" s="16" t="n">
        <x:v>0.9513653516769408</x:v>
      </x:c>
      <x:c r="F22" s="11" t="str">
        <x:v>hyundai sees 2007 us sales up more than 10 pct</x:v>
      </x:c>
      <x:c r="G22" s="11" t="str">
        <x:v>Hyundai, 2007 ABD satışlarının yüzde 10'dan fazla artmasını bekliyor</x:v>
      </x:c>
      <x:c r="H22" s="11" t="str">
        <x:v>positive</x:v>
      </x:c>
      <x:c r="I22" s="18" t="n">
        <x:v>0.92</x:v>
      </x:c>
      <x:c r="J22" s="11" t="str">
        <x:v>Satış büyümesi beklentisi şirket için olumlu.</x:v>
      </x:c>
      <x:c r="K22" s="11" t="str">
        <x:f>IF(D22=H22,"same","different")</x:f>
        <x:v>same</x:v>
      </x:c>
      <x:c r="L22" s="11" t="str">
        <x:v>FinBERT ile uyumlu</x:v>
      </x:c>
    </x:row>
    <x:row r="23">
      <x:c r="A23" s="11" t="str">
        <x:v>REUTERS_ANN_00572</x:v>
      </x:c>
      <x:c r="B23" s="14" t="n">
        <x:v>39072</x:v>
      </x:c>
      <x:c r="C23" s="11" t="n">
        <x:v>1</x:v>
      </x:c>
      <x:c r="D23" s="11" t="str">
        <x:v>positive</x:v>
      </x:c>
      <x:c r="E23" s="16" t="n">
        <x:v>0.7604748010635376</x:v>
      </x:c>
      <x:c r="F23" s="11" t="str">
        <x:v>nov leading index up, 3rd straight month of gains</x:v>
      </x:c>
      <x:c r="G23" s="11" t="str">
        <x:v>Kasım öncü göstergesi yükseldi; üst üste üçüncü aylık artış</x:v>
      </x:c>
      <x:c r="H23" s="11" t="str">
        <x:v>positive</x:v>
      </x:c>
      <x:c r="I23" s="18" t="n">
        <x:v>0.89</x:v>
      </x:c>
      <x:c r="J23" s="11" t="str">
        <x:v>Makro öncü göstergenin artması ekonomik görünüm açısından olumlu.</x:v>
      </x:c>
      <x:c r="K23" s="11" t="str">
        <x:f>IF(D23=H23,"same","different")</x:f>
        <x:v>same</x:v>
      </x:c>
      <x:c r="L23" s="11" t="str">
        <x:v>FinBERT ile uyumlu</x:v>
      </x:c>
    </x:row>
    <x:row r="24">
      <x:c r="A24" s="11" t="str">
        <x:v>REUTERS_ANN_00573</x:v>
      </x:c>
      <x:c r="B24" s="14" t="n">
        <x:v>39149</x:v>
      </x:c>
      <x:c r="C24" s="11" t="n">
        <x:v>1</x:v>
      </x:c>
      <x:c r="D24" s="11" t="str">
        <x:v>positive</x:v>
      </x:c>
      <x:c r="E24" s="16" t="n">
        <x:v>0.5823944211006165</x:v>
      </x:c>
      <x:c r="F24" s="11" t="str">
        <x:v>express tweaks caremark offer after setbacks</x:v>
      </x:c>
      <x:c r="G24" s="11" t="str">
        <x:v>Express, aksaklıklardan sonra Caremark teklifini revize etti</x:v>
      </x:c>
      <x:c r="H24" s="11" t="str">
        <x:v>neutral</x:v>
      </x:c>
      <x:c r="I24" s="18" t="n">
        <x:v>0.7</x:v>
      </x:c>
      <x:c r="J24" s="11" t="str">
        <x:v>Teklifte değişiklik var ancak 'aksaklıklar' nedeniyle sinyal karışık; net yön zayıf.</x:v>
      </x:c>
      <x:c r="K24" s="11" t="str">
        <x:f>IF(D24=H24,"same","different")</x:f>
        <x:v>different</x:v>
      </x:c>
      <x:c r="L24" s="11" t="str">
        <x:v>Kontrol önerilir</x:v>
      </x:c>
    </x:row>
    <x:row r="25">
      <x:c r="A25" s="11" t="str">
        <x:v>REUTERS_ANN_00574</x:v>
      </x:c>
      <x:c r="B25" s="14" t="n">
        <x:v>39105</x:v>
      </x:c>
      <x:c r="C25" s="11" t="n">
        <x:v>0</x:v>
      </x:c>
      <x:c r="D25" s="11" t="str">
        <x:v>neutral</x:v>
      </x:c>
      <x:c r="E25" s="16" t="n">
        <x:v>0.8767500519752502</x:v>
      </x:c>
      <x:c r="F25" s="11" t="str">
        <x:v>sun micro to use intel server chips as well as amd</x:v>
      </x:c>
      <x:c r="G25" s="11" t="str">
        <x:v>Sun Micro, Intel sunucu çiplerini AMD ile birlikte kullanacak</x:v>
      </x:c>
      <x:c r="H25" s="11" t="str">
        <x:v>neutral</x:v>
      </x:c>
      <x:c r="I25" s="18" t="n">
        <x:v>0.82</x:v>
      </x:c>
      <x:c r="J25" s="11" t="str">
        <x:v>Tedarik/ürün stratejisi haberi; başlıkta açık kâr veya kayıp sinyali yok.</x:v>
      </x:c>
      <x:c r="K25" s="11" t="str">
        <x:f>IF(D25=H25,"same","different")</x:f>
        <x:v>same</x:v>
      </x:c>
      <x:c r="L25" s="11" t="str">
        <x:v>FinBERT ile uyumlu</x:v>
      </x:c>
    </x:row>
    <x:row r="26">
      <x:c r="A26" s="11" t="str">
        <x:v>REUTERS_ANN_00575</x:v>
      </x:c>
      <x:c r="B26" s="14" t="n">
        <x:v>39176</x:v>
      </x:c>
      <x:c r="C26" s="11" t="n">
        <x:v>-1</x:v>
      </x:c>
      <x:c r="D26" s="11" t="str">
        <x:v>negative</x:v>
      </x:c>
      <x:c r="E26" s="16" t="n">
        <x:v>0.9069088697433472</x:v>
      </x:c>
      <x:c r="F26" s="11" t="str">
        <x:v>china union says u.s. fast food chains broke wage law</x:v>
      </x:c>
      <x:c r="G26" s="11" t="str">
        <x:v>Çin sendikası, ABD fast food zincirlerinin ücret yasasını ihlal ettiğini söyledi</x:v>
      </x:c>
      <x:c r="H26" s="11" t="str">
        <x:v>negative</x:v>
      </x:c>
      <x:c r="I26" s="18" t="n">
        <x:v>0.91</x:v>
      </x:c>
      <x:c r="J26" s="11" t="str">
        <x:v>Yasal/itibar riski ve ücret ihlali iddiası şirketler için olumsuz.</x:v>
      </x:c>
      <x:c r="K26" s="11" t="str">
        <x:f>IF(D26=H26,"same","different")</x:f>
        <x:v>same</x:v>
      </x:c>
      <x:c r="L26" s="11" t="str">
        <x:v>FinBERT ile uyumlu</x:v>
      </x:c>
    </x:row>
    <x:row r="27">
      <x:c r="A27" s="11" t="str">
        <x:v>REUTERS_ANN_00576</x:v>
      </x:c>
      <x:c r="B27" s="14" t="n">
        <x:v>39042</x:v>
      </x:c>
      <x:c r="C27" s="11" t="n">
        <x:v>1</x:v>
      </x:c>
      <x:c r="D27" s="11" t="str">
        <x:v>positive</x:v>
      </x:c>
      <x:c r="E27" s="16" t="n">
        <x:v>0.7196298241615295</x:v>
      </x:c>
      <x:c r="F27" s="11" t="str">
        <x:v>payless, disney to collaborate on shoe design</x:v>
      </x:c>
      <x:c r="G27" s="11" t="str">
        <x:v>Payless ve Disney ayakkabı tasarımında iş birliği yapacak</x:v>
      </x:c>
      <x:c r="H27" s="11" t="str">
        <x:v>positive</x:v>
      </x:c>
      <x:c r="I27" s="18" t="n">
        <x:v>0.8</x:v>
      </x:c>
      <x:c r="J27" s="11" t="str">
        <x:v>Marka iş birliği yeni ürün/gelir fırsatı yaratabileceği için hafif olumlu.</x:v>
      </x:c>
      <x:c r="K27" s="11" t="str">
        <x:f>IF(D27=H27,"same","different")</x:f>
        <x:v>same</x:v>
      </x:c>
      <x:c r="L27" s="11" t="str">
        <x:v>FinBERT ile uyumlu</x:v>
      </x:c>
    </x:row>
    <x:row r="28">
      <x:c r="A28" s="11" t="str">
        <x:v>REUTERS_ANN_00577</x:v>
      </x:c>
      <x:c r="B28" s="14" t="n">
        <x:v>39200</x:v>
      </x:c>
      <x:c r="C28" s="11" t="n">
        <x:v>-1</x:v>
      </x:c>
      <x:c r="D28" s="11" t="str">
        <x:v>negative</x:v>
      </x:c>
      <x:c r="E28" s="16" t="n">
        <x:v>0.6972071528434753</x:v>
      </x:c>
      <x:c r="F28" s="11" t="str">
        <x:v>u.s. treasurys kimmitt declines dollar comment</x:v>
      </x:c>
      <x:c r="G28" s="11" t="str">
        <x:v>ABD Hazinesi'nden Kimmitt dolar hakkında yorum yapmaktan kaçındı</x:v>
      </x:c>
      <x:c r="H28" s="11" t="str">
        <x:v>neutral</x:v>
      </x:c>
      <x:c r="I28" s="18" t="n">
        <x:v>0.88</x:v>
      </x:c>
      <x:c r="J28" s="11" t="str">
        <x:v>Yorum yapılmaması başlı başına finansal yön içermiyor.</x:v>
      </x:c>
      <x:c r="K28" s="11" t="str">
        <x:f>IF(D28=H28,"same","different")</x:f>
        <x:v>different</x:v>
      </x:c>
      <x:c r="L28" s="11" t="str">
        <x:v>Kontrol önerilir</x:v>
      </x:c>
    </x:row>
    <x:row r="29">
      <x:c r="A29" s="11" t="str">
        <x:v>REUTERS_ANN_00578</x:v>
      </x:c>
      <x:c r="B29" s="14" t="n">
        <x:v>39167</x:v>
      </x:c>
      <x:c r="C29" s="11" t="n">
        <x:v>1</x:v>
      </x:c>
      <x:c r="D29" s="11" t="str">
        <x:v>positive</x:v>
      </x:c>
      <x:c r="E29" s="16" t="n">
        <x:v>0.8101228475570679</x:v>
      </x:c>
      <x:c r="F29" s="11" t="str">
        <x:v>teachers private capital and ccmp buy nz yellow pages</x:v>
      </x:c>
      <x:c r="G29" s="11" t="str">
        <x:v>Teachers Private Capital ve CCMP, Yeni Zelanda Yellow Pages'i satın aldı</x:v>
      </x:c>
      <x:c r="H29" s="11" t="str">
        <x:v>neutral</x:v>
      </x:c>
      <x:c r="I29" s="18" t="n">
        <x:v>0.78</x:v>
      </x:c>
      <x:c r="J29" s="11" t="str">
        <x:v>Satın alma işlemi bilgisi var; hedef şirket için değer etkisi başlıktan net değil.</x:v>
      </x:c>
      <x:c r="K29" s="11" t="str">
        <x:f>IF(D29=H29,"same","different")</x:f>
        <x:v>different</x:v>
      </x:c>
      <x:c r="L29" s="11" t="str">
        <x:v>Kontrol önerilir</x:v>
      </x:c>
    </x:row>
    <x:row r="30">
      <x:c r="A30" s="11" t="str">
        <x:v>REUTERS_ANN_00579</x:v>
      </x:c>
      <x:c r="B30" s="14" t="n">
        <x:v>39138</x:v>
      </x:c>
      <x:c r="C30" s="11" t="n">
        <x:v>0</x:v>
      </x:c>
      <x:c r="D30" s="11" t="str">
        <x:v>neutral</x:v>
      </x:c>
      <x:c r="E30" s="16" t="n">
        <x:v>0.9309577345848083</x:v>
      </x:c>
      <x:c r="F30" s="11" t="str">
        <x:v>goldman plans indian mutual fund unit paper</x:v>
      </x:c>
      <x:c r="G30" s="11" t="str">
        <x:v>Goldman, Hindistan'da yatırım fonu birimi planlıyor; gazete</x:v>
      </x:c>
      <x:c r="H30" s="11" t="str">
        <x:v>positive</x:v>
      </x:c>
      <x:c r="I30" s="18" t="n">
        <x:v>0.78</x:v>
      </x:c>
      <x:c r="J30" s="11" t="str">
        <x:v>Yeni pazara genişleme ve ürün birimi planı büyüme açısından olumlu.</x:v>
      </x:c>
      <x:c r="K30" s="11" t="str">
        <x:f>IF(D30=H30,"same","different")</x:f>
        <x:v>different</x:v>
      </x:c>
      <x:c r="L30" s="11" t="str">
        <x:v>Kontrol önerilir</x:v>
      </x:c>
    </x:row>
    <x:row r="31">
      <x:c r="A31" s="11" t="str">
        <x:v>REUTERS_ANN_00580</x:v>
      </x:c>
      <x:c r="B31" s="14" t="n">
        <x:v>39150</x:v>
      </x:c>
      <x:c r="C31" s="11" t="n">
        <x:v>1</x:v>
      </x:c>
      <x:c r="D31" s="11" t="str">
        <x:v>positive</x:v>
      </x:c>
      <x:c r="E31" s="16" t="n">
        <x:v>0.783471405506134</x:v>
      </x:c>
      <x:c r="F31" s="11" t="str">
        <x:v>coca-cola ceo got $7 mln in salary,performance pay</x:v>
      </x:c>
      <x:c r="G31" s="11" t="str">
        <x:v>Coca-Cola CEO'su maaş ve performans ödemesi olarak 7 milyon dolar aldı</x:v>
      </x:c>
      <x:c r="H31" s="11" t="str">
        <x:v>neutral</x:v>
      </x:c>
      <x:c r="I31" s="18" t="n">
        <x:v>0.88</x:v>
      </x:c>
      <x:c r="J31" s="11" t="str">
        <x:v>Yönetici ücret bilgisi; şirket performansına dair doğrudan olumlu/olumsuz sinyal yok.</x:v>
      </x:c>
      <x:c r="K31" s="11" t="str">
        <x:f>IF(D31=H31,"same","different")</x:f>
        <x:v>different</x:v>
      </x:c>
      <x:c r="L31" s="11" t="str">
        <x:v>Kontrol önerilir</x:v>
      </x:c>
    </x:row>
    <x:row r="32">
      <x:c r="A32" s="11" t="str">
        <x:v>REUTERS_ANN_00581</x:v>
      </x:c>
      <x:c r="B32" s="14" t="n">
        <x:v>39163</x:v>
      </x:c>
      <x:c r="C32" s="11" t="n">
        <x:v>-1</x:v>
      </x:c>
      <x:c r="D32" s="11" t="str">
        <x:v>negative</x:v>
      </x:c>
      <x:c r="E32" s="16" t="n">
        <x:v>0.8314673900604248</x:v>
      </x:c>
      <x:c r="F32" s="11" t="str">
        <x:v>countrywide failed subrime loans could be worst</x:v>
      </x:c>
      <x:c r="G32" s="11" t="str">
        <x:v>Countrywide'ın başarısız subprime kredileri en kötü durumda olabilir</x:v>
      </x:c>
      <x:c r="H32" s="11" t="str">
        <x:v>negative</x:v>
      </x:c>
      <x:c r="I32" s="18" t="n">
        <x:v>0.95</x:v>
      </x:c>
      <x:c r="J32" s="11" t="str">
        <x:v>Subprime kredi kalitesindeki kötüleşme ve risk vurgusu açıkça olumsuz.</x:v>
      </x:c>
      <x:c r="K32" s="11" t="str">
        <x:f>IF(D32=H32,"same","different")</x:f>
        <x:v>same</x:v>
      </x:c>
      <x:c r="L32" s="11" t="str">
        <x:v>FinBERT ile uyumlu</x:v>
      </x:c>
    </x:row>
    <x:row r="33">
      <x:c r="A33" s="11" t="str">
        <x:v>REUTERS_ANN_00582</x:v>
      </x:c>
      <x:c r="B33" s="14" t="n">
        <x:v>39155</x:v>
      </x:c>
      <x:c r="C33" s="11" t="n">
        <x:v>1</x:v>
      </x:c>
      <x:c r="D33" s="11" t="str">
        <x:v>positive</x:v>
      </x:c>
      <x:c r="E33" s="16" t="n">
        <x:v>0.9403188824653624</x:v>
      </x:c>
      <x:c r="F33" s="11" t="str">
        <x:v>indexes recover as investors buy financials</x:v>
      </x:c>
      <x:c r="G33" s="11" t="str">
        <x:v>Endeksler, yatırımcıların finans hisseleri almasıyla toparlandı</x:v>
      </x:c>
      <x:c r="H33" s="11" t="str">
        <x:v>positive</x:v>
      </x:c>
      <x:c r="I33" s="18" t="n">
        <x:v>0.91</x:v>
      </x:c>
      <x:c r="J33" s="11" t="str">
        <x:v>Piyasada toparlanma ve alım ilgisi olumlu bir piyasa sinyali.</x:v>
      </x:c>
      <x:c r="K33" s="11" t="str">
        <x:f>IF(D33=H33,"same","different")</x:f>
        <x:v>same</x:v>
      </x:c>
      <x:c r="L33" s="11" t="str">
        <x:v>FinBERT ile uyumlu</x:v>
      </x:c>
    </x:row>
    <x:row r="34">
      <x:c r="A34" s="11" t="str">
        <x:v>REUTERS_ANN_00583</x:v>
      </x:c>
      <x:c r="B34" s="14" t="n">
        <x:v>39118</x:v>
      </x:c>
      <x:c r="C34" s="11" t="n">
        <x:v>-1</x:v>
      </x:c>
      <x:c r="D34" s="11" t="str">
        <x:v>negative</x:v>
      </x:c>
      <x:c r="E34" s="16" t="n">
        <x:v>0.9656497240066528</x:v>
      </x:c>
      <x:c r="F34" s="11" t="str">
        <x:v>sears to take charge for bond suit</x:v>
      </x:c>
      <x:c r="G34" s="11" t="str">
        <x:v>Sears, tahvil davası için karşılık ayıracak</x:v>
      </x:c>
      <x:c r="H34" s="11" t="str">
        <x:v>negative</x:v>
      </x:c>
      <x:c r="I34" s="18" t="n">
        <x:v>0.89</x:v>
      </x:c>
      <x:c r="J34" s="11" t="str">
        <x:v>Dava kaynaklı karşılık maliyet baskısı ve hukuki risk işareti.</x:v>
      </x:c>
      <x:c r="K34" s="11" t="str">
        <x:f>IF(D34=H34,"same","different")</x:f>
        <x:v>same</x:v>
      </x:c>
      <x:c r="L34" s="11" t="str">
        <x:v>FinBERT ile uyumlu</x:v>
      </x:c>
    </x:row>
    <x:row r="35">
      <x:c r="A35" s="11" t="str">
        <x:v>REUTERS_ANN_00584</x:v>
      </x:c>
      <x:c r="B35" s="14" t="n">
        <x:v>39129</x:v>
      </x:c>
      <x:c r="C35" s="11" t="n">
        <x:v>1</x:v>
      </x:c>
      <x:c r="D35" s="11" t="str">
        <x:v>positive</x:v>
      </x:c>
      <x:c r="E35" s="16" t="n">
        <x:v>0.8866006135940552</x:v>
      </x:c>
      <x:c r="F35" s="11" t="str">
        <x:v>campbell beats view and raises outlook, shares jump</x:v>
      </x:c>
      <x:c r="G35" s="11" t="str">
        <x:v>Campbell beklentiyi aştı, görünümü yükseltti; hisseler sıçradı</x:v>
      </x:c>
      <x:c r="H35" s="11" t="str">
        <x:v>positive</x:v>
      </x:c>
      <x:c r="I35" s="18" t="n">
        <x:v>0.97</x:v>
      </x:c>
      <x:c r="J35" s="11" t="str">
        <x:v>Beklenti aşımı, görünüm artışı ve hisse yükselişi güçlü olumlu sinyal.</x:v>
      </x:c>
      <x:c r="K35" s="11" t="str">
        <x:f>IF(D35=H35,"same","different")</x:f>
        <x:v>same</x:v>
      </x:c>
      <x:c r="L35" s="11" t="str">
        <x:v>FinBERT ile uyumlu</x:v>
      </x:c>
    </x:row>
    <x:row r="36">
      <x:c r="A36" s="11" t="str">
        <x:v>REUTERS_ANN_00585</x:v>
      </x:c>
      <x:c r="B36" s="14" t="n">
        <x:v>39195</x:v>
      </x:c>
      <x:c r="C36" s="11" t="n">
        <x:v>-1</x:v>
      </x:c>
      <x:c r="D36" s="11" t="str">
        <x:v>negative</x:v>
      </x:c>
      <x:c r="E36" s="16" t="n">
        <x:v>0.9331473112106324</x:v>
      </x:c>
      <x:c r="F36" s="11" t="str">
        <x:v>eu considers new kind of microsoft antitrust action</x:v>
      </x:c>
      <x:c r="G36" s="11" t="str">
        <x:v>AB, Microsoft'a karşı yeni tür bir antitröst eylemi düşünüyor</x:v>
      </x:c>
      <x:c r="H36" s="11" t="str">
        <x:v>negative</x:v>
      </x:c>
      <x:c r="I36" s="18" t="n">
        <x:v>0.92</x:v>
      </x:c>
      <x:c r="J36" s="11" t="str">
        <x:v>Antitröst riski, düzenleyici baskı ve olası ceza ihtimali nedeniyle olumsuz.</x:v>
      </x:c>
      <x:c r="K36" s="11" t="str">
        <x:f>IF(D36=H36,"same","different")</x:f>
        <x:v>same</x:v>
      </x:c>
      <x:c r="L36" s="11" t="str">
        <x:v>FinBERT ile uyumlu</x:v>
      </x:c>
    </x:row>
    <x:row r="37">
      <x:c r="A37" s="11" t="str">
        <x:v>REUTERS_ANN_00586</x:v>
      </x:c>
      <x:c r="B37" s="14" t="n">
        <x:v>39190</x:v>
      </x:c>
      <x:c r="C37" s="11" t="n">
        <x:v>0</x:v>
      </x:c>
      <x:c r="D37" s="11" t="str">
        <x:v>neutral</x:v>
      </x:c>
      <x:c r="E37" s="16" t="n">
        <x:v>0.7692323327064514</x:v>
      </x:c>
      <x:c r="F37" s="11" t="str">
        <x:v>house passes taxpayer protection bill</x:v>
      </x:c>
      <x:c r="G37" s="11" t="str">
        <x:v>Temsilciler Meclisi vergi mükellefi koruma tasarısını kabul etti</x:v>
      </x:c>
      <x:c r="H37" s="11" t="str">
        <x:v>neutral</x:v>
      </x:c>
      <x:c r="I37" s="18" t="n">
        <x:v>0.83</x:v>
      </x:c>
      <x:c r="J37" s="11" t="str">
        <x:v>Mevzuat haberi; başlıkta belirli şirket/piyasa etkisi net değil.</x:v>
      </x:c>
      <x:c r="K37" s="11" t="str">
        <x:f>IF(D37=H37,"same","different")</x:f>
        <x:v>same</x:v>
      </x:c>
      <x:c r="L37" s="11" t="str">
        <x:v>FinBERT ile uyumlu</x:v>
      </x:c>
    </x:row>
    <x:row r="38">
      <x:c r="A38" s="11" t="str">
        <x:v>REUTERS_ANN_00587</x:v>
      </x:c>
      <x:c r="B38" s="14" t="n">
        <x:v>39041</x:v>
      </x:c>
      <x:c r="C38" s="11" t="n">
        <x:v>1</x:v>
      </x:c>
      <x:c r="D38" s="11" t="str">
        <x:v>positive</x:v>
      </x:c>
      <x:c r="E38" s="16" t="n">
        <x:v>0.8675414323806763</x:v>
      </x:c>
      <x:c r="F38" s="11" t="str">
        <x:v>kkr in a$4 bln joint venture with australias seven</x:v>
      </x:c>
      <x:c r="G38" s="11" t="str">
        <x:v>KKR, Avustralya'nın Seven şirketiyle 4 milyar Avustralya dolarlık ortak girişim kurdu</x:v>
      </x:c>
      <x:c r="H38" s="11" t="str">
        <x:v>positive</x:v>
      </x:c>
      <x:c r="I38" s="18" t="n">
        <x:v>0.82</x:v>
      </x:c>
      <x:c r="J38" s="11" t="str">
        <x:v>Büyük ölçekli ortak girişim stratejik büyüme sinyali verdiği için olumlu.</x:v>
      </x:c>
      <x:c r="K38" s="11" t="str">
        <x:f>IF(D38=H38,"same","different")</x:f>
        <x:v>same</x:v>
      </x:c>
      <x:c r="L38" s="11" t="str">
        <x:v>FinBERT ile uyumlu</x:v>
      </x:c>
    </x:row>
    <x:row r="39">
      <x:c r="A39" s="11" t="str">
        <x:v>REUTERS_ANN_00588</x:v>
      </x:c>
      <x:c r="B39" s="14" t="n">
        <x:v>39193</x:v>
      </x:c>
      <x:c r="C39" s="11" t="n">
        <x:v>0</x:v>
      </x:c>
      <x:c r="D39" s="11" t="str">
        <x:v>neutral</x:v>
      </x:c>
      <x:c r="E39" s="16" t="n">
        <x:v>0.770658016204834</x:v>
      </x:c>
      <x:c r="F39" s="11" t="str">
        <x:v>chinas truly rich seek expression in autos</x:v>
      </x:c>
      <x:c r="G39" s="11" t="str">
        <x:v>Çin'in gerçekten zengin kesimi kendini otomobillerle ifade etmek istiyor</x:v>
      </x:c>
      <x:c r="H39" s="11" t="str">
        <x:v>neutral</x:v>
      </x:c>
      <x:c r="I39" s="18" t="n">
        <x:v>0.84</x:v>
      </x:c>
      <x:c r="J39" s="11" t="str">
        <x:v>Tüketici eğilimi/özellik haberi; doğrudan finansal yön sınırlı.</x:v>
      </x:c>
      <x:c r="K39" s="11" t="str">
        <x:f>IF(D39=H39,"same","different")</x:f>
        <x:v>same</x:v>
      </x:c>
      <x:c r="L39" s="11" t="str">
        <x:v>FinBERT ile uyumlu</x:v>
      </x:c>
    </x:row>
    <x:row r="40">
      <x:c r="A40" s="11" t="str">
        <x:v>REUTERS_ANN_00589</x:v>
      </x:c>
      <x:c r="B40" s="14" t="n">
        <x:v>39184</x:v>
      </x:c>
      <x:c r="C40" s="11" t="n">
        <x:v>-1</x:v>
      </x:c>
      <x:c r="D40" s="11" t="str">
        <x:v>negative</x:v>
      </x:c>
      <x:c r="E40" s="16" t="n">
        <x:v>0.9405457377433776</x:v>
      </x:c>
      <x:c r="F40" s="11" t="str">
        <x:v>retailers get easter lift, but grim april looms</x:v>
      </x:c>
      <x:c r="G40" s="11" t="str">
        <x:v>Perakendeciler Paskalya desteği aldı, ancak kasvetli Nisan yaklaşıyor</x:v>
      </x:c>
      <x:c r="H40" s="11" t="str">
        <x:v>negative</x:v>
      </x:c>
      <x:c r="I40" s="18" t="n">
        <x:v>0.82</x:v>
      </x:c>
      <x:c r="J40" s="11" t="str">
        <x:v>Kısa vadeli destek olsa da başlıktaki kötü Nisan beklentisi baskın olumsuz sinyal.</x:v>
      </x:c>
      <x:c r="K40" s="11" t="str">
        <x:f>IF(D40=H40,"same","different")</x:f>
        <x:v>same</x:v>
      </x:c>
      <x:c r="L40" s="11" t="str">
        <x:v>FinBERT ile uyumlu</x:v>
      </x:c>
    </x:row>
    <x:row r="41">
      <x:c r="A41" s="11" t="str">
        <x:v>REUTERS_ANN_00590</x:v>
      </x:c>
      <x:c r="B41" s="14" t="n">
        <x:v>39181</x:v>
      </x:c>
      <x:c r="C41" s="11" t="n">
        <x:v>1</x:v>
      </x:c>
      <x:c r="D41" s="11" t="str">
        <x:v>positive</x:v>
      </x:c>
      <x:c r="E41" s="16" t="n">
        <x:v>0.7154768109321594</x:v>
      </x:c>
      <x:c r="F41" s="11" t="str">
        <x:v>results for sp 500 companies seen up 5 percent</x:v>
      </x:c>
      <x:c r="G41" s="11" t="str">
        <x:v>S&amp;P 500 şirketlerinin sonuçlarının yüzde 5 artması bekleniyor</x:v>
      </x:c>
      <x:c r="H41" s="11" t="str">
        <x:v>positive</x:v>
      </x:c>
      <x:c r="I41" s="18" t="n">
        <x:v>0.9</x:v>
      </x:c>
      <x:c r="J41" s="11" t="str">
        <x:v>Şirket kârlarında artış beklentisi piyasa için olumlu.</x:v>
      </x:c>
      <x:c r="K41" s="11" t="str">
        <x:f>IF(D41=H41,"same","different")</x:f>
        <x:v>same</x:v>
      </x:c>
      <x:c r="L41" s="11" t="str">
        <x:v>FinBERT ile uyumlu</x:v>
      </x:c>
    </x:row>
    <x:row r="42">
      <x:c r="A42" s="11" t="str">
        <x:v>REUTERS_ANN_00591</x:v>
      </x:c>
      <x:c r="B42" s="14" t="n">
        <x:v>39029</x:v>
      </x:c>
      <x:c r="C42" s="11" t="n">
        <x:v>1</x:v>
      </x:c>
      <x:c r="D42" s="11" t="str">
        <x:v>positive</x:v>
      </x:c>
      <x:c r="E42" s="16" t="n">
        <x:v>0.6527588367462158</x:v>
      </x:c>
      <x:c r="F42" s="11" t="str">
        <x:v>coca-cola to invest $250 mln in indian ops report</x:v>
      </x:c>
      <x:c r="G42" s="11" t="str">
        <x:v>Coca-Cola Hindistan operasyonlarına 250 milyon dolar yatırım yapacak; haber</x:v>
      </x:c>
      <x:c r="H42" s="11" t="str">
        <x:v>positive</x:v>
      </x:c>
      <x:c r="I42" s="18" t="n">
        <x:v>0.84</x:v>
      </x:c>
      <x:c r="J42" s="11" t="str">
        <x:v>Yatırım ve genişleme büyüme sinyali olduğu için olumlu.</x:v>
      </x:c>
      <x:c r="K42" s="11" t="str">
        <x:f>IF(D42=H42,"same","different")</x:f>
        <x:v>same</x:v>
      </x:c>
      <x:c r="L42" s="11" t="str">
        <x:v>FinBERT ile uyumlu</x:v>
      </x:c>
    </x:row>
    <x:row r="43">
      <x:c r="A43" s="11" t="str">
        <x:v>REUTERS_ANN_00592</x:v>
      </x:c>
      <x:c r="B43" s="14" t="n">
        <x:v>39146</x:v>
      </x:c>
      <x:c r="C43" s="11" t="n">
        <x:v>-1</x:v>
      </x:c>
      <x:c r="D43" s="11" t="str">
        <x:v>negative</x:v>
      </x:c>
      <x:c r="E43" s="16" t="n">
        <x:v>0.8958436250686646</x:v>
      </x:c>
      <x:c r="F43" s="11" t="str">
        <x:v>rim co-ceo drops chairman title</x:v>
      </x:c>
      <x:c r="G43" s="11" t="str">
        <x:v>RIM eş CEO'su yönetim kurulu başkanlığı unvanını bıraktı</x:v>
      </x:c>
      <x:c r="H43" s="11" t="str">
        <x:v>neutral</x:v>
      </x:c>
      <x:c r="I43" s="18" t="n">
        <x:v>0.74</x:v>
      </x:c>
      <x:c r="J43" s="11" t="str">
        <x:v>Yönetim yapısında değişiklik var; başlık tek başına finansal etkiyi net göstermiyor.</x:v>
      </x:c>
      <x:c r="K43" s="11" t="str">
        <x:f>IF(D43=H43,"same","different")</x:f>
        <x:v>different</x:v>
      </x:c>
      <x:c r="L43" s="11" t="str">
        <x:v>Kontrol önerilir</x:v>
      </x:c>
    </x:row>
    <x:row r="44">
      <x:c r="A44" s="11" t="str">
        <x:v>REUTERS_ANN_00593</x:v>
      </x:c>
      <x:c r="B44" s="14" t="n">
        <x:v>39092</x:v>
      </x:c>
      <x:c r="C44" s="11" t="n">
        <x:v>0</x:v>
      </x:c>
      <x:c r="D44" s="11" t="str">
        <x:v>neutral</x:v>
      </x:c>
      <x:c r="E44" s="16" t="n">
        <x:v>0.8362696766853333</x:v>
      </x:c>
      <x:c r="F44" s="11" t="str">
        <x:v>chinas baosteel revives new york listing plan</x:v>
      </x:c>
      <x:c r="G44" s="11" t="str">
        <x:v>Çinli Baosteel New York'ta kote olma planını yeniden canlandırdı</x:v>
      </x:c>
      <x:c r="H44" s="11" t="str">
        <x:v>neutral</x:v>
      </x:c>
      <x:c r="I44" s="18" t="n">
        <x:v>0.78</x:v>
      </x:c>
      <x:c r="J44" s="11" t="str">
        <x:v>Kote olma planı finansal erişim açısından önemli fakat başlıkta net olumlu/olumsuz sonuç yok.</x:v>
      </x:c>
      <x:c r="K44" s="11" t="str">
        <x:f>IF(D44=H44,"same","different")</x:f>
        <x:v>same</x:v>
      </x:c>
      <x:c r="L44" s="11" t="str">
        <x:v>FinBERT ile uyumlu</x:v>
      </x:c>
    </x:row>
    <x:row r="45">
      <x:c r="A45" s="11" t="str">
        <x:v>REUTERS_ANN_00594</x:v>
      </x:c>
      <x:c r="B45" s="14" t="n">
        <x:v>39073</x:v>
      </x:c>
      <x:c r="C45" s="11" t="n">
        <x:v>1</x:v>
      </x:c>
      <x:c r="D45" s="11" t="str">
        <x:v>positive</x:v>
      </x:c>
      <x:c r="E45" s="16" t="n">
        <x:v>0.6274899244308472</x:v>
      </x:c>
      <x:c r="F45" s="11" t="str">
        <x:v>vodafone eyes hutchison india as reliance circles</x:v>
      </x:c>
      <x:c r="G45" s="11" t="str">
        <x:v>Vodafone Hutchison India'ya bakıyor; Reliance da çevresinde</x:v>
      </x:c>
      <x:c r="H45" s="11" t="str">
        <x:v>neutral</x:v>
      </x:c>
      <x:c r="I45" s="18" t="n">
        <x:v>0.76</x:v>
      </x:c>
      <x:c r="J45" s="11" t="str">
        <x:v>M&amp;A ilgisi/spekülasyonu; anlaşma sonucu ve finansal etkisi belirsiz.</x:v>
      </x:c>
      <x:c r="K45" s="11" t="str">
        <x:f>IF(D45=H45,"same","different")</x:f>
        <x:v>different</x:v>
      </x:c>
      <x:c r="L45" s="11" t="str">
        <x:v>Kontrol önerilir</x:v>
      </x:c>
    </x:row>
    <x:row r="46">
      <x:c r="A46" s="11" t="str">
        <x:v>REUTERS_ANN_00595</x:v>
      </x:c>
      <x:c r="B46" s="14" t="n">
        <x:v>39072</x:v>
      </x:c>
      <x:c r="C46" s="11" t="n">
        <x:v>1</x:v>
      </x:c>
      <x:c r="D46" s="11" t="str">
        <x:v>positive</x:v>
      </x:c>
      <x:c r="E46" s="16" t="n">
        <x:v>0.9497984051704408</x:v>
      </x:c>
      <x:c r="F46" s="11" t="str">
        <x:v>general mills profit tops street, 07 view raised</x:v>
      </x:c>
      <x:c r="G46" s="11" t="str">
        <x:v>General Mills'in kârı beklentiyi aştı, 2007 görünümü yükseltildi</x:v>
      </x:c>
      <x:c r="H46" s="11" t="str">
        <x:v>positive</x:v>
      </x:c>
      <x:c r="I46" s="18" t="n">
        <x:v>0.96</x:v>
      </x:c>
      <x:c r="J46" s="11" t="str">
        <x:v>Beklenti aşımı ve görünüm artışı güçlü olumlu finansal sinyal.</x:v>
      </x:c>
      <x:c r="K46" s="11" t="str">
        <x:f>IF(D46=H46,"same","different")</x:f>
        <x:v>same</x:v>
      </x:c>
      <x:c r="L46" s="11" t="str">
        <x:v>FinBERT ile uyumlu</x:v>
      </x:c>
    </x:row>
    <x:row r="47">
      <x:c r="A47" s="11" t="str">
        <x:v>REUTERS_ANN_00596</x:v>
      </x:c>
      <x:c r="B47" s="14" t="n">
        <x:v>39034</x:v>
      </x:c>
      <x:c r="C47" s="11" t="n">
        <x:v>-1</x:v>
      </x:c>
      <x:c r="D47" s="11" t="str">
        <x:v>negative</x:v>
      </x:c>
      <x:c r="E47" s="16" t="n">
        <x:v>0.9429393410682678</x:v>
      </x:c>
      <x:c r="F47" s="11" t="str">
        <x:v>sonys ps3 has problems running ps, ps2 games</x:v>
      </x:c>
      <x:c r="G47" s="11" t="str">
        <x:v>Sony'nin PS3'ü PS ve PS2 oyunlarını çalıştırmada sorun yaşıyor</x:v>
      </x:c>
      <x:c r="H47" s="11" t="str">
        <x:v>negative</x:v>
      </x:c>
      <x:c r="I47" s="18" t="n">
        <x:v>0.92</x:v>
      </x:c>
      <x:c r="J47" s="11" t="str">
        <x:v>Ürün uyumluluk sorunu satış/itibar açısından olumsuz.</x:v>
      </x:c>
      <x:c r="K47" s="11" t="str">
        <x:f>IF(D47=H47,"same","different")</x:f>
        <x:v>same</x:v>
      </x:c>
      <x:c r="L47" s="11" t="str">
        <x:v>FinBERT ile uyumlu</x:v>
      </x:c>
    </x:row>
    <x:row r="48">
      <x:c r="A48" s="11" t="str">
        <x:v>REUTERS_ANN_00597</x:v>
      </x:c>
      <x:c r="B48" s="14" t="n">
        <x:v>39139</x:v>
      </x:c>
      <x:c r="C48" s="11" t="n">
        <x:v>0</x:v>
      </x:c>
      <x:c r="D48" s="11" t="str">
        <x:v>neutral</x:v>
      </x:c>
      <x:c r="E48" s="16" t="n">
        <x:v>0.7305923104286194</x:v>
      </x:c>
      <x:c r="F48" s="11" t="str">
        <x:v>daimler mulls gm stake to pay for chrysler unit ft</x:v>
      </x:c>
      <x:c r="G48" s="11" t="str">
        <x:v>Daimler, Chrysler birimi için ödeme yapmak üzere GM hissesini değerlendirdi; FT</x:v>
      </x:c>
      <x:c r="H48" s="11" t="str">
        <x:v>neutral</x:v>
      </x:c>
      <x:c r="I48" s="18" t="n">
        <x:v>0.72</x:v>
      </x:c>
      <x:c r="J48" s="11" t="str">
        <x:v>Varlık/finansman değerlendirmesi haberi; başlıkta net değer yönü yok.</x:v>
      </x:c>
      <x:c r="K48" s="11" t="str">
        <x:f>IF(D48=H48,"same","different")</x:f>
        <x:v>same</x:v>
      </x:c>
      <x:c r="L48" s="11" t="str">
        <x:v>FinBERT ile uyumlu</x:v>
      </x:c>
    </x:row>
    <x:row r="49">
      <x:c r="A49" s="11" t="str">
        <x:v>REUTERS_ANN_00598</x:v>
      </x:c>
      <x:c r="B49" s="14" t="n">
        <x:v>39164</x:v>
      </x:c>
      <x:c r="C49" s="11" t="n">
        <x:v>0</x:v>
      </x:c>
      <x:c r="D49" s="11" t="str">
        <x:v>neutral</x:v>
      </x:c>
      <x:c r="E49" s="16" t="n">
        <x:v>0.8630674481391907</x:v>
      </x:c>
      <x:c r="F49" s="11" t="str">
        <x:v>blackstone to keep private ways in going public</x:v>
      </x:c>
      <x:c r="G49" s="11" t="str">
        <x:v>Blackstone halka açılırken özel çalışma tarzını koruyacak</x:v>
      </x:c>
      <x:c r="H49" s="11" t="str">
        <x:v>neutral</x:v>
      </x:c>
      <x:c r="I49" s="18" t="n">
        <x:v>0.84</x:v>
      </x:c>
      <x:c r="J49" s="11" t="str">
        <x:v>Kurumsal yapı/strateji anlatımı; doğrudan finansal sentiment zayıf.</x:v>
      </x:c>
      <x:c r="K49" s="11" t="str">
        <x:f>IF(D49=H49,"same","different")</x:f>
        <x:v>same</x:v>
      </x:c>
      <x:c r="L49" s="11" t="str">
        <x:v>FinBERT ile uyumlu</x:v>
      </x:c>
    </x:row>
    <x:row r="50">
      <x:c r="A50" s="11" t="str">
        <x:v>REUTERS_ANN_00599</x:v>
      </x:c>
      <x:c r="B50" s="14" t="n">
        <x:v>39129</x:v>
      </x:c>
      <x:c r="C50" s="11" t="n">
        <x:v>-1</x:v>
      </x:c>
      <x:c r="D50" s="11" t="str">
        <x:v>negative</x:v>
      </x:c>
      <x:c r="E50" s="16" t="n">
        <x:v>0.9766265749931335</x:v>
      </x:c>
      <x:c r="F50" s="11" t="str">
        <x:v>visteon posts quarterly net loss</x:v>
      </x:c>
      <x:c r="G50" s="11" t="str">
        <x:v>Visteon çeyreklik net zarar açıkladı</x:v>
      </x:c>
      <x:c r="H50" s="11" t="str">
        <x:v>negative</x:v>
      </x:c>
      <x:c r="I50" s="18" t="n">
        <x:v>0.96</x:v>
      </x:c>
      <x:c r="J50" s="11" t="str">
        <x:v>Net zarar açıklanması açık olumsuz finansal performans sinyali.</x:v>
      </x:c>
      <x:c r="K50" s="11" t="str">
        <x:f>IF(D50=H50,"same","different")</x:f>
        <x:v>same</x:v>
      </x:c>
      <x:c r="L50" s="11" t="str">
        <x:v>FinBERT ile uyumlu</x:v>
      </x:c>
    </x:row>
    <x:row r="51">
      <x:c r="A51" s="11" t="str">
        <x:v>REUTERS_ANN_00600</x:v>
      </x:c>
      <x:c r="B51" s="14" t="n">
        <x:v>39123</x:v>
      </x:c>
      <x:c r="C51" s="11" t="n">
        <x:v>0</x:v>
      </x:c>
      <x:c r="D51" s="11" t="str">
        <x:v>neutral</x:v>
      </x:c>
      <x:c r="E51" s="16" t="n">
        <x:v>0.8790640234947205</x:v>
      </x:c>
      <x:c r="F51" s="11" t="str">
        <x:v>g7 agrees fx statement</x:v>
      </x:c>
      <x:c r="G51" s="11" t="str">
        <x:v>G7 döviz kuru açıklamasında uzlaştı</x:v>
      </x:c>
      <x:c r="H51" s="11" t="str">
        <x:v>neutral</x:v>
      </x:c>
      <x:c r="I51" s="18" t="n">
        <x:v>0.88</x:v>
      </x:c>
      <x:c r="J51" s="11" t="str">
        <x:v>Politika açıklaması uzlaşısı var, ancak başlık tek başına piyasa yönü vermiyor.</x:v>
      </x:c>
      <x:c r="K51" s="11" t="str">
        <x:f>IF(D51=H51,"same","different")</x:f>
        <x:v>same</x:v>
      </x:c>
      <x:c r="L51" s="11" t="str">
        <x:v>FinBERT ile uyumlu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H2="neutral"</x:formula>
    </x:cfRule>
    <x:cfRule type="expression" dxfId="2" priority="3">
      <x:formula>H2="negative"</x:formula>
    </x:cfRule>
  </x:conditionalFormatting>
  <x:conditionalFormatting sqref="K2:K51">
    <x:cfRule type="expression" dxfId="3" priority="4">
      <x:formula>K2="same"</x:formula>
    </x:cfRule>
    <x:cfRule type="expression" dxfId="4" priority="5">
      <x:formula>K2="different"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85b420f7d4b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>
      <x:c r="A1" s="4" t="str">
        <x:v>REUTERS ANNOTATION BATCH 012</x:v>
      </x:c>
      <x:c r="B1" s="4" t="str"/>
    </x:row>
    <x:row r="2">
      <x:c r="A2" t="str">
        <x:v>Rows</x:v>
      </x:c>
      <x:c r="B2" t="n">
        <x:f>COUNTA(Annotations!A2:A51)</x:f>
        <x:v>50</x:v>
      </x:c>
    </x:row>
    <x:row r="3">
      <x:c r="A3" t="str">
        <x:v>Source row range</x:v>
      </x:c>
      <x:c r="B3" t="str">
        <x:v>550 - 599</x:v>
      </x:c>
    </x:row>
    <x:row r="4">
      <x:c r="A4" t="str">
        <x:v>Output file</x:v>
      </x:c>
      <x:c r="B4" t="str">
        <x:v>REUTERS_annotation_batch_012.xlsx</x:v>
      </x:c>
    </x:row>
    <x:row r="5">
      <x:c r="A5" t="str"/>
      <x:c r="B5" t="str"/>
    </x:row>
    <x:row r="6">
      <x:c r="A6" s="22" t="str">
        <x:v>ChatGPT label</x:v>
      </x:c>
      <x:c r="B6" s="22" t="str">
        <x:v>Count</x:v>
      </x:c>
    </x:row>
    <x:row r="7">
      <x:c r="A7" t="str">
        <x:v>positive</x:v>
      </x:c>
      <x:c r="B7" t="n">
        <x:f>COUNTIF(Annotations!H2:H51,"positive")</x:f>
        <x:v>17</x:v>
      </x:c>
    </x:row>
    <x:row r="8">
      <x:c r="A8" t="str">
        <x:v>neutral</x:v>
      </x:c>
      <x:c r="B8" t="n">
        <x:f>COUNTIF(Annotations!H2:H51,"neutral")</x:f>
        <x:v>22</x:v>
      </x:c>
    </x:row>
    <x:row r="9">
      <x:c r="A9" t="str">
        <x:v>negative</x:v>
      </x:c>
      <x:c r="B9" t="n">
        <x:f>COUNTIF(Annotations!H2:H51,"negative")</x:f>
        <x:v>11</x:v>
      </x:c>
    </x:row>
    <x:row r="10">
      <x:c r="A10" t="str"/>
      <x:c r="B10" t="str"/>
    </x:row>
    <x:row r="11">
      <x:c r="A11" s="22" t="str">
        <x:v>FinBERT comparison</x:v>
      </x:c>
      <x:c r="B11" s="22" t="str">
        <x:v>Count</x:v>
      </x:c>
    </x:row>
    <x:row r="12">
      <x:c r="A12" t="str">
        <x:v>same</x:v>
      </x:c>
      <x:c r="B12" t="n">
        <x:f>COUNTIF(Annotations!K2:K51,"same")</x:f>
        <x:v>40</x:v>
      </x:c>
    </x:row>
    <x:row r="13">
      <x:c r="A13" t="str">
        <x:v>different</x:v>
      </x:c>
      <x:c r="B13" t="n">
        <x:f>COUNTIF(Annotations!K2:K51,"different")</x:f>
        <x:v>10</x:v>
      </x:c>
    </x:row>
  </x:sheetData>
  <x:conditionalFormatting sqref="A7:A9">
    <x:cfRule type="expression" dxfId="5" priority="1">
      <x:formula>A7="positive"</x:formula>
    </x:cfRule>
    <x:cfRule type="expression" dxfId="6" priority="2">
      <x:formula>A7="neutral"</x:formula>
    </x:cfRule>
    <x:cfRule type="expression" dxfId="7" priority="3">
      <x:formula>A7="negative"</x:formula>
    </x:cfRule>
  </x:conditionalFormatting>
  <x:pageMargins left="0.7" right="0.7" top="0.75" bottom="0.75" header="0.3" footer="0.3"/>
</x:worksheet>
</file>