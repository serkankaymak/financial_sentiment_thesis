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26341efd3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799ab387d5404a3f"/>
    <x:sheet xmlns:r="http://schemas.openxmlformats.org/officeDocument/2006/relationships" name="summary" sheetId="2" r:id="R31af8b9bce274d0f"/>
    <x:sheet xmlns:r="http://schemas.openxmlformats.org/officeDocument/2006/relationships" name="labeling_notes" sheetId="3" r:id="R4a648b8225af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E0F2FE"/>
        </x:patternFill>
      </x:fill>
    </x:dxf>
    <x:dxf>
      <x:font>
        <x:b/>
      </x:font>
      <x:fill>
        <x:patternFill patternType="solid">
          <x:bgColor rgb="FEF3C7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81e68b68e4bf2" /><Relationship Type="http://schemas.openxmlformats.org/officeDocument/2006/relationships/theme" Target="/xl/theme/theme1.xml" Id="R9ae1ed13cf474445" /><Relationship Type="http://schemas.openxmlformats.org/officeDocument/2006/relationships/sharedStrings" Target="/xl/sharedStrings.xml" Id="R69549422c3a448f6" /><Relationship Type="http://schemas.openxmlformats.org/officeDocument/2006/relationships/worksheet" Target="/xl/worksheets/sheet1.xml" Id="R799ab387d5404a3f" /><Relationship Type="http://schemas.openxmlformats.org/officeDocument/2006/relationships/worksheet" Target="/xl/worksheets/sheet2.xml" Id="R31af8b9bce274d0f" /><Relationship Type="http://schemas.openxmlformats.org/officeDocument/2006/relationships/worksheet" Target="/xl/worksheets/sheet3.xml" Id="R4a648b8225af4eb6" /></Relationships>
</file>

<file path=xl/tables/table1.xml><?xml version="1.0" encoding="utf-8"?>
<x:table xmlns:x="http://schemas.openxmlformats.org/spreadsheetml/2006/main" id="1" name="ReutersBatch030Table" displayName="ReutersBatch030Table" ref="A1:O51" headerRowCount="1">
  <x:tableColumns count="15">
    <x:tableColumn id="1" name="annotation_id"/>
    <x:tableColumn id="2" name="date"/>
    <x:tableColumn id="3" name="source_text"/>
    <x:tableColumn id="4" name="text_tr"/>
    <x:tableColumn id="5" name="finbert_score"/>
    <x:tableColumn id="6" name="finbert_label"/>
    <x:tableColumn id="7" name="finbert_confidence"/>
    <x:tableColumn id="8" name="chatgpt_label"/>
    <x:tableColumn id="9" name="chatgpt_score"/>
    <x:tableColumn id="10" name="chatgpt_confidence"/>
    <x:tableColumn id="11" name="chatgpt_reason_tr"/>
    <x:tableColumn id="12" name="finbert_vs_chatgpt"/>
    <x:tableColumn id="13" name="needs_review"/>
    <x:tableColumn id="14" name="row_note"/>
    <x:tableColumn id="15" name="source_bat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6e4b67c9024f2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4" hidden="0" customWidth="1"/>
    <x:col min="4" max="4" width="44" hidden="0" customWidth="1"/>
    <x:col min="5" max="5" width="12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8" hidden="0" customWidth="1"/>
    <x:col min="11" max="11" width="52" hidden="0" customWidth="1"/>
    <x:col min="12" max="12" width="18" hidden="0" customWidth="1"/>
    <x:col min="13" max="13" width="14" hidden="0" customWidth="1"/>
    <x:col min="14" max="14" width="34" hidden="0" customWidth="1"/>
    <x:col min="15" max="15" width="26" hidden="0" customWidth="1"/>
  </x:cols>
  <x:sheetData>
    <x:row r="1" ht="30" customHeight="1">
      <x:c r="A1" s="6" t="str">
        <x:v>annotation_id</x:v>
      </x:c>
      <x:c r="B1" s="6" t="str">
        <x:v>date</x:v>
      </x:c>
      <x:c r="C1" s="6" t="str">
        <x:v>source_text</x:v>
      </x:c>
      <x:c r="D1" s="6" t="str">
        <x:v>text_tr</x:v>
      </x:c>
      <x:c r="E1" s="6" t="str">
        <x:v>finbert_score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chatgpt_score</x:v>
      </x:c>
      <x:c r="J1" s="6" t="str">
        <x:v>chatgpt_confidence</x:v>
      </x:c>
      <x:c r="K1" s="6" t="str">
        <x:v>chatgpt_reason_tr</x:v>
      </x:c>
      <x:c r="L1" s="6" t="str">
        <x:v>finbert_vs_chatgpt</x:v>
      </x:c>
      <x:c r="M1" s="6" t="str">
        <x:v>needs_review</x:v>
      </x:c>
      <x:c r="N1" s="6" t="str">
        <x:v>row_note</x:v>
      </x:c>
      <x:c r="O1" s="6" t="str">
        <x:v>source_batch</x:v>
      </x:c>
    </x:row>
    <x:row r="2" ht="36" customHeight="1">
      <x:c r="A2" s="12" t="str">
        <x:v>REUTERS_ANN_01451</x:v>
      </x:c>
      <x:c r="B2" s="12" t="str">
        <x:v>2006-11-29</x:v>
      </x:c>
      <x:c r="C2" s="12" t="str">
        <x:v>fed beige book-moderate growth in most areas</x:v>
      </x:c>
      <x:c r="D2" s="12" t="str">
        <x:v>Fed'in Bej Kitabı: çoğu bölgede ılımlı büyüme</x:v>
      </x:c>
      <x:c r="E2" s="18" t="n">
        <x:v>-1</x:v>
      </x:c>
      <x:c r="F2" s="12" t="str">
        <x:v>negative</x:v>
      </x:c>
      <x:c r="G2" s="14" t="n">
        <x:v>0.9002565741539001</x:v>
      </x:c>
      <x:c r="H2" s="12" t="str">
        <x:v>positive</x:v>
      </x:c>
      <x:c r="I2" s="18" t="n">
        <x:f>IF(H2="positive",1,IF(H2="negative",-1,0))</x:f>
        <x:v>1</x:v>
      </x:c>
      <x:c r="J2" s="16" t="n">
        <x:v>0.74</x:v>
      </x:c>
      <x:c r="K2" s="12" t="str">
        <x:v>Çoğu bölgede büyüme bildirildiği için makro sinyal olumlu; ancak büyüme ılımlı olduğu için güven orta-yüksek.</x:v>
      </x:c>
      <x:c r="L2" s="12" t="str">
        <x:f>IF(F2=H2,"same","different")</x:f>
        <x:v>different</x:v>
      </x:c>
      <x:c r="M2" s="12" t="str">
        <x:f>IF(OR(L2="different",G2&lt;0.6,J2&lt;0.7),"review","")</x:f>
        <x:v>review</x:v>
      </x:c>
      <x:c r="N2" s="12" t="str">
        <x:v>FinBERT ile ayrışıyor; manuel kontrol öncelikli.</x:v>
      </x:c>
      <x:c r="O2" s="12" t="str">
        <x:v>REUTERS ANNOTATION BATCH 030</x:v>
      </x:c>
    </x:row>
    <x:row r="3" ht="36" customHeight="1">
      <x:c r="A3" s="12" t="str">
        <x:v>REUTERS_ANN_01452</x:v>
      </x:c>
      <x:c r="B3" s="12" t="str">
        <x:v>2007-05-01</x:v>
      </x:c>
      <x:c r="C3" s="12" t="str">
        <x:v>disney unveils social networking for preteens</x:v>
      </x:c>
      <x:c r="D3" s="12" t="str">
        <x:v>Disney, ergenlik öncesi çocuklara yönelik sosyal ağını tanıttı</x:v>
      </x:c>
      <x:c r="E3" s="18" t="n">
        <x:v>0</x:v>
      </x:c>
      <x:c r="F3" s="12" t="str">
        <x:v>neutral</x:v>
      </x:c>
      <x:c r="G3" s="14" t="n">
        <x:v>0.6829856038093567</x:v>
      </x:c>
      <x:c r="H3" s="12" t="str">
        <x:v>neutral</x:v>
      </x:c>
      <x:c r="I3" s="18" t="n">
        <x:f>IF(H3="positive",1,IF(H3="negative",-1,0))</x:f>
        <x:v>0</x:v>
      </x:c>
      <x:c r="J3" s="16" t="n">
        <x:v>0.72</x:v>
      </x:c>
      <x:c r="K3" s="12" t="str">
        <x:v>Yeni ürün/hizmet duyurusu var; gelir veya piyasa etkisi başlıktan net çıkmıyor.</x:v>
      </x:c>
      <x:c r="L3" s="12" t="str">
        <x:f>IF(F3=H3,"same","different")</x:f>
        <x:v>same</x:v>
      </x:c>
      <x:c r="M3" s="12" t="str">
        <x:f>IF(OR(L3="different",G3&lt;0.6,J3&lt;0.7),"review","")</x:f>
      </x:c>
      <x:c r="N3" s="12" t="str"/>
      <x:c r="O3" s="12" t="str">
        <x:v>REUTERS ANNOTATION BATCH 030</x:v>
      </x:c>
    </x:row>
    <x:row r="4" ht="36" customHeight="1">
      <x:c r="A4" s="12" t="str">
        <x:v>REUTERS_ANN_01453</x:v>
      </x:c>
      <x:c r="B4" s="12" t="str">
        <x:v>2006-11-01</x:v>
      </x:c>
      <x:c r="C4" s="12" t="str">
        <x:v>cvs net income rises 12.5 pct</x:v>
      </x:c>
      <x:c r="D4" s="12" t="str">
        <x:v>CVS'in net geliri yüzde 12,5 arttı</x:v>
      </x:c>
      <x:c r="E4" s="18" t="n">
        <x:v>1</x:v>
      </x:c>
      <x:c r="F4" s="12" t="str">
        <x:v>positive</x:v>
      </x:c>
      <x:c r="G4" s="14" t="n">
        <x:v>0.9501436352729796</x:v>
      </x:c>
      <x:c r="H4" s="12" t="str">
        <x:v>positive</x:v>
      </x:c>
      <x:c r="I4" s="18" t="n">
        <x:f>IF(H4="positive",1,IF(H4="negative",-1,0))</x:f>
        <x:v>1</x:v>
      </x:c>
      <x:c r="J4" s="16" t="n">
        <x:v>0.96</x:v>
      </x:c>
      <x:c r="K4" s="12" t="str">
        <x:v>Net gelir artışı şirket performansı açısından açık olumlu sinyal.</x:v>
      </x:c>
      <x:c r="L4" s="12" t="str">
        <x:f>IF(F4=H4,"same","different")</x:f>
        <x:v>same</x:v>
      </x:c>
      <x:c r="M4" s="12" t="str">
        <x:f>IF(OR(L4="different",G4&lt;0.6,J4&lt;0.7),"review","")</x:f>
      </x:c>
      <x:c r="N4" s="12" t="str"/>
      <x:c r="O4" s="12" t="str">
        <x:v>REUTERS ANNOTATION BATCH 030</x:v>
      </x:c>
    </x:row>
    <x:row r="5" ht="36" customHeight="1">
      <x:c r="A5" s="12" t="str">
        <x:v>REUTERS_ANN_01454</x:v>
      </x:c>
      <x:c r="B5" s="12" t="str">
        <x:v>2006-12-21</x:v>
      </x:c>
      <x:c r="C5" s="12" t="str">
        <x:v>exiting pfizer ceo to get $198 mln</x:v>
      </x:c>
      <x:c r="D5" s="12" t="str">
        <x:v>Görevden ayrılan Pfizer CEO'su 198 milyon dolar alacak</x:v>
      </x:c>
      <x:c r="E5" s="18" t="n">
        <x:v>0</x:v>
      </x:c>
      <x:c r="F5" s="12" t="str">
        <x:v>neutral</x:v>
      </x:c>
      <x:c r="G5" s="14" t="n">
        <x:v>0.7971146106719971</x:v>
      </x:c>
      <x:c r="H5" s="12" t="str">
        <x:v>neutral</x:v>
      </x:c>
      <x:c r="I5" s="18" t="n">
        <x:f>IF(H5="positive",1,IF(H5="negative",-1,0))</x:f>
        <x:v>0</x:v>
      </x:c>
      <x:c r="J5" s="16" t="n">
        <x:v>0.66</x:v>
      </x:c>
      <x:c r="K5" s="12" t="str">
        <x:v>Yönetici tazminatı bilgisi veriliyor; şirket performansına doğrudan olumlu/olumsuz etki net değil.</x:v>
      </x:c>
      <x:c r="L5" s="12" t="str">
        <x:f>IF(F5=H5,"same","different")</x:f>
        <x:v>same</x:v>
      </x:c>
      <x:c r="M5" s="12" t="str">
        <x:f>IF(OR(L5="different",G5&lt;0.6,J5&lt;0.7),"review","")</x:f>
        <x:v>review</x:v>
      </x:c>
      <x:c r="N5" s="12" t="str">
        <x:v>Güven düşük/orta; bağlama göre kontrol edilebilir.</x:v>
      </x:c>
      <x:c r="O5" s="12" t="str">
        <x:v>REUTERS ANNOTATION BATCH 030</x:v>
      </x:c>
    </x:row>
    <x:row r="6" ht="36" customHeight="1">
      <x:c r="A6" s="12" t="str">
        <x:v>REUTERS_ANN_01455</x:v>
      </x:c>
      <x:c r="B6" s="12" t="str">
        <x:v>2006-10-24</x:v>
      </x:c>
      <x:c r="C6" s="12" t="str">
        <x:v>lockheed martin ups forecast</x:v>
      </x:c>
      <x:c r="D6" s="12" t="str">
        <x:v>Lockheed Martin tahminini yükseltti</x:v>
      </x:c>
      <x:c r="E6" s="18" t="n">
        <x:v>1</x:v>
      </x:c>
      <x:c r="F6" s="12" t="str">
        <x:v>positive</x:v>
      </x:c>
      <x:c r="G6" s="14" t="n">
        <x:v>0.9542014002799988</x:v>
      </x:c>
      <x:c r="H6" s="12" t="str">
        <x:v>positive</x:v>
      </x:c>
      <x:c r="I6" s="18" t="n">
        <x:f>IF(H6="positive",1,IF(H6="negative",-1,0))</x:f>
        <x:v>1</x:v>
      </x:c>
      <x:c r="J6" s="16" t="n">
        <x:v>0.96</x:v>
      </x:c>
      <x:c r="K6" s="12" t="str">
        <x:v>Şirket beklentisini yukarı çektiği için açık olumlu sinyal.</x:v>
      </x:c>
      <x:c r="L6" s="12" t="str">
        <x:f>IF(F6=H6,"same","different")</x:f>
        <x:v>same</x:v>
      </x:c>
      <x:c r="M6" s="12" t="str">
        <x:f>IF(OR(L6="different",G6&lt;0.6,J6&lt;0.7),"review","")</x:f>
      </x:c>
      <x:c r="N6" s="12" t="str"/>
      <x:c r="O6" s="12" t="str">
        <x:v>REUTERS ANNOTATION BATCH 030</x:v>
      </x:c>
    </x:row>
    <x:row r="7" ht="36" customHeight="1">
      <x:c r="A7" s="12" t="str">
        <x:v>REUTERS_ANN_01456</x:v>
      </x:c>
      <x:c r="B7" s="12" t="str">
        <x:v>2007-04-30</x:v>
      </x:c>
      <x:c r="C7" s="12" t="str">
        <x:v>delta exits bankruptcy after 19-month restructuring</x:v>
      </x:c>
      <x:c r="D7" s="12" t="str">
        <x:v>Delta, 19 aylık yeniden yapılandırmanın ardından iflastan çıktı</x:v>
      </x:c>
      <x:c r="E7" s="18" t="n">
        <x:v>-1</x:v>
      </x:c>
      <x:c r="F7" s="12" t="str">
        <x:v>negative</x:v>
      </x:c>
      <x:c r="G7" s="14" t="n">
        <x:v>0.5171211361885071</x:v>
      </x:c>
      <x:c r="H7" s="12" t="str">
        <x:v>positive</x:v>
      </x:c>
      <x:c r="I7" s="18" t="n">
        <x:f>IF(H7="positive",1,IF(H7="negative",-1,0))</x:f>
        <x:v>1</x:v>
      </x:c>
      <x:c r="J7" s="16" t="n">
        <x:v>0.82</x:v>
      </x:c>
      <x:c r="K7" s="12" t="str">
        <x:v>İflastan çıkış ve yeniden yapılandırmanın tamamlanması şirket için toparlanma sinyali.</x:v>
      </x:c>
      <x:c r="L7" s="12" t="str">
        <x:f>IF(F7=H7,"same","different")</x:f>
        <x:v>different</x:v>
      </x:c>
      <x:c r="M7" s="12" t="str">
        <x:f>IF(OR(L7="different",G7&lt;0.6,J7&lt;0.7),"review","")</x:f>
        <x:v>review</x:v>
      </x:c>
      <x:c r="N7" s="12" t="str">
        <x:v>FinBERT ile ayrışıyor; manuel kontrol öncelikli.</x:v>
      </x:c>
      <x:c r="O7" s="12" t="str">
        <x:v>REUTERS ANNOTATION BATCH 030</x:v>
      </x:c>
    </x:row>
    <x:row r="8" ht="36" customHeight="1">
      <x:c r="A8" s="12" t="str">
        <x:v>REUTERS_ANN_01457</x:v>
      </x:c>
      <x:c r="B8" s="12" t="str">
        <x:v>2007-04-12</x:v>
      </x:c>
      <x:c r="C8" s="12" t="str">
        <x:v>xm gets doj request for sirius merger information</x:v>
      </x:c>
      <x:c r="D8" s="12" t="str">
        <x:v>XM, Sirius birleşmesi için Adalet Bakanlığı'ndan bilgi talebi aldı</x:v>
      </x:c>
      <x:c r="E8" s="18" t="n">
        <x:v>1</x:v>
      </x:c>
      <x:c r="F8" s="12" t="str">
        <x:v>positive</x:v>
      </x:c>
      <x:c r="G8" s="14" t="n">
        <x:v>0.8859977126121521</x:v>
      </x:c>
      <x:c r="H8" s="12" t="str">
        <x:v>neutral</x:v>
      </x:c>
      <x:c r="I8" s="18" t="n">
        <x:f>IF(H8="positive",1,IF(H8="negative",-1,0))</x:f>
        <x:v>0</x:v>
      </x:c>
      <x:c r="J8" s="16" t="n">
        <x:v>0.64</x:v>
      </x:c>
      <x:c r="K8" s="12" t="str">
        <x:v>Düzenleyici bilgi talebi var; anlaşmanın reddi veya onayı başlıktan net değil.</x:v>
      </x:c>
      <x:c r="L8" s="12" t="str">
        <x:f>IF(F8=H8,"same","different")</x:f>
        <x:v>different</x:v>
      </x:c>
      <x:c r="M8" s="12" t="str">
        <x:f>IF(OR(L8="different",G8&lt;0.6,J8&lt;0.7),"review","")</x:f>
        <x:v>review</x:v>
      </x:c>
      <x:c r="N8" s="12" t="str">
        <x:v>FinBERT ile ayrışıyor; manuel kontrol öncelikli.</x:v>
      </x:c>
      <x:c r="O8" s="12" t="str">
        <x:v>REUTERS ANNOTATION BATCH 030</x:v>
      </x:c>
    </x:row>
    <x:row r="9" ht="36" customHeight="1">
      <x:c r="A9" s="12" t="str">
        <x:v>REUTERS_ANN_01458</x:v>
      </x:c>
      <x:c r="B9" s="12" t="str">
        <x:v>2006-10-25</x:v>
      </x:c>
      <x:c r="C9" s="12" t="str">
        <x:v>bt buys u.s. anti-hacking specialist counterpane</x:v>
      </x:c>
      <x:c r="D9" s="12" t="str">
        <x:v>BT, ABD'li siber güvenlik uzmanı Counterpane'i satın aldı</x:v>
      </x:c>
      <x:c r="E9" s="18" t="n">
        <x:v>1</x:v>
      </x:c>
      <x:c r="F9" s="12" t="str">
        <x:v>positive</x:v>
      </x:c>
      <x:c r="G9" s="14" t="n">
        <x:v>0.920695424079895</x:v>
      </x:c>
      <x:c r="H9" s="12" t="str">
        <x:v>positive</x:v>
      </x:c>
      <x:c r="I9" s="18" t="n">
        <x:f>IF(H9="positive",1,IF(H9="negative",-1,0))</x:f>
        <x:v>1</x:v>
      </x:c>
      <x:c r="J9" s="16" t="n">
        <x:v>0.78</x:v>
      </x:c>
      <x:c r="K9" s="12" t="str">
        <x:v>Stratejik satın alma ve güvenlik kapasitesini artırma şirket açısından olumlu yorumlanabilir.</x:v>
      </x:c>
      <x:c r="L9" s="12" t="str">
        <x:f>IF(F9=H9,"same","different")</x:f>
        <x:v>same</x:v>
      </x:c>
      <x:c r="M9" s="12" t="str">
        <x:f>IF(OR(L9="different",G9&lt;0.6,J9&lt;0.7),"review","")</x:f>
      </x:c>
      <x:c r="N9" s="12" t="str"/>
      <x:c r="O9" s="12" t="str">
        <x:v>REUTERS ANNOTATION BATCH 030</x:v>
      </x:c>
    </x:row>
    <x:row r="10" ht="36" customHeight="1">
      <x:c r="A10" s="12" t="str">
        <x:v>REUTERS_ANN_01459</x:v>
      </x:c>
      <x:c r="B10" s="12" t="str">
        <x:v>2007-02-23</x:v>
      </x:c>
      <x:c r="C10" s="12" t="str">
        <x:v>auto group expects higher fuels standards</x:v>
      </x:c>
      <x:c r="D10" s="12" t="str">
        <x:v>Otomotiv grubu daha yüksek yakıt standartları bekliyor</x:v>
      </x:c>
      <x:c r="E10" s="18" t="n">
        <x:v>1</x:v>
      </x:c>
      <x:c r="F10" s="12" t="str">
        <x:v>positive</x:v>
      </x:c>
      <x:c r="G10" s="14" t="n">
        <x:v>0.6638959050178528</x:v>
      </x:c>
      <x:c r="H10" s="12" t="str">
        <x:v>neutral</x:v>
      </x:c>
      <x:c r="I10" s="18" t="n">
        <x:f>IF(H10="positive",1,IF(H10="negative",-1,0))</x:f>
        <x:v>0</x:v>
      </x:c>
      <x:c r="J10" s="16" t="n">
        <x:v>0.65</x:v>
      </x:c>
      <x:c r="K10" s="12" t="str">
        <x:v>Beklenti/hazırlık bilgisi var; doğrudan finansal kazanç veya kayıp yok.</x:v>
      </x:c>
      <x:c r="L10" s="12" t="str">
        <x:f>IF(F10=H10,"same","different")</x:f>
        <x:v>different</x:v>
      </x:c>
      <x:c r="M10" s="12" t="str">
        <x:f>IF(OR(L10="different",G10&lt;0.6,J10&lt;0.7),"review","")</x:f>
        <x:v>review</x:v>
      </x:c>
      <x:c r="N10" s="12" t="str">
        <x:v>FinBERT ile ayrışıyor; manuel kontrol öncelikli.</x:v>
      </x:c>
      <x:c r="O10" s="12" t="str">
        <x:v>REUTERS ANNOTATION BATCH 030</x:v>
      </x:c>
    </x:row>
    <x:row r="11" ht="36" customHeight="1">
      <x:c r="A11" s="12" t="str">
        <x:v>REUTERS_ANN_01460</x:v>
      </x:c>
      <x:c r="B11" s="12" t="str">
        <x:v>2007-05-07</x:v>
      </x:c>
      <x:c r="C11" s="12" t="str">
        <x:v>news corp sells 7.5 pct stake in fairfax</x:v>
      </x:c>
      <x:c r="D11" s="12" t="str">
        <x:v>News Corp, Fairfax'taki yüzde 7,5 hissesini sattı</x:v>
      </x:c>
      <x:c r="E11" s="18" t="n">
        <x:v>0</x:v>
      </x:c>
      <x:c r="F11" s="12" t="str">
        <x:v>neutral</x:v>
      </x:c>
      <x:c r="G11" s="14" t="n">
        <x:v>0.9275096654891968</x:v>
      </x:c>
      <x:c r="H11" s="12" t="str">
        <x:v>neutral</x:v>
      </x:c>
      <x:c r="I11" s="18" t="n">
        <x:f>IF(H11="positive",1,IF(H11="negative",-1,0))</x:f>
        <x:v>0</x:v>
      </x:c>
      <x:c r="J11" s="16" t="n">
        <x:v>0.72</x:v>
      </x:c>
      <x:c r="K11" s="12" t="str">
        <x:v>Varlık satışı haberi; finansal etkisi başlıkta olumlu/olumsuz netleşmiyor.</x:v>
      </x:c>
      <x:c r="L11" s="12" t="str">
        <x:f>IF(F11=H11,"same","different")</x:f>
        <x:v>same</x:v>
      </x:c>
      <x:c r="M11" s="12" t="str">
        <x:f>IF(OR(L11="different",G11&lt;0.6,J11&lt;0.7),"review","")</x:f>
      </x:c>
      <x:c r="N11" s="12" t="str"/>
      <x:c r="O11" s="12" t="str">
        <x:v>REUTERS ANNOTATION BATCH 030</x:v>
      </x:c>
    </x:row>
    <x:row r="12" ht="36" customHeight="1">
      <x:c r="A12" s="12" t="str">
        <x:v>REUTERS_ANN_01461</x:v>
      </x:c>
      <x:c r="B12" s="12" t="str">
        <x:v>2007-02-10</x:v>
      </x:c>
      <x:c r="C12" s="12" t="str">
        <x:v>anti-globalization protesters march at essen g7</x:v>
      </x:c>
      <x:c r="D12" s="12" t="str">
        <x:v>Küreselleşme karşıtı protestocular Essen G7 toplantısında yürüdü</x:v>
      </x:c>
      <x:c r="E12" s="18" t="n">
        <x:v>0</x:v>
      </x:c>
      <x:c r="F12" s="12" t="str">
        <x:v>neutral</x:v>
      </x:c>
      <x:c r="G12" s="14" t="n">
        <x:v>0.6797812581062317</x:v>
      </x:c>
      <x:c r="H12" s="12" t="str">
        <x:v>neutral</x:v>
      </x:c>
      <x:c r="I12" s="18" t="n">
        <x:f>IF(H12="positive",1,IF(H12="negative",-1,0))</x:f>
        <x:v>0</x:v>
      </x:c>
      <x:c r="J12" s="16" t="n">
        <x:v>0.56</x:v>
      </x:c>
      <x:c r="K12" s="12" t="str">
        <x:v>Siyasi/sosyal olay; belirli şirket veya piyasa yönü net değil.</x:v>
      </x:c>
      <x:c r="L12" s="12" t="str">
        <x:f>IF(F12=H12,"same","different")</x:f>
        <x:v>same</x:v>
      </x:c>
      <x:c r="M12" s="12" t="str">
        <x:f>IF(OR(L12="different",G12&lt;0.6,J12&lt;0.7),"review","")</x:f>
        <x:v>review</x:v>
      </x:c>
      <x:c r="N12" s="12" t="str">
        <x:v>Güven düşük/orta; bağlama göre kontrol edilebilir.</x:v>
      </x:c>
      <x:c r="O12" s="12" t="str">
        <x:v>REUTERS ANNOTATION BATCH 030</x:v>
      </x:c>
    </x:row>
    <x:row r="13" ht="36" customHeight="1">
      <x:c r="A13" s="12" t="str">
        <x:v>REUTERS_ANN_01462</x:v>
      </x:c>
      <x:c r="B13" s="12" t="str">
        <x:v>2007-04-16</x:v>
      </x:c>
      <x:c r="C13" s="12" t="str">
        <x:v>global growth to cushion u.s. econ bloomberg</x:v>
      </x:c>
      <x:c r="D13" s="12" t="str">
        <x:v>Küresel büyüme ABD ekonomisini destekleyecek - Bloomberg</x:v>
      </x:c>
      <x:c r="E13" s="18" t="n">
        <x:v>0</x:v>
      </x:c>
      <x:c r="F13" s="12" t="str">
        <x:v>neutral</x:v>
      </x:c>
      <x:c r="G13" s="14" t="n">
        <x:v>0.5535469055175781</x:v>
      </x:c>
      <x:c r="H13" s="12" t="str">
        <x:v>positive</x:v>
      </x:c>
      <x:c r="I13" s="18" t="n">
        <x:f>IF(H13="positive",1,IF(H13="negative",-1,0))</x:f>
        <x:v>1</x:v>
      </x:c>
      <x:c r="J13" s="16" t="n">
        <x:v>0.77</x:v>
      </x:c>
      <x:c r="K13" s="12" t="str">
        <x:v>Küresel büyümenin ABD ekonomisini tamponlayacağı ifadesi makro açıdan olumlu.</x:v>
      </x:c>
      <x:c r="L13" s="12" t="str">
        <x:f>IF(F13=H13,"same","different")</x:f>
        <x:v>different</x:v>
      </x:c>
      <x:c r="M13" s="12" t="str">
        <x:f>IF(OR(L13="different",G13&lt;0.6,J13&lt;0.7),"review","")</x:f>
        <x:v>review</x:v>
      </x:c>
      <x:c r="N13" s="12" t="str">
        <x:v>FinBERT ile ayrışıyor; manuel kontrol öncelikli.</x:v>
      </x:c>
      <x:c r="O13" s="12" t="str">
        <x:v>REUTERS ANNOTATION BATCH 030</x:v>
      </x:c>
    </x:row>
    <x:row r="14" ht="36" customHeight="1">
      <x:c r="A14" s="12" t="str">
        <x:v>REUTERS_ANN_01463</x:v>
      </x:c>
      <x:c r="B14" s="12" t="str">
        <x:v>2006-12-15</x:v>
      </x:c>
      <x:c r="C14" s="12" t="str">
        <x:v>nintendo exchanges wii straps, recalls ds adapters</x:v>
      </x:c>
      <x:c r="D14" s="12" t="str">
        <x:v>Nintendo Wii kayışlarını değiştiriyor, DS adaptörlerini geri çağırıyor</x:v>
      </x:c>
      <x:c r="E14" s="18" t="n">
        <x:v>-1</x:v>
      </x:c>
      <x:c r="F14" s="12" t="str">
        <x:v>negative</x:v>
      </x:c>
      <x:c r="G14" s="14" t="n">
        <x:v>0.8887079954147339</x:v>
      </x:c>
      <x:c r="H14" s="12" t="str">
        <x:v>negative</x:v>
      </x:c>
      <x:c r="I14" s="18" t="n">
        <x:f>IF(H14="positive",1,IF(H14="negative",-1,0))</x:f>
        <x:v>-1</x:v>
      </x:c>
      <x:c r="J14" s="16" t="n">
        <x:v>0.89</x:v>
      </x:c>
      <x:c r="K14" s="12" t="str">
        <x:v>Ürün değişimi ve geri çağırma maliyet/risk doğurduğu için olumsuz.</x:v>
      </x:c>
      <x:c r="L14" s="12" t="str">
        <x:f>IF(F14=H14,"same","different")</x:f>
        <x:v>same</x:v>
      </x:c>
      <x:c r="M14" s="12" t="str">
        <x:f>IF(OR(L14="different",G14&lt;0.6,J14&lt;0.7),"review","")</x:f>
      </x:c>
      <x:c r="N14" s="12" t="str"/>
      <x:c r="O14" s="12" t="str">
        <x:v>REUTERS ANNOTATION BATCH 030</x:v>
      </x:c>
    </x:row>
    <x:row r="15" ht="36" customHeight="1">
      <x:c r="A15" s="12" t="str">
        <x:v>REUTERS_ANN_01464</x:v>
      </x:c>
      <x:c r="B15" s="12" t="str">
        <x:v>2006-11-30</x:v>
      </x:c>
      <x:c r="C15" s="12" t="str">
        <x:v>november retail sales rise, but growth slows</x:v>
      </x:c>
      <x:c r="D15" s="12" t="str">
        <x:v>Kasım perakende satışları arttı, ancak büyüme yavaşladı</x:v>
      </x:c>
      <x:c r="E15" s="18" t="n">
        <x:v>-1</x:v>
      </x:c>
      <x:c r="F15" s="12" t="str">
        <x:v>negative</x:v>
      </x:c>
      <x:c r="G15" s="14" t="n">
        <x:v>0.913899064064026</x:v>
      </x:c>
      <x:c r="H15" s="12" t="str">
        <x:v>neutral</x:v>
      </x:c>
      <x:c r="I15" s="18" t="n">
        <x:f>IF(H15="positive",1,IF(H15="negative",-1,0))</x:f>
        <x:v>0</x:v>
      </x:c>
      <x:c r="J15" s="16" t="n">
        <x:v>0.64</x:v>
      </x:c>
      <x:c r="K15" s="12" t="str">
        <x:v>Satış artışı olumlu, büyümenin yavaşlaması olumsuz; genel sinyal karışık.</x:v>
      </x:c>
      <x:c r="L15" s="12" t="str">
        <x:f>IF(F15=H15,"same","different")</x:f>
        <x:v>different</x:v>
      </x:c>
      <x:c r="M15" s="12" t="str">
        <x:f>IF(OR(L15="different",G15&lt;0.6,J15&lt;0.7),"review","")</x:f>
        <x:v>review</x:v>
      </x:c>
      <x:c r="N15" s="12" t="str">
        <x:v>FinBERT ile ayrışıyor; manuel kontrol öncelikli.</x:v>
      </x:c>
      <x:c r="O15" s="12" t="str">
        <x:v>REUTERS ANNOTATION BATCH 030</x:v>
      </x:c>
    </x:row>
    <x:row r="16" ht="36" customHeight="1">
      <x:c r="A16" s="12" t="str">
        <x:v>REUTERS_ANN_01465</x:v>
      </x:c>
      <x:c r="B16" s="12" t="str">
        <x:v>2007-04-17</x:v>
      </x:c>
      <x:c r="C16" s="12" t="str">
        <x:v>actavis, torrent seen top merck unit bidders paper</x:v>
      </x:c>
      <x:c r="D16" s="12" t="str">
        <x:v>Actavis ve Torrent, Merck birimi için önde gelen alıcı adayları olarak görülüyor</x:v>
      </x:c>
      <x:c r="E16" s="18" t="n">
        <x:v>-1</x:v>
      </x:c>
      <x:c r="F16" s="12" t="str">
        <x:v>negative</x:v>
      </x:c>
      <x:c r="G16" s="14" t="n">
        <x:v>0.8889409899711609</x:v>
      </x:c>
      <x:c r="H16" s="12" t="str">
        <x:v>neutral</x:v>
      </x:c>
      <x:c r="I16" s="18" t="n">
        <x:f>IF(H16="positive",1,IF(H16="negative",-1,0))</x:f>
        <x:v>0</x:v>
      </x:c>
      <x:c r="J16" s="16" t="n">
        <x:v>0.7</x:v>
      </x:c>
      <x:c r="K16" s="12" t="str">
        <x:v>Olası satın alma süreci var; kesin sonuç veya değer etkisi başlıktan net değil.</x:v>
      </x:c>
      <x:c r="L16" s="12" t="str">
        <x:f>IF(F16=H16,"same","different")</x:f>
        <x:v>different</x:v>
      </x:c>
      <x:c r="M16" s="12" t="str">
        <x:f>IF(OR(L16="different",G16&lt;0.6,J16&lt;0.7),"review","")</x:f>
        <x:v>review</x:v>
      </x:c>
      <x:c r="N16" s="12" t="str">
        <x:v>FinBERT ile ayrışıyor; manuel kontrol öncelikli.</x:v>
      </x:c>
      <x:c r="O16" s="12" t="str">
        <x:v>REUTERS ANNOTATION BATCH 030</x:v>
      </x:c>
    </x:row>
    <x:row r="17" ht="36" customHeight="1">
      <x:c r="A17" s="12" t="str">
        <x:v>REUTERS_ANN_01466</x:v>
      </x:c>
      <x:c r="B17" s="12" t="str">
        <x:v>2006-12-29</x:v>
      </x:c>
      <x:c r="C17" s="12" t="str">
        <x:v>exchanges mark fords death with january 2 close</x:v>
      </x:c>
      <x:c r="D17" s="12" t="str">
        <x:v>Borsalar Ford'un ölümü nedeniyle 2 Ocak'ta kapanacak</x:v>
      </x:c>
      <x:c r="E17" s="18" t="n">
        <x:v>-1</x:v>
      </x:c>
      <x:c r="F17" s="12" t="str">
        <x:v>negative</x:v>
      </x:c>
      <x:c r="G17" s="14" t="n">
        <x:v>0.866188108921051</x:v>
      </x:c>
      <x:c r="H17" s="12" t="str">
        <x:v>neutral</x:v>
      </x:c>
      <x:c r="I17" s="18" t="n">
        <x:f>IF(H17="positive",1,IF(H17="negative",-1,0))</x:f>
        <x:v>0</x:v>
      </x:c>
      <x:c r="J17" s="16" t="n">
        <x:v>0.8</x:v>
      </x:c>
      <x:c r="K17" s="12" t="str">
        <x:v>Anma amaçlı piyasa kapanışı; finansal performans sinyali değil.</x:v>
      </x:c>
      <x:c r="L17" s="12" t="str">
        <x:f>IF(F17=H17,"same","different")</x:f>
        <x:v>different</x:v>
      </x:c>
      <x:c r="M17" s="12" t="str">
        <x:f>IF(OR(L17="different",G17&lt;0.6,J17&lt;0.7),"review","")</x:f>
        <x:v>review</x:v>
      </x:c>
      <x:c r="N17" s="12" t="str">
        <x:v>FinBERT ile ayrışıyor; manuel kontrol öncelikli.</x:v>
      </x:c>
      <x:c r="O17" s="12" t="str">
        <x:v>REUTERS ANNOTATION BATCH 030</x:v>
      </x:c>
    </x:row>
    <x:row r="18" ht="36" customHeight="1">
      <x:c r="A18" s="12" t="str">
        <x:v>REUTERS_ANN_01467</x:v>
      </x:c>
      <x:c r="B18" s="12" t="str">
        <x:v>2007-03-08</x:v>
      </x:c>
      <x:c r="C18" s="12" t="str">
        <x:v>fbi to warn borrowers, lenders on mortgage fraud</x:v>
      </x:c>
      <x:c r="D18" s="12" t="str">
        <x:v>FBI, borçluları ve kredi verenleri mortgage dolandırıcılığı konusunda uyaracak</x:v>
      </x:c>
      <x:c r="E18" s="18" t="n">
        <x:v>0</x:v>
      </x:c>
      <x:c r="F18" s="12" t="str">
        <x:v>neutral</x:v>
      </x:c>
      <x:c r="G18" s="14" t="n">
        <x:v>0.7947378754615784</x:v>
      </x:c>
      <x:c r="H18" s="12" t="str">
        <x:v>negative</x:v>
      </x:c>
      <x:c r="I18" s="18" t="n">
        <x:f>IF(H18="positive",1,IF(H18="negative",-1,0))</x:f>
        <x:v>-1</x:v>
      </x:c>
      <x:c r="J18" s="16" t="n">
        <x:v>0.78</x:v>
      </x:c>
      <x:c r="K18" s="12" t="str">
        <x:v>Mortgage dolandırıcılığı riski ve uyarısı finansal sektör açısından olumsuz risk işareti.</x:v>
      </x:c>
      <x:c r="L18" s="12" t="str">
        <x:f>IF(F18=H18,"same","different")</x:f>
        <x:v>different</x:v>
      </x:c>
      <x:c r="M18" s="12" t="str">
        <x:f>IF(OR(L18="different",G18&lt;0.6,J18&lt;0.7),"review","")</x:f>
        <x:v>review</x:v>
      </x:c>
      <x:c r="N18" s="12" t="str">
        <x:v>FinBERT ile ayrışıyor; manuel kontrol öncelikli.</x:v>
      </x:c>
      <x:c r="O18" s="12" t="str">
        <x:v>REUTERS ANNOTATION BATCH 030</x:v>
      </x:c>
    </x:row>
    <x:row r="19" ht="36" customHeight="1">
      <x:c r="A19" s="12" t="str">
        <x:v>REUTERS_ANN_01468</x:v>
      </x:c>
      <x:c r="B19" s="12" t="str">
        <x:v>2007-03-07</x:v>
      </x:c>
      <x:c r="C19" s="12" t="str">
        <x:v>vivendi 2006 net adjusted profit meets target</x:v>
      </x:c>
      <x:c r="D19" s="12" t="str">
        <x:v>Vivendi'nin 2006 düzeltilmiş net kârı hedefi karşıladı</x:v>
      </x:c>
      <x:c r="E19" s="18" t="n">
        <x:v>1</x:v>
      </x:c>
      <x:c r="F19" s="12" t="str">
        <x:v>positive</x:v>
      </x:c>
      <x:c r="G19" s="14" t="n">
        <x:v>0.9505134224891664</x:v>
      </x:c>
      <x:c r="H19" s="12" t="str">
        <x:v>positive</x:v>
      </x:c>
      <x:c r="I19" s="18" t="n">
        <x:f>IF(H19="positive",1,IF(H19="negative",-1,0))</x:f>
        <x:v>1</x:v>
      </x:c>
      <x:c r="J19" s="16" t="n">
        <x:v>0.82</x:v>
      </x:c>
      <x:c r="K19" s="12" t="str">
        <x:v>Kârın hedefi karşılaması şirket performansı açısından olumlu.</x:v>
      </x:c>
      <x:c r="L19" s="12" t="str">
        <x:f>IF(F19=H19,"same","different")</x:f>
        <x:v>same</x:v>
      </x:c>
      <x:c r="M19" s="12" t="str">
        <x:f>IF(OR(L19="different",G19&lt;0.6,J19&lt;0.7),"review","")</x:f>
      </x:c>
      <x:c r="N19" s="12" t="str"/>
      <x:c r="O19" s="12" t="str">
        <x:v>REUTERS ANNOTATION BATCH 030</x:v>
      </x:c>
    </x:row>
    <x:row r="20" ht="36" customHeight="1">
      <x:c r="A20" s="12" t="str">
        <x:v>REUTERS_ANN_01469</x:v>
      </x:c>
      <x:c r="B20" s="12" t="str">
        <x:v>2007-02-22</x:v>
      </x:c>
      <x:c r="C20" s="12" t="str">
        <x:v>gold miner newmonts quarterly profit soars</x:v>
      </x:c>
      <x:c r="D20" s="12" t="str">
        <x:v>Altın madencisi Newmont'un çeyreklik kârı sıçradı</x:v>
      </x:c>
      <x:c r="E20" s="18" t="n">
        <x:v>-1</x:v>
      </x:c>
      <x:c r="F20" s="12" t="str">
        <x:v>negative</x:v>
      </x:c>
      <x:c r="G20" s="14" t="n">
        <x:v>0.975418984889984</x:v>
      </x:c>
      <x:c r="H20" s="12" t="str">
        <x:v>positive</x:v>
      </x:c>
      <x:c r="I20" s="18" t="n">
        <x:f>IF(H20="positive",1,IF(H20="negative",-1,0))</x:f>
        <x:v>1</x:v>
      </x:c>
      <x:c r="J20" s="16" t="n">
        <x:v>0.95</x:v>
      </x:c>
      <x:c r="K20" s="12" t="str">
        <x:v>Kârın güçlü biçimde artması açık olumlu sinyal.</x:v>
      </x:c>
      <x:c r="L20" s="12" t="str">
        <x:f>IF(F20=H20,"same","different")</x:f>
        <x:v>different</x:v>
      </x:c>
      <x:c r="M20" s="12" t="str">
        <x:f>IF(OR(L20="different",G20&lt;0.6,J20&lt;0.7),"review","")</x:f>
        <x:v>review</x:v>
      </x:c>
      <x:c r="N20" s="12" t="str">
        <x:v>FinBERT ile ayrışıyor; manuel kontrol öncelikli.</x:v>
      </x:c>
      <x:c r="O20" s="12" t="str">
        <x:v>REUTERS ANNOTATION BATCH 030</x:v>
      </x:c>
    </x:row>
    <x:row r="21" ht="36" customHeight="1">
      <x:c r="A21" s="12" t="str">
        <x:v>REUTERS_ANN_01470</x:v>
      </x:c>
      <x:c r="B21" s="12" t="str">
        <x:v>2007-04-03</x:v>
      </x:c>
      <x:c r="C21" s="12" t="str">
        <x:v>eu says record firms force itunes to limit access</x:v>
      </x:c>
      <x:c r="D21" s="12" t="str">
        <x:v>AB, plak şirketlerinin iTunes erişimini sınırlamaya zorladığını söylüyor</x:v>
      </x:c>
      <x:c r="E21" s="18" t="n">
        <x:v>-1</x:v>
      </x:c>
      <x:c r="F21" s="12" t="str">
        <x:v>negative</x:v>
      </x:c>
      <x:c r="G21" s="14" t="n">
        <x:v>0.9571934342384338</x:v>
      </x:c>
      <x:c r="H21" s="12" t="str">
        <x:v>negative</x:v>
      </x:c>
      <x:c r="I21" s="18" t="n">
        <x:f>IF(H21="positive",1,IF(H21="negative",-1,0))</x:f>
        <x:v>-1</x:v>
      </x:c>
      <x:c r="J21" s="16" t="n">
        <x:v>0.8</x:v>
      </x:c>
      <x:c r="K21" s="12" t="str">
        <x:v>Rekabet/düzenleyici sorun ve erişim kısıtlaması riski olumsuz.</x:v>
      </x:c>
      <x:c r="L21" s="12" t="str">
        <x:f>IF(F21=H21,"same","different")</x:f>
        <x:v>same</x:v>
      </x:c>
      <x:c r="M21" s="12" t="str">
        <x:f>IF(OR(L21="different",G21&lt;0.6,J21&lt;0.7),"review","")</x:f>
      </x:c>
      <x:c r="N21" s="12" t="str"/>
      <x:c r="O21" s="12" t="str">
        <x:v>REUTERS ANNOTATION BATCH 030</x:v>
      </x:c>
    </x:row>
    <x:row r="22" ht="36" customHeight="1">
      <x:c r="A22" s="12" t="str">
        <x:v>REUTERS_ANN_01471</x:v>
      </x:c>
      <x:c r="B22" s="12" t="str">
        <x:v>2007-03-27</x:v>
      </x:c>
      <x:c r="C22" s="12" t="str">
        <x:v>accenture beats profit estimates, raises forecast</x:v>
      </x:c>
      <x:c r="D22" s="12" t="str">
        <x:v>Accenture kâr beklentilerini aştı ve tahminini yükseltti</x:v>
      </x:c>
      <x:c r="E22" s="18" t="n">
        <x:v>1</x:v>
      </x:c>
      <x:c r="F22" s="12" t="str">
        <x:v>positive</x:v>
      </x:c>
      <x:c r="G22" s="14" t="n">
        <x:v>0.9532243609428406</x:v>
      </x:c>
      <x:c r="H22" s="12" t="str">
        <x:v>positive</x:v>
      </x:c>
      <x:c r="I22" s="18" t="n">
        <x:f>IF(H22="positive",1,IF(H22="negative",-1,0))</x:f>
        <x:v>1</x:v>
      </x:c>
      <x:c r="J22" s="16" t="n">
        <x:v>0.96</x:v>
      </x:c>
      <x:c r="K22" s="12" t="str">
        <x:v>Beklentileri aşma ve tahmin yükseltme güçlü olumlu sinyal.</x:v>
      </x:c>
      <x:c r="L22" s="12" t="str">
        <x:f>IF(F22=H22,"same","different")</x:f>
        <x:v>same</x:v>
      </x:c>
      <x:c r="M22" s="12" t="str">
        <x:f>IF(OR(L22="different",G22&lt;0.6,J22&lt;0.7),"review","")</x:f>
      </x:c>
      <x:c r="N22" s="12" t="str"/>
      <x:c r="O22" s="12" t="str">
        <x:v>REUTERS ANNOTATION BATCH 030</x:v>
      </x:c>
    </x:row>
    <x:row r="23" ht="36" customHeight="1">
      <x:c r="A23" s="12" t="str">
        <x:v>REUTERS_ANN_01472</x:v>
      </x:c>
      <x:c r="B23" s="12" t="str">
        <x:v>2007-04-25</x:v>
      </x:c>
      <x:c r="C23" s="12" t="str">
        <x:v>boeing, defense firms raise profit</x:v>
      </x:c>
      <x:c r="D23" s="12" t="str">
        <x:v>Boeing ve savunma şirketleri kâr tahminlerini yükseltti</x:v>
      </x:c>
      <x:c r="E23" s="18" t="n">
        <x:v>1</x:v>
      </x:c>
      <x:c r="F23" s="12" t="str">
        <x:v>positive</x:v>
      </x:c>
      <x:c r="G23" s="14" t="n">
        <x:v>0.9331251978874208</x:v>
      </x:c>
      <x:c r="H23" s="12" t="str">
        <x:v>positive</x:v>
      </x:c>
      <x:c r="I23" s="18" t="n">
        <x:f>IF(H23="positive",1,IF(H23="negative",-1,0))</x:f>
        <x:v>1</x:v>
      </x:c>
      <x:c r="J23" s="16" t="n">
        <x:v>0.93</x:v>
      </x:c>
      <x:c r="K23" s="12" t="str">
        <x:v>Kâr beklentilerinin yukarı çekilmesi olumlu.</x:v>
      </x:c>
      <x:c r="L23" s="12" t="str">
        <x:f>IF(F23=H23,"same","different")</x:f>
        <x:v>same</x:v>
      </x:c>
      <x:c r="M23" s="12" t="str">
        <x:f>IF(OR(L23="different",G23&lt;0.6,J23&lt;0.7),"review","")</x:f>
      </x:c>
      <x:c r="N23" s="12" t="str"/>
      <x:c r="O23" s="12" t="str">
        <x:v>REUTERS ANNOTATION BATCH 030</x:v>
      </x:c>
    </x:row>
    <x:row r="24" ht="36" customHeight="1">
      <x:c r="A24" s="12" t="str">
        <x:v>REUTERS_ANN_01473</x:v>
      </x:c>
      <x:c r="B24" s="12" t="str">
        <x:v>2007-04-17</x:v>
      </x:c>
      <x:c r="C24" s="12" t="str">
        <x:v>u.s. urges lenders to help distressed homeowners</x:v>
      </x:c>
      <x:c r="D24" s="12" t="str">
        <x:v>ABD, kredi verenleri sıkıntıdaki ev sahiplerine yardım etmeye çağırdı</x:v>
      </x:c>
      <x:c r="E24" s="18" t="n">
        <x:v>1</x:v>
      </x:c>
      <x:c r="F24" s="12" t="str">
        <x:v>positive</x:v>
      </x:c>
      <x:c r="G24" s="14" t="n">
        <x:v>0.6138911843299866</x:v>
      </x:c>
      <x:c r="H24" s="12" t="str">
        <x:v>neutral</x:v>
      </x:c>
      <x:c r="I24" s="18" t="n">
        <x:f>IF(H24="positive",1,IF(H24="negative",-1,0))</x:f>
        <x:v>0</x:v>
      </x:c>
      <x:c r="J24" s="16" t="n">
        <x:v>0.6</x:v>
      </x:c>
      <x:c r="K24" s="12" t="str">
        <x:v>Arka planda sorun var ama haber politika çağrısı niteliğinde; net piyasa yönü karışık.</x:v>
      </x:c>
      <x:c r="L24" s="12" t="str">
        <x:f>IF(F24=H24,"same","different")</x:f>
        <x:v>different</x:v>
      </x:c>
      <x:c r="M24" s="12" t="str">
        <x:f>IF(OR(L24="different",G24&lt;0.6,J24&lt;0.7),"review","")</x:f>
        <x:v>review</x:v>
      </x:c>
      <x:c r="N24" s="12" t="str">
        <x:v>FinBERT ile ayrışıyor; manuel kontrol öncelikli.</x:v>
      </x:c>
      <x:c r="O24" s="12" t="str">
        <x:v>REUTERS ANNOTATION BATCH 030</x:v>
      </x:c>
    </x:row>
    <x:row r="25" ht="36" customHeight="1">
      <x:c r="A25" s="12" t="str">
        <x:v>REUTERS_ANN_01474</x:v>
      </x:c>
      <x:c r="B25" s="12" t="str">
        <x:v>2007-01-09</x:v>
      </x:c>
      <x:c r="C25" s="12" t="str">
        <x:v>home builders horton, meritage post lower sales</x:v>
      </x:c>
      <x:c r="D25" s="12" t="str">
        <x:v>Ev inşaatçıları Horton ve Meritage daha düşük satış açıkladı</x:v>
      </x:c>
      <x:c r="E25" s="18" t="n">
        <x:v>-1</x:v>
      </x:c>
      <x:c r="F25" s="12" t="str">
        <x:v>negative</x:v>
      </x:c>
      <x:c r="G25" s="14" t="n">
        <x:v>0.9768582582473756</x:v>
      </x:c>
      <x:c r="H25" s="12" t="str">
        <x:v>negative</x:v>
      </x:c>
      <x:c r="I25" s="18" t="n">
        <x:f>IF(H25="positive",1,IF(H25="negative",-1,0))</x:f>
        <x:v>-1</x:v>
      </x:c>
      <x:c r="J25" s="16" t="n">
        <x:v>0.96</x:v>
      </x:c>
      <x:c r="K25" s="12" t="str">
        <x:v>Satışların düşmesi sektör/şirket açısından açık olumsuz.</x:v>
      </x:c>
      <x:c r="L25" s="12" t="str">
        <x:f>IF(F25=H25,"same","different")</x:f>
        <x:v>same</x:v>
      </x:c>
      <x:c r="M25" s="12" t="str">
        <x:f>IF(OR(L25="different",G25&lt;0.6,J25&lt;0.7),"review","")</x:f>
      </x:c>
      <x:c r="N25" s="12" t="str"/>
      <x:c r="O25" s="12" t="str">
        <x:v>REUTERS ANNOTATION BATCH 030</x:v>
      </x:c>
    </x:row>
    <x:row r="26" ht="36" customHeight="1">
      <x:c r="A26" s="12" t="str">
        <x:v>REUTERS_ANN_01475</x:v>
      </x:c>
      <x:c r="B26" s="12" t="str">
        <x:v>2006-11-10</x:v>
      </x:c>
      <x:c r="C26" s="12" t="str">
        <x:v>feds bernanke money supply unstable forecaster</x:v>
      </x:c>
      <x:c r="D26" s="12" t="str">
        <x:v>Fed Başkanı Bernanke: para arzı istikrarsız bir tahmin göstergesi</x:v>
      </x:c>
      <x:c r="E26" s="18" t="n">
        <x:v>0</x:v>
      </x:c>
      <x:c r="F26" s="12" t="str">
        <x:v>neutral</x:v>
      </x:c>
      <x:c r="G26" s="14" t="n">
        <x:v>0.4921736717224121</x:v>
      </x:c>
      <x:c r="H26" s="12" t="str">
        <x:v>neutral</x:v>
      </x:c>
      <x:c r="I26" s="18" t="n">
        <x:f>IF(H26="positive",1,IF(H26="negative",-1,0))</x:f>
        <x:v>0</x:v>
      </x:c>
      <x:c r="J26" s="16" t="n">
        <x:v>0.62</x:v>
      </x:c>
      <x:c r="K26" s="12" t="str">
        <x:v>Teknik para politikası yorumu; doğrudan olumlu/olumsuz finansal sonuç yok.</x:v>
      </x:c>
      <x:c r="L26" s="12" t="str">
        <x:f>IF(F26=H26,"same","different")</x:f>
        <x:v>same</x:v>
      </x:c>
      <x:c r="M26" s="12" t="str">
        <x:f>IF(OR(L26="different",G26&lt;0.6,J26&lt;0.7),"review","")</x:f>
        <x:v>review</x:v>
      </x:c>
      <x:c r="N26" s="12" t="str">
        <x:v>Güven düşük/orta; bağlama göre kontrol edilebilir.</x:v>
      </x:c>
      <x:c r="O26" s="12" t="str">
        <x:v>REUTERS ANNOTATION BATCH 030</x:v>
      </x:c>
    </x:row>
    <x:row r="27" ht="36" customHeight="1">
      <x:c r="A27" s="12" t="str">
        <x:v>REUTERS_ANN_01476</x:v>
      </x:c>
      <x:c r="B27" s="12" t="str">
        <x:v>2007-02-06</x:v>
      </x:c>
      <x:c r="C27" s="12" t="str">
        <x:v>former westar ceo sentenced in bank fraud case</x:v>
      </x:c>
      <x:c r="D27" s="12" t="str">
        <x:v>Eski Westar CEO'su banka dolandırıcılığı davasında ceza aldı</x:v>
      </x:c>
      <x:c r="E27" s="18" t="n">
        <x:v>-1</x:v>
      </x:c>
      <x:c r="F27" s="12" t="str">
        <x:v>negative</x:v>
      </x:c>
      <x:c r="G27" s="14" t="n">
        <x:v>0.6937752962112427</x:v>
      </x:c>
      <x:c r="H27" s="12" t="str">
        <x:v>negative</x:v>
      </x:c>
      <x:c r="I27" s="18" t="n">
        <x:f>IF(H27="positive",1,IF(H27="negative",-1,0))</x:f>
        <x:v>-1</x:v>
      </x:c>
      <x:c r="J27" s="16" t="n">
        <x:v>0.9</x:v>
      </x:c>
      <x:c r="K27" s="12" t="str">
        <x:v>Dolandırıcılık ve ceza haberi kurumsal itibar/hukuki risk açısından olumsuz.</x:v>
      </x:c>
      <x:c r="L27" s="12" t="str">
        <x:f>IF(F27=H27,"same","different")</x:f>
        <x:v>same</x:v>
      </x:c>
      <x:c r="M27" s="12" t="str">
        <x:f>IF(OR(L27="different",G27&lt;0.6,J27&lt;0.7),"review","")</x:f>
      </x:c>
      <x:c r="N27" s="12" t="str"/>
      <x:c r="O27" s="12" t="str">
        <x:v>REUTERS ANNOTATION BATCH 030</x:v>
      </x:c>
    </x:row>
    <x:row r="28" ht="36" customHeight="1">
      <x:c r="A28" s="12" t="str">
        <x:v>REUTERS_ANN_01477</x:v>
      </x:c>
      <x:c r="B28" s="12" t="str">
        <x:v>2007-04-02</x:v>
      </x:c>
      <x:c r="C28" s="12" t="str">
        <x:v>new century somber as fired employees head home</x:v>
      </x:c>
      <x:c r="D28" s="12" t="str">
        <x:v>New Century'de işten çıkarılan çalışanlar evlerine dönerken hava kasvetli</x:v>
      </x:c>
      <x:c r="E28" s="18" t="n">
        <x:v>0</x:v>
      </x:c>
      <x:c r="F28" s="12" t="str">
        <x:v>neutral</x:v>
      </x:c>
      <x:c r="G28" s="14" t="n">
        <x:v>0.6036406755447388</x:v>
      </x:c>
      <x:c r="H28" s="12" t="str">
        <x:v>negative</x:v>
      </x:c>
      <x:c r="I28" s="18" t="n">
        <x:f>IF(H28="positive",1,IF(H28="negative",-1,0))</x:f>
        <x:v>-1</x:v>
      </x:c>
      <x:c r="J28" s="16" t="n">
        <x:v>0.94</x:v>
      </x:c>
      <x:c r="K28" s="12" t="str">
        <x:v>İşten çıkarmalar ve kriz havası şirket/sektör açısından olumsuz.</x:v>
      </x:c>
      <x:c r="L28" s="12" t="str">
        <x:f>IF(F28=H28,"same","different")</x:f>
        <x:v>different</x:v>
      </x:c>
      <x:c r="M28" s="12" t="str">
        <x:f>IF(OR(L28="different",G28&lt;0.6,J28&lt;0.7),"review","")</x:f>
        <x:v>review</x:v>
      </x:c>
      <x:c r="N28" s="12" t="str">
        <x:v>FinBERT ile ayrışıyor; manuel kontrol öncelikli.</x:v>
      </x:c>
      <x:c r="O28" s="12" t="str">
        <x:v>REUTERS ANNOTATION BATCH 030</x:v>
      </x:c>
    </x:row>
    <x:row r="29" ht="36" customHeight="1">
      <x:c r="A29" s="12" t="str">
        <x:v>REUTERS_ANN_01478</x:v>
      </x:c>
      <x:c r="B29" s="12" t="str">
        <x:v>2006-11-01</x:v>
      </x:c>
      <x:c r="C29" s="12" t="str">
        <x:v>apple pushes oricon to quit pc music downloads</x:v>
      </x:c>
      <x:c r="D29" s="12" t="str">
        <x:v>Apple, Oricon'u PC müzik indirmelerini bırakmaya zorluyor</x:v>
      </x:c>
      <x:c r="E29" s="18" t="n">
        <x:v>-1</x:v>
      </x:c>
      <x:c r="F29" s="12" t="str">
        <x:v>negative</x:v>
      </x:c>
      <x:c r="G29" s="14" t="n">
        <x:v>0.6376960277557373</x:v>
      </x:c>
      <x:c r="H29" s="12" t="str">
        <x:v>negative</x:v>
      </x:c>
      <x:c r="I29" s="18" t="n">
        <x:f>IF(H29="positive",1,IF(H29="negative",-1,0))</x:f>
        <x:v>-1</x:v>
      </x:c>
      <x:c r="J29" s="16" t="n">
        <x:v>0.68</x:v>
      </x:c>
      <x:c r="K29" s="12" t="str">
        <x:v>Bir şirketin hizmetten çekilmesi ve rekabet baskısı olumsuz sinyal taşıyor.</x:v>
      </x:c>
      <x:c r="L29" s="12" t="str">
        <x:f>IF(F29=H29,"same","different")</x:f>
        <x:v>same</x:v>
      </x:c>
      <x:c r="M29" s="12" t="str">
        <x:f>IF(OR(L29="different",G29&lt;0.6,J29&lt;0.7),"review","")</x:f>
        <x:v>review</x:v>
      </x:c>
      <x:c r="N29" s="12" t="str">
        <x:v>Güven düşük/orta; bağlama göre kontrol edilebilir.</x:v>
      </x:c>
      <x:c r="O29" s="12" t="str">
        <x:v>REUTERS ANNOTATION BATCH 030</x:v>
      </x:c>
    </x:row>
    <x:row r="30" ht="36" customHeight="1">
      <x:c r="A30" s="12" t="str">
        <x:v>REUTERS_ANN_01479</x:v>
      </x:c>
      <x:c r="B30" s="12" t="str">
        <x:v>2006-12-22</x:v>
      </x:c>
      <x:c r="C30" s="12" t="str">
        <x:v>so cal ed signs biggest u.s. wind contract</x:v>
      </x:c>
      <x:c r="D30" s="12" t="str">
        <x:v>Southern California Edison, ABD'nin en büyük rüzgâr enerjisi sözleşmesini imzaladı</x:v>
      </x:c>
      <x:c r="E30" s="18" t="n">
        <x:v>1</x:v>
      </x:c>
      <x:c r="F30" s="12" t="str">
        <x:v>positive</x:v>
      </x:c>
      <x:c r="G30" s="14" t="n">
        <x:v>0.8916008472442627</x:v>
      </x:c>
      <x:c r="H30" s="12" t="str">
        <x:v>positive</x:v>
      </x:c>
      <x:c r="I30" s="18" t="n">
        <x:f>IF(H30="positive",1,IF(H30="negative",-1,0))</x:f>
        <x:v>1</x:v>
      </x:c>
      <x:c r="J30" s="16" t="n">
        <x:v>0.85</x:v>
      </x:c>
      <x:c r="K30" s="12" t="str">
        <x:v>Büyük ölçekli enerji sözleşmesi ve yenilenebilir kapasite açısından olumlu.</x:v>
      </x:c>
      <x:c r="L30" s="12" t="str">
        <x:f>IF(F30=H30,"same","different")</x:f>
        <x:v>same</x:v>
      </x:c>
      <x:c r="M30" s="12" t="str">
        <x:f>IF(OR(L30="different",G30&lt;0.6,J30&lt;0.7),"review","")</x:f>
      </x:c>
      <x:c r="N30" s="12" t="str"/>
      <x:c r="O30" s="12" t="str">
        <x:v>REUTERS ANNOTATION BATCH 030</x:v>
      </x:c>
    </x:row>
    <x:row r="31" ht="36" customHeight="1">
      <x:c r="A31" s="12" t="str">
        <x:v>REUTERS_ANN_01480</x:v>
      </x:c>
      <x:c r="B31" s="12" t="str">
        <x:v>2006-12-20</x:v>
      </x:c>
      <x:c r="C31" s="12" t="str">
        <x:v>australia regulator approves suncorp-promina merger</x:v>
      </x:c>
      <x:c r="D31" s="12" t="str">
        <x:v>Avustralya düzenleyicisi Suncorp-Promina birleşmesini onayladı</x:v>
      </x:c>
      <x:c r="E31" s="18" t="n">
        <x:v>1</x:v>
      </x:c>
      <x:c r="F31" s="12" t="str">
        <x:v>positive</x:v>
      </x:c>
      <x:c r="G31" s="14" t="n">
        <x:v>0.73112553358078</x:v>
      </x:c>
      <x:c r="H31" s="12" t="str">
        <x:v>positive</x:v>
      </x:c>
      <x:c r="I31" s="18" t="n">
        <x:f>IF(H31="positive",1,IF(H31="negative",-1,0))</x:f>
        <x:v>1</x:v>
      </x:c>
      <x:c r="J31" s="16" t="n">
        <x:v>0.78</x:v>
      </x:c>
      <x:c r="K31" s="12" t="str">
        <x:v>Birleşme için düzenleyici onay alınması anlaşmanın ilerlemesi açısından olumlu.</x:v>
      </x:c>
      <x:c r="L31" s="12" t="str">
        <x:f>IF(F31=H31,"same","different")</x:f>
        <x:v>same</x:v>
      </x:c>
      <x:c r="M31" s="12" t="str">
        <x:f>IF(OR(L31="different",G31&lt;0.6,J31&lt;0.7),"review","")</x:f>
      </x:c>
      <x:c r="N31" s="12" t="str"/>
      <x:c r="O31" s="12" t="str">
        <x:v>REUTERS ANNOTATION BATCH 030</x:v>
      </x:c>
    </x:row>
    <x:row r="32" ht="36" customHeight="1">
      <x:c r="A32" s="12" t="str">
        <x:v>REUTERS_ANN_01481</x:v>
      </x:c>
      <x:c r="B32" s="12" t="str">
        <x:v>2006-11-21</x:v>
      </x:c>
      <x:c r="C32" s="12" t="str">
        <x:v>microsoft to face challenge over linux licenses</x:v>
      </x:c>
      <x:c r="D32" s="12" t="str">
        <x:v>Microsoft, Linux lisansları konusunda meydan okumayla karşılaşacak</x:v>
      </x:c>
      <x:c r="E32" s="18" t="n">
        <x:v>1</x:v>
      </x:c>
      <x:c r="F32" s="12" t="str">
        <x:v>positive</x:v>
      </x:c>
      <x:c r="G32" s="14" t="n">
        <x:v>0.8993197083473206</x:v>
      </x:c>
      <x:c r="H32" s="12" t="str">
        <x:v>negative</x:v>
      </x:c>
      <x:c r="I32" s="18" t="n">
        <x:f>IF(H32="positive",1,IF(H32="negative",-1,0))</x:f>
        <x:v>-1</x:v>
      </x:c>
      <x:c r="J32" s="16" t="n">
        <x:v>0.76</x:v>
      </x:c>
      <x:c r="K32" s="12" t="str">
        <x:v>Lisanslar üzerinde itiraz/rekabet baskısı olumsuz risk yaratıyor.</x:v>
      </x:c>
      <x:c r="L32" s="12" t="str">
        <x:f>IF(F32=H32,"same","different")</x:f>
        <x:v>different</x:v>
      </x:c>
      <x:c r="M32" s="12" t="str">
        <x:f>IF(OR(L32="different",G32&lt;0.6,J32&lt;0.7),"review","")</x:f>
        <x:v>review</x:v>
      </x:c>
      <x:c r="N32" s="12" t="str">
        <x:v>FinBERT ile ayrışıyor; manuel kontrol öncelikli.</x:v>
      </x:c>
      <x:c r="O32" s="12" t="str">
        <x:v>REUTERS ANNOTATION BATCH 030</x:v>
      </x:c>
    </x:row>
    <x:row r="33" ht="36" customHeight="1">
      <x:c r="A33" s="12" t="str">
        <x:v>REUTERS_ANN_01482</x:v>
      </x:c>
      <x:c r="B33" s="12" t="str">
        <x:v>2006-11-02</x:v>
      </x:c>
      <x:c r="C33" s="12" t="str">
        <x:v>jobless claims rise 18,000 in latest week</x:v>
      </x:c>
      <x:c r="D33" s="12" t="str">
        <x:v>Haftalık işsizlik başvuruları 18.000 arttı</x:v>
      </x:c>
      <x:c r="E33" s="18" t="n">
        <x:v>1</x:v>
      </x:c>
      <x:c r="F33" s="12" t="str">
        <x:v>positive</x:v>
      </x:c>
      <x:c r="G33" s="14" t="n">
        <x:v>0.5759499669075012</x:v>
      </x:c>
      <x:c r="H33" s="12" t="str">
        <x:v>negative</x:v>
      </x:c>
      <x:c r="I33" s="18" t="n">
        <x:f>IF(H33="positive",1,IF(H33="negative",-1,0))</x:f>
        <x:v>-1</x:v>
      </x:c>
      <x:c r="J33" s="16" t="n">
        <x:v>0.83</x:v>
      </x:c>
      <x:c r="K33" s="12" t="str">
        <x:v>İşsizlik başvurularındaki artış makroekonomik açıdan olumsuz.</x:v>
      </x:c>
      <x:c r="L33" s="12" t="str">
        <x:f>IF(F33=H33,"same","different")</x:f>
        <x:v>different</x:v>
      </x:c>
      <x:c r="M33" s="12" t="str">
        <x:f>IF(OR(L33="different",G33&lt;0.6,J33&lt;0.7),"review","")</x:f>
        <x:v>review</x:v>
      </x:c>
      <x:c r="N33" s="12" t="str">
        <x:v>FinBERT ile ayrışıyor; manuel kontrol öncelikli.</x:v>
      </x:c>
      <x:c r="O33" s="12" t="str">
        <x:v>REUTERS ANNOTATION BATCH 030</x:v>
      </x:c>
    </x:row>
    <x:row r="34" ht="36" customHeight="1">
      <x:c r="A34" s="12" t="str">
        <x:v>REUTERS_ANN_01483</x:v>
      </x:c>
      <x:c r="B34" s="12" t="str">
        <x:v>2007-05-02</x:v>
      </x:c>
      <x:c r="C34" s="12" t="str">
        <x:v>home depot, wal-mart roll out smaller stores</x:v>
      </x:c>
      <x:c r="D34" s="12" t="str">
        <x:v>Home Depot ve Wal-Mart daha küçük mağazaları piyasaya sürüyor</x:v>
      </x:c>
      <x:c r="E34" s="18" t="n">
        <x:v>0</x:v>
      </x:c>
      <x:c r="F34" s="12" t="str">
        <x:v>neutral</x:v>
      </x:c>
      <x:c r="G34" s="14" t="n">
        <x:v>0.8090508580207825</x:v>
      </x:c>
      <x:c r="H34" s="12" t="str">
        <x:v>neutral</x:v>
      </x:c>
      <x:c r="I34" s="18" t="n">
        <x:f>IF(H34="positive",1,IF(H34="negative",-1,0))</x:f>
        <x:v>0</x:v>
      </x:c>
      <x:c r="J34" s="16" t="n">
        <x:v>0.65</x:v>
      </x:c>
      <x:c r="K34" s="12" t="str">
        <x:v>Strateji/format değişikliği var; finansal etkisi başlıktan net değil.</x:v>
      </x:c>
      <x:c r="L34" s="12" t="str">
        <x:f>IF(F34=H34,"same","different")</x:f>
        <x:v>same</x:v>
      </x:c>
      <x:c r="M34" s="12" t="str">
        <x:f>IF(OR(L34="different",G34&lt;0.6,J34&lt;0.7),"review","")</x:f>
        <x:v>review</x:v>
      </x:c>
      <x:c r="N34" s="12" t="str">
        <x:v>Güven düşük/orta; bağlama göre kontrol edilebilir.</x:v>
      </x:c>
      <x:c r="O34" s="12" t="str">
        <x:v>REUTERS ANNOTATION BATCH 030</x:v>
      </x:c>
    </x:row>
    <x:row r="35" ht="36" customHeight="1">
      <x:c r="A35" s="12" t="str">
        <x:v>REUTERS_ANN_01484</x:v>
      </x:c>
      <x:c r="B35" s="12" t="str">
        <x:v>2006-11-03</x:v>
      </x:c>
      <x:c r="C35" s="12" t="str">
        <x:v>update 4-mediaset eyes multibillion-euro prosiebensat.1 bid</x:v>
      </x:c>
      <x:c r="D35" s="12" t="str">
        <x:v>Mediaset, ProSiebenSat.1 için milyarlarca euroluk teklif düşünüyor</x:v>
      </x:c>
      <x:c r="E35" s="18" t="n">
        <x:v>1</x:v>
      </x:c>
      <x:c r="F35" s="12" t="str">
        <x:v>positive</x:v>
      </x:c>
      <x:c r="G35" s="14" t="n">
        <x:v>0.7093296647071838</x:v>
      </x:c>
      <x:c r="H35" s="12" t="str">
        <x:v>neutral</x:v>
      </x:c>
      <x:c r="I35" s="18" t="n">
        <x:f>IF(H35="positive",1,IF(H35="negative",-1,0))</x:f>
        <x:v>0</x:v>
      </x:c>
      <x:c r="J35" s="16" t="n">
        <x:v>0.69</x:v>
      </x:c>
      <x:c r="K35" s="12" t="str">
        <x:v>Olası satın alma ilgisi var; kesin anlaşma veya değer etkisi yok.</x:v>
      </x:c>
      <x:c r="L35" s="12" t="str">
        <x:f>IF(F35=H35,"same","different")</x:f>
        <x:v>different</x:v>
      </x:c>
      <x:c r="M35" s="12" t="str">
        <x:f>IF(OR(L35="different",G35&lt;0.6,J35&lt;0.7),"review","")</x:f>
        <x:v>review</x:v>
      </x:c>
      <x:c r="N35" s="12" t="str">
        <x:v>FinBERT ile ayrışıyor; manuel kontrol öncelikli.</x:v>
      </x:c>
      <x:c r="O35" s="12" t="str">
        <x:v>REUTERS ANNOTATION BATCH 030</x:v>
      </x:c>
    </x:row>
    <x:row r="36" ht="36" customHeight="1">
      <x:c r="A36" s="12" t="str">
        <x:v>REUTERS_ANN_01485</x:v>
      </x:c>
      <x:c r="B36" s="12" t="str">
        <x:v>2006-11-19</x:v>
      </x:c>
      <x:c r="C36" s="12" t="str">
        <x:v>opec may cut again at december meeting algeria</x:v>
      </x:c>
      <x:c r="D36" s="12" t="str">
        <x:v>OPEC Aralık toplantısında yeniden kesintiye gidebilir - Cezayir</x:v>
      </x:c>
      <x:c r="E36" s="18" t="n">
        <x:v>-1</x:v>
      </x:c>
      <x:c r="F36" s="12" t="str">
        <x:v>negative</x:v>
      </x:c>
      <x:c r="G36" s="14" t="n">
        <x:v>0.9401820302009584</x:v>
      </x:c>
      <x:c r="H36" s="12" t="str">
        <x:v>neutral</x:v>
      </x:c>
      <x:c r="I36" s="18" t="n">
        <x:f>IF(H36="positive",1,IF(H36="negative",-1,0))</x:f>
        <x:v>0</x:v>
      </x:c>
      <x:c r="J36" s="16" t="n">
        <x:v>0.58</x:v>
      </x:c>
      <x:c r="K36" s="12" t="str">
        <x:v>Olası arz kesintisi farklı varlıklar için farklı etki yaratabilir; genel haber yönü net değil.</x:v>
      </x:c>
      <x:c r="L36" s="12" t="str">
        <x:f>IF(F36=H36,"same","different")</x:f>
        <x:v>different</x:v>
      </x:c>
      <x:c r="M36" s="12" t="str">
        <x:f>IF(OR(L36="different",G36&lt;0.6,J36&lt;0.7),"review","")</x:f>
        <x:v>review</x:v>
      </x:c>
      <x:c r="N36" s="12" t="str">
        <x:v>FinBERT ile ayrışıyor; manuel kontrol öncelikli.</x:v>
      </x:c>
      <x:c r="O36" s="12" t="str">
        <x:v>REUTERS ANNOTATION BATCH 030</x:v>
      </x:c>
    </x:row>
    <x:row r="37" ht="36" customHeight="1">
      <x:c r="A37" s="12" t="str">
        <x:v>REUTERS_ANN_01486</x:v>
      </x:c>
      <x:c r="B37" s="12" t="str">
        <x:v>2006-10-25</x:v>
      </x:c>
      <x:c r="C37" s="12" t="str">
        <x:v>boeing profit tops views, but forecast disappoints</x:v>
      </x:c>
      <x:c r="D37" s="12" t="str">
        <x:v>Boeing kârı beklentileri aştı, ancak tahmini hayal kırıklığı yarattı</x:v>
      </x:c>
      <x:c r="E37" s="18" t="n">
        <x:v>-1</x:v>
      </x:c>
      <x:c r="F37" s="12" t="str">
        <x:v>negative</x:v>
      </x:c>
      <x:c r="G37" s="14" t="n">
        <x:v>0.9730525016784668</x:v>
      </x:c>
      <x:c r="H37" s="12" t="str">
        <x:v>negative</x:v>
      </x:c>
      <x:c r="I37" s="18" t="n">
        <x:f>IF(H37="positive",1,IF(H37="negative",-1,0))</x:f>
        <x:v>-1</x:v>
      </x:c>
      <x:c r="J37" s="16" t="n">
        <x:v>0.82</x:v>
      </x:c>
      <x:c r="K37" s="12" t="str">
        <x:v>Geçmiş kâr olumlu olsa da zayıf tahmin yatırımcı açısından baskın olumsuz sinyal.</x:v>
      </x:c>
      <x:c r="L37" s="12" t="str">
        <x:f>IF(F37=H37,"same","different")</x:f>
        <x:v>same</x:v>
      </x:c>
      <x:c r="M37" s="12" t="str">
        <x:f>IF(OR(L37="different",G37&lt;0.6,J37&lt;0.7),"review","")</x:f>
      </x:c>
      <x:c r="N37" s="12" t="str"/>
      <x:c r="O37" s="12" t="str">
        <x:v>REUTERS ANNOTATION BATCH 030</x:v>
      </x:c>
    </x:row>
    <x:row r="38" ht="36" customHeight="1">
      <x:c r="A38" s="12" t="str">
        <x:v>REUTERS_ANN_01487</x:v>
      </x:c>
      <x:c r="B38" s="12" t="str">
        <x:v>2007-03-05</x:v>
      </x:c>
      <x:c r="C38" s="12" t="str">
        <x:v>alltel steps up efforts to sell itself paper</x:v>
      </x:c>
      <x:c r="D38" s="12" t="str">
        <x:v>Alltel kendini satma çabalarını artırıyor</x:v>
      </x:c>
      <x:c r="E38" s="18" t="n">
        <x:v>1</x:v>
      </x:c>
      <x:c r="F38" s="12" t="str">
        <x:v>positive</x:v>
      </x:c>
      <x:c r="G38" s="14" t="n">
        <x:v>0.7200693488121033</x:v>
      </x:c>
      <x:c r="H38" s="12" t="str">
        <x:v>positive</x:v>
      </x:c>
      <x:c r="I38" s="18" t="n">
        <x:f>IF(H38="positive",1,IF(H38="negative",-1,0))</x:f>
        <x:v>1</x:v>
      </x:c>
      <x:c r="J38" s="16" t="n">
        <x:v>0.74</x:v>
      </x:c>
      <x:c r="K38" s="12" t="str">
        <x:v>Şirketin satış sürecinin hızlanması potansiyel prim beklentisi yaratabilir.</x:v>
      </x:c>
      <x:c r="L38" s="12" t="str">
        <x:f>IF(F38=H38,"same","different")</x:f>
        <x:v>same</x:v>
      </x:c>
      <x:c r="M38" s="12" t="str">
        <x:f>IF(OR(L38="different",G38&lt;0.6,J38&lt;0.7),"review","")</x:f>
      </x:c>
      <x:c r="N38" s="12" t="str"/>
      <x:c r="O38" s="12" t="str">
        <x:v>REUTERS ANNOTATION BATCH 030</x:v>
      </x:c>
    </x:row>
    <x:row r="39" ht="36" customHeight="1">
      <x:c r="A39" s="12" t="str">
        <x:v>REUTERS_ANN_01488</x:v>
      </x:c>
      <x:c r="B39" s="12" t="str">
        <x:v>2007-02-16</x:v>
      </x:c>
      <x:c r="C39" s="12" t="str">
        <x:v>dell hires motorola executive for consumer unit</x:v>
      </x:c>
      <x:c r="D39" s="12" t="str">
        <x:v>Dell, tüketici birimi için Motorola yöneticisini işe aldı</x:v>
      </x:c>
      <x:c r="E39" s="18" t="n">
        <x:v>0</x:v>
      </x:c>
      <x:c r="F39" s="12" t="str">
        <x:v>neutral</x:v>
      </x:c>
      <x:c r="G39" s="14" t="n">
        <x:v>0.927489459514618</x:v>
      </x:c>
      <x:c r="H39" s="12" t="str">
        <x:v>neutral</x:v>
      </x:c>
      <x:c r="I39" s="18" t="n">
        <x:f>IF(H39="positive",1,IF(H39="negative",-1,0))</x:f>
        <x:v>0</x:v>
      </x:c>
      <x:c r="J39" s="16" t="n">
        <x:v>0.76</x:v>
      </x:c>
      <x:c r="K39" s="12" t="str">
        <x:v>Yönetici ataması; doğrudan finansal etki başlıktan net değil.</x:v>
      </x:c>
      <x:c r="L39" s="12" t="str">
        <x:f>IF(F39=H39,"same","different")</x:f>
        <x:v>same</x:v>
      </x:c>
      <x:c r="M39" s="12" t="str">
        <x:f>IF(OR(L39="different",G39&lt;0.6,J39&lt;0.7),"review","")</x:f>
      </x:c>
      <x:c r="N39" s="12" t="str"/>
      <x:c r="O39" s="12" t="str">
        <x:v>REUTERS ANNOTATION BATCH 030</x:v>
      </x:c>
    </x:row>
    <x:row r="40" ht="36" customHeight="1">
      <x:c r="A40" s="12" t="str">
        <x:v>REUTERS_ANN_01489</x:v>
      </x:c>
      <x:c r="B40" s="12" t="str">
        <x:v>2007-02-14</x:v>
      </x:c>
      <x:c r="C40" s="12" t="str">
        <x:v>fed chairman bernankes testimony to congress</x:v>
      </x:c>
      <x:c r="D40" s="12" t="str">
        <x:v>Fed Başkanı Bernanke'nin Kongre'ye ifadesi</x:v>
      </x:c>
      <x:c r="E40" s="18" t="n">
        <x:v>0</x:v>
      </x:c>
      <x:c r="F40" s="12" t="str">
        <x:v>neutral</x:v>
      </x:c>
      <x:c r="G40" s="14" t="n">
        <x:v>0.677678644657135</x:v>
      </x:c>
      <x:c r="H40" s="12" t="str">
        <x:v>neutral</x:v>
      </x:c>
      <x:c r="I40" s="18" t="n">
        <x:f>IF(H40="positive",1,IF(H40="negative",-1,0))</x:f>
        <x:v>0</x:v>
      </x:c>
      <x:c r="J40" s="16" t="n">
        <x:v>0.73</x:v>
      </x:c>
      <x:c r="K40" s="12" t="str">
        <x:v>Başlık yalnızca konuşma/ifade bilgisini veriyor; net yön yok.</x:v>
      </x:c>
      <x:c r="L40" s="12" t="str">
        <x:f>IF(F40=H40,"same","different")</x:f>
        <x:v>same</x:v>
      </x:c>
      <x:c r="M40" s="12" t="str">
        <x:f>IF(OR(L40="different",G40&lt;0.6,J40&lt;0.7),"review","")</x:f>
      </x:c>
      <x:c r="N40" s="12" t="str"/>
      <x:c r="O40" s="12" t="str">
        <x:v>REUTERS ANNOTATION BATCH 030</x:v>
      </x:c>
    </x:row>
    <x:row r="41" ht="36" customHeight="1">
      <x:c r="A41" s="12" t="str">
        <x:v>REUTERS_ANN_01490</x:v>
      </x:c>
      <x:c r="B41" s="12" t="str">
        <x:v>2007-04-26</x:v>
      </x:c>
      <x:c r="C41" s="12" t="str">
        <x:v>wal-mart cutting managers at sams club</x:v>
      </x:c>
      <x:c r="D41" s="12" t="str">
        <x:v>Wal-Mart, Sam's Club'da yöneticileri azaltıyor</x:v>
      </x:c>
      <x:c r="E41" s="18" t="n">
        <x:v>-1</x:v>
      </x:c>
      <x:c r="F41" s="12" t="str">
        <x:v>negative</x:v>
      </x:c>
      <x:c r="G41" s="14" t="n">
        <x:v>0.9663640260696412</x:v>
      </x:c>
      <x:c r="H41" s="12" t="str">
        <x:v>negative</x:v>
      </x:c>
      <x:c r="I41" s="18" t="n">
        <x:f>IF(H41="positive",1,IF(H41="negative",-1,0))</x:f>
        <x:v>-1</x:v>
      </x:c>
      <x:c r="J41" s="16" t="n">
        <x:v>0.84</x:v>
      </x:c>
      <x:c r="K41" s="12" t="str">
        <x:v>Yönetici azaltımı maliyet baskısı/yeniden yapılanma sinyali taşıdığı için olumsuz.</x:v>
      </x:c>
      <x:c r="L41" s="12" t="str">
        <x:f>IF(F41=H41,"same","different")</x:f>
        <x:v>same</x:v>
      </x:c>
      <x:c r="M41" s="12" t="str">
        <x:f>IF(OR(L41="different",G41&lt;0.6,J41&lt;0.7),"review","")</x:f>
      </x:c>
      <x:c r="N41" s="12" t="str"/>
      <x:c r="O41" s="12" t="str">
        <x:v>REUTERS ANNOTATION BATCH 030</x:v>
      </x:c>
    </x:row>
    <x:row r="42" ht="36" customHeight="1">
      <x:c r="A42" s="12" t="str">
        <x:v>REUTERS_ANN_01491</x:v>
      </x:c>
      <x:c r="B42" s="12" t="str">
        <x:v>2007-02-09</x:v>
      </x:c>
      <x:c r="C42" s="12" t="str">
        <x:v>yukos receiver says chevron eyes bankrupt firm</x:v>
      </x:c>
      <x:c r="D42" s="12" t="str">
        <x:v>Yukos alıcısı, Chevron'un iflas eden firmayla ilgilendiğini söylüyor</x:v>
      </x:c>
      <x:c r="E42" s="18" t="n">
        <x:v>0</x:v>
      </x:c>
      <x:c r="F42" s="12" t="str">
        <x:v>neutral</x:v>
      </x:c>
      <x:c r="G42" s="14" t="n">
        <x:v>0.8527957201004028</x:v>
      </x:c>
      <x:c r="H42" s="12" t="str">
        <x:v>neutral</x:v>
      </x:c>
      <x:c r="I42" s="18" t="n">
        <x:f>IF(H42="positive",1,IF(H42="negative",-1,0))</x:f>
        <x:v>0</x:v>
      </x:c>
      <x:c r="J42" s="16" t="n">
        <x:v>0.7</x:v>
      </x:c>
      <x:c r="K42" s="12" t="str">
        <x:v>Olası ilgi ve varlık süreci var; kesin finansal sonuç yok.</x:v>
      </x:c>
      <x:c r="L42" s="12" t="str">
        <x:f>IF(F42=H42,"same","different")</x:f>
        <x:v>same</x:v>
      </x:c>
      <x:c r="M42" s="12" t="str">
        <x:f>IF(OR(L42="different",G42&lt;0.6,J42&lt;0.7),"review","")</x:f>
      </x:c>
      <x:c r="N42" s="12" t="str"/>
      <x:c r="O42" s="12" t="str">
        <x:v>REUTERS ANNOTATION BATCH 030</x:v>
      </x:c>
    </x:row>
    <x:row r="43" ht="36" customHeight="1">
      <x:c r="A43" s="12" t="str">
        <x:v>REUTERS_ANN_01492</x:v>
      </x:c>
      <x:c r="B43" s="12" t="str">
        <x:v>2006-11-10</x:v>
      </x:c>
      <x:c r="C43" s="12" t="str">
        <x:v>three year sentence asked for indonesia newmont boss</x:v>
      </x:c>
      <x:c r="D43" s="12" t="str">
        <x:v>Endonezya Newmont yöneticisi için üç yıl hapis cezası isteniyor</x:v>
      </x:c>
      <x:c r="E43" s="18" t="n">
        <x:v>-1</x:v>
      </x:c>
      <x:c r="F43" s="12" t="str">
        <x:v>negative</x:v>
      </x:c>
      <x:c r="G43" s="14" t="n">
        <x:v>0.8486018776893616</x:v>
      </x:c>
      <x:c r="H43" s="12" t="str">
        <x:v>negative</x:v>
      </x:c>
      <x:c r="I43" s="18" t="n">
        <x:f>IF(H43="positive",1,IF(H43="negative",-1,0))</x:f>
        <x:v>-1</x:v>
      </x:c>
      <x:c r="J43" s="16" t="n">
        <x:v>0.8</x:v>
      </x:c>
      <x:c r="K43" s="12" t="str">
        <x:v>Yöneticiye ceza talebi hukuki ve itibar riski nedeniyle olumsuz.</x:v>
      </x:c>
      <x:c r="L43" s="12" t="str">
        <x:f>IF(F43=H43,"same","different")</x:f>
        <x:v>same</x:v>
      </x:c>
      <x:c r="M43" s="12" t="str">
        <x:f>IF(OR(L43="different",G43&lt;0.6,J43&lt;0.7),"review","")</x:f>
      </x:c>
      <x:c r="N43" s="12" t="str"/>
      <x:c r="O43" s="12" t="str">
        <x:v>REUTERS ANNOTATION BATCH 030</x:v>
      </x:c>
    </x:row>
    <x:row r="44" ht="36" customHeight="1">
      <x:c r="A44" s="12" t="str">
        <x:v>REUTERS_ANN_01493</x:v>
      </x:c>
      <x:c r="B44" s="12" t="str">
        <x:v>2006-10-25</x:v>
      </x:c>
      <x:c r="C44" s="12" t="str">
        <x:v>amazon profit beats forecasts</x:v>
      </x:c>
      <x:c r="D44" s="12" t="str">
        <x:v>Amazon kârı beklentileri aştı</x:v>
      </x:c>
      <x:c r="E44" s="18" t="n">
        <x:v>-1</x:v>
      </x:c>
      <x:c r="F44" s="12" t="str">
        <x:v>negative</x:v>
      </x:c>
      <x:c r="G44" s="14" t="n">
        <x:v>0.9394283890724182</x:v>
      </x:c>
      <x:c r="H44" s="12" t="str">
        <x:v>positive</x:v>
      </x:c>
      <x:c r="I44" s="18" t="n">
        <x:f>IF(H44="positive",1,IF(H44="negative",-1,0))</x:f>
        <x:v>1</x:v>
      </x:c>
      <x:c r="J44" s="16" t="n">
        <x:v>0.94</x:v>
      </x:c>
      <x:c r="K44" s="12" t="str">
        <x:v>Kârın beklentileri aşması açık olumlu sinyal.</x:v>
      </x:c>
      <x:c r="L44" s="12" t="str">
        <x:f>IF(F44=H44,"same","different")</x:f>
        <x:v>different</x:v>
      </x:c>
      <x:c r="M44" s="12" t="str">
        <x:f>IF(OR(L44="different",G44&lt;0.6,J44&lt;0.7),"review","")</x:f>
        <x:v>review</x:v>
      </x:c>
      <x:c r="N44" s="12" t="str">
        <x:v>FinBERT ile ayrışıyor; manuel kontrol öncelikli.</x:v>
      </x:c>
      <x:c r="O44" s="12" t="str">
        <x:v>REUTERS ANNOTATION BATCH 030</x:v>
      </x:c>
    </x:row>
    <x:row r="45" ht="36" customHeight="1">
      <x:c r="A45" s="12" t="str">
        <x:v>REUTERS_ANN_01494</x:v>
      </x:c>
      <x:c r="B45" s="12" t="str">
        <x:v>2007-04-29</x:v>
      </x:c>
      <x:c r="C45" s="12" t="str">
        <x:v>wealthy housing markets shrug off subprime woes</x:v>
      </x:c>
      <x:c r="D45" s="12" t="str">
        <x:v>Varlıklı konut piyasaları subprime sorunlarını hafif atlatıyor</x:v>
      </x:c>
      <x:c r="E45" s="18" t="n">
        <x:v>0</x:v>
      </x:c>
      <x:c r="F45" s="12" t="str">
        <x:v>neutral</x:v>
      </x:c>
      <x:c r="G45" s="14" t="n">
        <x:v>0.7818518280982971</x:v>
      </x:c>
      <x:c r="H45" s="12" t="str">
        <x:v>positive</x:v>
      </x:c>
      <x:c r="I45" s="18" t="n">
        <x:f>IF(H45="positive",1,IF(H45="negative",-1,0))</x:f>
        <x:v>1</x:v>
      </x:c>
      <x:c r="J45" s="16" t="n">
        <x:v>0.72</x:v>
      </x:c>
      <x:c r="K45" s="12" t="str">
        <x:v>Subprime baskısına rağmen dayanıklılık vurgusu olumlu.</x:v>
      </x:c>
      <x:c r="L45" s="12" t="str">
        <x:f>IF(F45=H45,"same","different")</x:f>
        <x:v>different</x:v>
      </x:c>
      <x:c r="M45" s="12" t="str">
        <x:f>IF(OR(L45="different",G45&lt;0.6,J45&lt;0.7),"review","")</x:f>
        <x:v>review</x:v>
      </x:c>
      <x:c r="N45" s="12" t="str">
        <x:v>FinBERT ile ayrışıyor; manuel kontrol öncelikli.</x:v>
      </x:c>
      <x:c r="O45" s="12" t="str">
        <x:v>REUTERS ANNOTATION BATCH 030</x:v>
      </x:c>
    </x:row>
    <x:row r="46" ht="36" customHeight="1">
      <x:c r="A46" s="12" t="str">
        <x:v>REUTERS_ANN_01495</x:v>
      </x:c>
      <x:c r="B46" s="12" t="str">
        <x:v>2007-01-18</x:v>
      </x:c>
      <x:c r="C46" s="12" t="str">
        <x:v>global markets-oil drops below $50, stocks fall on apples view</x:v>
      </x:c>
      <x:c r="D46" s="12" t="str">
        <x:v>Küresel piyasalar: petrol 50 doların altına düştü, Apple görünümüyle hisseler geriledi</x:v>
      </x:c>
      <x:c r="E46" s="18" t="n">
        <x:v>-1</x:v>
      </x:c>
      <x:c r="F46" s="12" t="str">
        <x:v>negative</x:v>
      </x:c>
      <x:c r="G46" s="14" t="n">
        <x:v>0.968914270401001</x:v>
      </x:c>
      <x:c r="H46" s="12" t="str">
        <x:v>negative</x:v>
      </x:c>
      <x:c r="I46" s="18" t="n">
        <x:f>IF(H46="positive",1,IF(H46="negative",-1,0))</x:f>
        <x:v>-1</x:v>
      </x:c>
      <x:c r="J46" s="16" t="n">
        <x:v>0.9</x:v>
      </x:c>
      <x:c r="K46" s="12" t="str">
        <x:v>Hisse düşüşü ve zayıf görünüm piyasa açısından olumsuz.</x:v>
      </x:c>
      <x:c r="L46" s="12" t="str">
        <x:f>IF(F46=H46,"same","different")</x:f>
        <x:v>same</x:v>
      </x:c>
      <x:c r="M46" s="12" t="str">
        <x:f>IF(OR(L46="different",G46&lt;0.6,J46&lt;0.7),"review","")</x:f>
      </x:c>
      <x:c r="N46" s="12" t="str"/>
      <x:c r="O46" s="12" t="str">
        <x:v>REUTERS ANNOTATION BATCH 030</x:v>
      </x:c>
    </x:row>
    <x:row r="47" ht="36" customHeight="1">
      <x:c r="A47" s="12" t="str">
        <x:v>REUTERS_ANN_01496</x:v>
      </x:c>
      <x:c r="B47" s="12" t="str">
        <x:v>2007-04-19</x:v>
      </x:c>
      <x:c r="C47" s="12" t="str">
        <x:v>hercules preliminary q1 earnings, revenue rise</x:v>
      </x:c>
      <x:c r="D47" s="12" t="str">
        <x:v>Hercules'in öncü ilk çeyrek kârı ve geliri arttı</x:v>
      </x:c>
      <x:c r="E47" s="18" t="n">
        <x:v>1</x:v>
      </x:c>
      <x:c r="F47" s="12" t="str">
        <x:v>positive</x:v>
      </x:c>
      <x:c r="G47" s="14" t="n">
        <x:v>0.9532757997512816</x:v>
      </x:c>
      <x:c r="H47" s="12" t="str">
        <x:v>positive</x:v>
      </x:c>
      <x:c r="I47" s="18" t="n">
        <x:f>IF(H47="positive",1,IF(H47="negative",-1,0))</x:f>
        <x:v>1</x:v>
      </x:c>
      <x:c r="J47" s="16" t="n">
        <x:v>0.94</x:v>
      </x:c>
      <x:c r="K47" s="12" t="str">
        <x:v>Kâr ve gelir artışı açık olumlu performans sinyali.</x:v>
      </x:c>
      <x:c r="L47" s="12" t="str">
        <x:f>IF(F47=H47,"same","different")</x:f>
        <x:v>same</x:v>
      </x:c>
      <x:c r="M47" s="12" t="str">
        <x:f>IF(OR(L47="different",G47&lt;0.6,J47&lt;0.7),"review","")</x:f>
      </x:c>
      <x:c r="N47" s="12" t="str"/>
      <x:c r="O47" s="12" t="str">
        <x:v>REUTERS ANNOTATION BATCH 030</x:v>
      </x:c>
    </x:row>
    <x:row r="48" ht="36" customHeight="1">
      <x:c r="A48" s="12" t="str">
        <x:v>REUTERS_ANN_01497</x:v>
      </x:c>
      <x:c r="B48" s="12" t="str">
        <x:v>2007-05-01</x:v>
      </x:c>
      <x:c r="C48" s="12" t="str">
        <x:v>dow jones options trading jumps before murdoch bid</x:v>
      </x:c>
      <x:c r="D48" s="12" t="str">
        <x:v>Murdoch teklifinden önce Dow Jones opsiyon işlemleri sıçradı</x:v>
      </x:c>
      <x:c r="E48" s="18" t="n">
        <x:v>-1</x:v>
      </x:c>
      <x:c r="F48" s="12" t="str">
        <x:v>negative</x:v>
      </x:c>
      <x:c r="G48" s="14" t="n">
        <x:v>0.54934161901474</x:v>
      </x:c>
      <x:c r="H48" s="12" t="str">
        <x:v>neutral</x:v>
      </x:c>
      <x:c r="I48" s="18" t="n">
        <x:f>IF(H48="positive",1,IF(H48="negative",-1,0))</x:f>
        <x:v>0</x:v>
      </x:c>
      <x:c r="J48" s="16" t="n">
        <x:v>0.55</x:v>
      </x:c>
      <x:c r="K48" s="12" t="str">
        <x:v>İşlem hacmi artışı dikkat çekici ama başlıkta doğrulanmış olumlu/olumsuz sonuç yok.</x:v>
      </x:c>
      <x:c r="L48" s="12" t="str">
        <x:f>IF(F48=H48,"same","different")</x:f>
        <x:v>different</x:v>
      </x:c>
      <x:c r="M48" s="12" t="str">
        <x:f>IF(OR(L48="different",G48&lt;0.6,J48&lt;0.7),"review","")</x:f>
        <x:v>review</x:v>
      </x:c>
      <x:c r="N48" s="12" t="str">
        <x:v>FinBERT ile ayrışıyor; manuel kontrol öncelikli.</x:v>
      </x:c>
      <x:c r="O48" s="12" t="str">
        <x:v>REUTERS ANNOTATION BATCH 030</x:v>
      </x:c>
    </x:row>
    <x:row r="49" ht="36" customHeight="1">
      <x:c r="A49" s="12" t="str">
        <x:v>REUTERS_ANN_01498</x:v>
      </x:c>
      <x:c r="B49" s="12" t="str">
        <x:v>2007-02-12</x:v>
      </x:c>
      <x:c r="C49" s="12" t="str">
        <x:v>thomas cook to buy rival mytravel</x:v>
      </x:c>
      <x:c r="D49" s="12" t="str">
        <x:v>Thomas Cook rakibi MyTravel'ı satın alacak</x:v>
      </x:c>
      <x:c r="E49" s="18" t="n">
        <x:v>0</x:v>
      </x:c>
      <x:c r="F49" s="12" t="str">
        <x:v>neutral</x:v>
      </x:c>
      <x:c r="G49" s="14" t="n">
        <x:v>0.9121289253234864</x:v>
      </x:c>
      <x:c r="H49" s="12" t="str">
        <x:v>neutral</x:v>
      </x:c>
      <x:c r="I49" s="18" t="n">
        <x:f>IF(H49="positive",1,IF(H49="negative",-1,0))</x:f>
        <x:v>0</x:v>
      </x:c>
      <x:c r="J49" s="16" t="n">
        <x:v>0.64</x:v>
      </x:c>
      <x:c r="K49" s="12" t="str">
        <x:v>Satın alma bilgisi var; fiyatlama/sinerji etkisi başlıktan net değil.</x:v>
      </x:c>
      <x:c r="L49" s="12" t="str">
        <x:f>IF(F49=H49,"same","different")</x:f>
        <x:v>same</x:v>
      </x:c>
      <x:c r="M49" s="12" t="str">
        <x:f>IF(OR(L49="different",G49&lt;0.6,J49&lt;0.7),"review","")</x:f>
        <x:v>review</x:v>
      </x:c>
      <x:c r="N49" s="12" t="str">
        <x:v>Güven düşük/orta; bağlama göre kontrol edilebilir.</x:v>
      </x:c>
      <x:c r="O49" s="12" t="str">
        <x:v>REUTERS ANNOTATION BATCH 030</x:v>
      </x:c>
    </x:row>
    <x:row r="50" ht="36" customHeight="1">
      <x:c r="A50" s="12" t="str">
        <x:v>REUTERS_ANN_01499</x:v>
      </x:c>
      <x:c r="B50" s="12" t="str">
        <x:v>2006-11-06</x:v>
      </x:c>
      <x:c r="C50" s="12" t="str">
        <x:v>murdoch says may offer myspace on japan cellphones</x:v>
      </x:c>
      <x:c r="D50" s="12" t="str">
        <x:v>Murdoch, MySpace'i Japon cep telefonlarında sunabileceğini söylüyor</x:v>
      </x:c>
      <x:c r="E50" s="18" t="n">
        <x:v>0</x:v>
      </x:c>
      <x:c r="F50" s="12" t="str">
        <x:v>neutral</x:v>
      </x:c>
      <x:c r="G50" s="14" t="n">
        <x:v>0.9177892804145812</x:v>
      </x:c>
      <x:c r="H50" s="12" t="str">
        <x:v>neutral</x:v>
      </x:c>
      <x:c r="I50" s="18" t="n">
        <x:f>IF(H50="positive",1,IF(H50="negative",-1,0))</x:f>
        <x:v>0</x:v>
      </x:c>
      <x:c r="J50" s="16" t="n">
        <x:v>0.67</x:v>
      </x:c>
      <x:c r="K50" s="12" t="str">
        <x:v>Olası ürün/dağıtım planı; kesin finansal etki yok.</x:v>
      </x:c>
      <x:c r="L50" s="12" t="str">
        <x:f>IF(F50=H50,"same","different")</x:f>
        <x:v>same</x:v>
      </x:c>
      <x:c r="M50" s="12" t="str">
        <x:f>IF(OR(L50="different",G50&lt;0.6,J50&lt;0.7),"review","")</x:f>
        <x:v>review</x:v>
      </x:c>
      <x:c r="N50" s="12" t="str">
        <x:v>Güven düşük/orta; bağlama göre kontrol edilebilir.</x:v>
      </x:c>
      <x:c r="O50" s="12" t="str">
        <x:v>REUTERS ANNOTATION BATCH 030</x:v>
      </x:c>
    </x:row>
    <x:row r="51" ht="36" customHeight="1">
      <x:c r="A51" s="12" t="str">
        <x:v>REUTERS_ANN_01500</x:v>
      </x:c>
      <x:c r="B51" s="12" t="str">
        <x:v>2007-02-05</x:v>
      </x:c>
      <x:c r="C51" s="12" t="str">
        <x:v>mills to weigh offer from simon, farallon</x:v>
      </x:c>
      <x:c r="D51" s="12" t="str">
        <x:v>Mills, Simon ve Farallon'dan gelen teklifi değerlendirecek</x:v>
      </x:c>
      <x:c r="E51" s="18" t="n">
        <x:v>0</x:v>
      </x:c>
      <x:c r="F51" s="12" t="str">
        <x:v>neutral</x:v>
      </x:c>
      <x:c r="G51" s="14" t="n">
        <x:v>0.8964005708694458</x:v>
      </x:c>
      <x:c r="H51" s="12" t="str">
        <x:v>neutral</x:v>
      </x:c>
      <x:c r="I51" s="18" t="n">
        <x:f>IF(H51="positive",1,IF(H51="negative",-1,0))</x:f>
        <x:v>0</x:v>
      </x:c>
      <x:c r="J51" s="16" t="n">
        <x:v>0.7</x:v>
      </x:c>
      <x:c r="K51" s="12" t="str">
        <x:v>Teklifin değerlendirilmesi var; anlaşmanın sonucu henüz belirsiz.</x:v>
      </x:c>
      <x:c r="L51" s="12" t="str">
        <x:f>IF(F51=H51,"same","different")</x:f>
        <x:v>same</x:v>
      </x:c>
      <x:c r="M51" s="12" t="str">
        <x:f>IF(OR(L51="different",G51&lt;0.6,J51&lt;0.7),"review","")</x:f>
      </x:c>
      <x:c r="N51" s="12" t="str"/>
      <x:c r="O51" s="12" t="str">
        <x:v>REUTERS ANNOTATION BATCH 030</x:v>
      </x:c>
    </x:row>
  </x:sheetData>
  <x:conditionalFormatting sqref="H2:H51">
    <x:cfRule type="expression" dxfId="0" priority="1">
      <x:formula>H2="positive"</x:formula>
    </x:cfRule>
    <x:cfRule type="expression" dxfId="1" priority="2">
      <x:formula>H2="negative"</x:formula>
    </x:cfRule>
    <x:cfRule type="expression" dxfId="2" priority="3">
      <x:formula>H2="neutral"</x:formula>
    </x:cfRule>
  </x:conditionalFormatting>
  <x:conditionalFormatting sqref="L2:L51">
    <x:cfRule type="expression" dxfId="3" priority="4">
      <x:formula>L2="different"</x:formula>
    </x:cfRule>
  </x:conditionalFormatting>
  <x:conditionalFormatting sqref="M2:M51">
    <x:cfRule type="expression" dxfId="4" priority="5">
      <x:formula>M2="review"</x:formula>
    </x:cfRule>
  </x:conditionalFormatting>
  <x:dataValidations count="1">
    <x:dataValidation type="list" sqref="H2:H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6e4b67c9024f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21" t="str">
        <x:v>REUTERS Annotation Batch 030 - Summary</x:v>
      </x:c>
      <x:c r="B1" s="21" t="str"/>
    </x:row>
    <x:row r="2">
      <x:c r="A2" s="25" t="str">
        <x:v>Rows</x:v>
      </x:c>
      <x:c r="B2" s="28" t="n">
        <x:f>COUNTA(annotations!A2:A51)</x:f>
        <x:v>50</x:v>
      </x:c>
    </x:row>
    <x:row r="3">
      <x:c r="A3" s="25" t="str">
        <x:v>ChatGPT positive</x:v>
      </x:c>
      <x:c r="B3" s="28" t="n">
        <x:f>COUNTIF(annotations!H2:H51,"positive")</x:f>
        <x:v>16</x:v>
      </x:c>
    </x:row>
    <x:row r="4">
      <x:c r="A4" s="25" t="str">
        <x:v>ChatGPT neutral</x:v>
      </x:c>
      <x:c r="B4" s="28" t="n">
        <x:f>COUNTIF(annotations!H2:H51,"neutral")</x:f>
        <x:v>21</x:v>
      </x:c>
    </x:row>
    <x:row r="5">
      <x:c r="A5" s="25" t="str">
        <x:v>ChatGPT negative</x:v>
      </x:c>
      <x:c r="B5" s="28" t="n">
        <x:f>COUNTIF(annotations!H2:H51,"negative")</x:f>
        <x:v>13</x:v>
      </x:c>
    </x:row>
    <x:row r="6">
      <x:c r="A6" s="25" t="str">
        <x:v>FinBERT same</x:v>
      </x:c>
      <x:c r="B6" s="28" t="n">
        <x:f>COUNTIF(annotations!L2:L51,"same")</x:f>
        <x:v>31</x:v>
      </x:c>
    </x:row>
    <x:row r="7">
      <x:c r="A7" s="25" t="str">
        <x:v>FinBERT different / review</x:v>
      </x:c>
      <x:c r="B7" s="28" t="n">
        <x:f>COUNTIF(annotations!L2:L51,"different")</x:f>
        <x:v>19</x:v>
      </x:c>
    </x:row>
    <x:row r="8">
      <x:c r="A8" s="25" t="str">
        <x:v>Rows flagged review</x:v>
      </x:c>
      <x:c r="B8" s="28" t="n">
        <x:f>COUNTIF(annotations!M2:M51,"review")</x:f>
        <x:v>26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Field</x:v>
      </x:c>
      <x:c r="B1" s="4" t="str">
        <x:v>Description</x:v>
      </x:c>
    </x:row>
    <x:row r="2">
      <x:c r="A2" t="str">
        <x:v>text_tr</x:v>
      </x:c>
      <x:c r="B2" t="str">
        <x:v>English Reuters headline translated into Turkish.</x:v>
      </x:c>
    </x:row>
    <x:row r="3">
      <x:c r="A3" t="str">
        <x:v>chatgpt_label</x:v>
      </x:c>
      <x:c r="B3" t="str">
        <x:v>Final manual sentiment label from headline context: positive, neutral, negative.</x:v>
      </x:c>
    </x:row>
    <x:row r="4">
      <x:c r="A4" t="str">
        <x:v>chatgpt_confidence</x:v>
      </x:c>
      <x:c r="B4" t="str">
        <x:v>Estimated confidence for the final label, between 0 and 1.</x:v>
      </x:c>
    </x:row>
    <x:row r="5">
      <x:c r="A5" t="str">
        <x:v>chatgpt_reason_tr</x:v>
      </x:c>
      <x:c r="B5" t="str">
        <x:v>Short Turkish rationale for the chosen label.</x:v>
      </x:c>
    </x:row>
    <x:row r="6">
      <x:c r="A6" t="str">
        <x:v>finbert_vs_chatgpt</x:v>
      </x:c>
      <x:c r="B6" t="str">
        <x:v>Formula-based comparison: same if FinBERT label equals ChatGPT label, otherwise different.</x:v>
      </x:c>
    </x:row>
    <x:row r="7">
      <x:c r="A7" t="str">
        <x:v>needs_review</x:v>
      </x:c>
      <x:c r="B7" t="str">
        <x:v>Formula flag for different labels or low-confidence cases.</x:v>
      </x:c>
    </x:row>
    <x:row r="8">
      <x:c r="A8" t="str">
        <x:v>labeling_scope</x:v>
      </x:c>
      <x:c r="B8" t="str">
        <x:v>Labels reflect the dominant financial/market/company signal in the headline only.</x:v>
      </x:c>
    </x:row>
  </x:sheetData>
  <x:pageMargins left="0.7" right="0.7" top="0.75" bottom="0.75" header="0.3" footer="0.3"/>
</x:worksheet>
</file>