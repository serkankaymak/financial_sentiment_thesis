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a4c491bfd34a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32fb552650524806"/>
    <x:sheet xmlns:r="http://schemas.openxmlformats.org/officeDocument/2006/relationships" name="summary" sheetId="2" r:id="Rc8401b6ee8b54bc3"/>
    <x:sheet xmlns:r="http://schemas.openxmlformats.org/officeDocument/2006/relationships" name="labeling_notes" sheetId="3" r:id="R2bbf06d04d6741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"/>
    <x:numFmt numFmtId="202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216ffdc3de4e17" /><Relationship Type="http://schemas.openxmlformats.org/officeDocument/2006/relationships/theme" Target="/xl/theme/theme1.xml" Id="Rc5809582089c4124" /><Relationship Type="http://schemas.openxmlformats.org/officeDocument/2006/relationships/sharedStrings" Target="/xl/sharedStrings.xml" Id="R1ccdcc4142544cd3" /><Relationship Type="http://schemas.openxmlformats.org/officeDocument/2006/relationships/worksheet" Target="/xl/worksheets/sheet1.xml" Id="R32fb552650524806" /><Relationship Type="http://schemas.openxmlformats.org/officeDocument/2006/relationships/worksheet" Target="/xl/worksheets/sheet2.xml" Id="Rc8401b6ee8b54bc3" /><Relationship Type="http://schemas.openxmlformats.org/officeDocument/2006/relationships/worksheet" Target="/xl/worksheets/sheet3.xml" Id="R2bbf06d04d6741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26fb321607a480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ChatGPT Label Distribution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'summary'!$D$2:$D$4</c:f>
              <c:strCache>
                <c:ptCount val="0"/>
              </c:strCache>
            </c:strRef>
          </c:cat>
          <c:val>
            <c:numRef>
              <c:f>'summary'!$E$2:$E$4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0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6fb321607a480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nnotationsTable033" displayName="AnnotationsTable033" ref="A1:N51" headerRowCount="1">
  <x:tableColumns count="14">
    <x:tableColumn id="1" name="annotation_id"/>
    <x:tableColumn id="2" name="date"/>
    <x:tableColumn id="3" name="finbert_score"/>
    <x:tableColumn id="4" name="finbert_label"/>
    <x:tableColumn id="5" name="finbert_confidence"/>
    <x:tableColumn id="6" name="text_en"/>
    <x:tableColumn id="7" name="text_tr"/>
    <x:tableColumn id="8" name="chatgpt_score"/>
    <x:tableColumn id="9" name="chatgpt_label"/>
    <x:tableColumn id="10" name="chatgpt_confidence"/>
    <x:tableColumn id="11" name="chatgpt_reason_tr"/>
    <x:tableColumn id="12" name="finbert_correctness"/>
    <x:tableColumn id="13" name="review_note"/>
    <x:tableColumn id="14" name="source_batch"/>
  </x:tableColumns>
  <x:tableStyleInfo name="TableStyleMedium2" showRowStripes="1"/>
</x:table>
</file>

<file path=xl/tables/table2.xml><?xml version="1.0" encoding="utf-8"?>
<x:table xmlns:x="http://schemas.openxmlformats.org/spreadsheetml/2006/main" id="2" name="LabelingNotesTable033" displayName="LabelingNotesTable033" ref="A1:B7" headerRowCount="1">
  <x:tableColumns count="2">
    <x:tableColumn id="1" name="Alan"/>
    <x:tableColumn id="2" name="Açıklam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c5a6bee2c14a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5e73c37adb24c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faa2fe886a4e2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4" hidden="0" customWidth="1"/>
    <x:col min="5" max="5" width="16" hidden="0" customWidth="1"/>
    <x:col min="6" max="6" width="42" hidden="0" customWidth="1"/>
    <x:col min="7" max="7" width="44" hidden="0" customWidth="1"/>
    <x:col min="8" max="8" width="14" hidden="0" customWidth="1"/>
    <x:col min="9" max="9" width="14" hidden="0" customWidth="1"/>
    <x:col min="10" max="10" width="16" hidden="0" customWidth="1"/>
    <x:col min="11" max="11" width="50" hidden="0" customWidth="1"/>
    <x:col min="12" max="12" width="18" hidden="0" customWidth="1"/>
    <x:col min="13" max="13" width="36" hidden="0" customWidth="1"/>
    <x:col min="14" max="14" width="28" hidden="0" customWidth="1"/>
  </x:cols>
  <x:sheetData>
    <x:row r="1" ht="28" customHeight="1">
      <x:c r="A1" s="18" t="str">
        <x:v>annotation_id</x:v>
      </x:c>
      <x:c r="B1" s="18" t="str">
        <x:v>date</x:v>
      </x:c>
      <x:c r="C1" s="18" t="str">
        <x:v>finbert_score</x:v>
      </x:c>
      <x:c r="D1" s="18" t="str">
        <x:v>finbert_label</x:v>
      </x:c>
      <x:c r="E1" s="18" t="str">
        <x:v>finbert_confidence</x:v>
      </x:c>
      <x:c r="F1" s="18" t="str">
        <x:v>text_en</x:v>
      </x:c>
      <x:c r="G1" s="18" t="str">
        <x:v>text_tr</x:v>
      </x:c>
      <x:c r="H1" s="18" t="str">
        <x:v>chatgpt_score</x:v>
      </x:c>
      <x:c r="I1" s="18" t="str">
        <x:v>chatgpt_label</x:v>
      </x:c>
      <x:c r="J1" s="18" t="str">
        <x:v>chatgpt_confidence</x:v>
      </x:c>
      <x:c r="K1" s="18" t="str">
        <x:v>chatgpt_reason_tr</x:v>
      </x:c>
      <x:c r="L1" s="18" t="str">
        <x:v>finbert_correctness</x:v>
      </x:c>
      <x:c r="M1" s="18" t="str">
        <x:v>review_note</x:v>
      </x:c>
      <x:c r="N1" s="18" t="str">
        <x:v>source_batch</x:v>
      </x:c>
    </x:row>
    <x:row r="2">
      <x:c r="A2" t="str">
        <x:v>REUTERS_ANN_01601</x:v>
      </x:c>
      <x:c r="B2" s="10" t="n">
        <x:v>39163</x:v>
      </x:c>
      <x:c r="C2" t="n">
        <x:v>1</x:v>
      </x:c>
      <x:c r="D2" t="str">
        <x:v>positive</x:v>
      </x:c>
      <x:c r="E2" s="12" t="n">
        <x:v>0.886845052242279</x:v>
      </x:c>
      <x:c r="F2" s="16" t="str">
        <x:v>wal-mart pays bonuses to hourly store workers</x:v>
      </x:c>
      <x:c r="G2" s="16" t="str">
        <x:v>Wal-Mart saatlik mağaza çalışanlarına prim ödüyor</x:v>
      </x:c>
      <x:c r="H2" t="n">
        <x:f>IF(I2="positive",1,IF(I2="negative",-1,0))</x:f>
        <x:v>1</x:v>
      </x:c>
      <x:c r="I2" t="str">
        <x:v>positive</x:v>
      </x:c>
      <x:c r="J2" s="14" t="n">
        <x:v>0.86</x:v>
      </x:c>
      <x:c r="K2" s="16" t="str">
        <x:v>Çalışanlara prim ödenmesi, operasyonel performans ve çalışan bağlılığı açısından olumlu bir sinyal.</x:v>
      </x:c>
      <x:c r="L2" t="str">
        <x:f>IF(D2=I2,"same","different")</x:f>
        <x:v>same</x:v>
      </x:c>
      <x:c r="M2" s="16" t="str"/>
      <x:c r="N2" t="str">
        <x:v>REUTERS ANNOTATION BATCH 033</x:v>
      </x:c>
    </x:row>
    <x:row r="3">
      <x:c r="A3" t="str">
        <x:v>REUTERS_ANN_01602</x:v>
      </x:c>
      <x:c r="B3" s="10" t="n">
        <x:v>39115</x:v>
      </x:c>
      <x:c r="C3" t="n">
        <x:v>0</x:v>
      </x:c>
      <x:c r="D3" t="str">
        <x:v>neutral</x:v>
      </x:c>
      <x:c r="E3" s="12" t="n">
        <x:v>0.486188679933548</x:v>
      </x:c>
      <x:c r="F3" s="16" t="str">
        <x:v>ex-coca-cola aide found guilty in trade secrets case</x:v>
      </x:c>
      <x:c r="G3" s="16" t="str">
        <x:v>Eski Coca-Cola çalışanı ticari sırlar davasında suçlu bulundu</x:v>
      </x:c>
      <x:c r="H3" t="n">
        <x:f>IF(I3="positive",1,IF(I3="negative",-1,0))</x:f>
        <x:v>-1</x:v>
      </x:c>
      <x:c r="I3" t="str">
        <x:v>negative</x:v>
      </x:c>
      <x:c r="J3" s="14" t="n">
        <x:v>0.91</x:v>
      </x:c>
      <x:c r="K3" s="16" t="str">
        <x:v>Ticari sır davasında suçlu kararı, hukuki ve itibar riski taşıdığı için olumsuz.</x:v>
      </x:c>
      <x:c r="L3" t="str">
        <x:f>IF(D3=I3,"same","different")</x:f>
        <x:v>different</x:v>
      </x:c>
      <x:c r="M3" s="16" t="str">
        <x:v>review: FinBERT etiketi ile ChatGPT etiketi farklı</x:v>
      </x:c>
      <x:c r="N3" t="str">
        <x:v>REUTERS ANNOTATION BATCH 033</x:v>
      </x:c>
    </x:row>
    <x:row r="4">
      <x:c r="A4" t="str">
        <x:v>REUTERS_ANN_01603</x:v>
      </x:c>
      <x:c r="B4" s="10" t="n">
        <x:v>39148</x:v>
      </x:c>
      <x:c r="C4" t="n">
        <x:v>1</x:v>
      </x:c>
      <x:c r="D4" t="str">
        <x:v>positive</x:v>
      </x:c>
      <x:c r="E4" s="12" t="n">
        <x:v>0.8655024170875549</x:v>
      </x:c>
      <x:c r="F4" s="16" t="str">
        <x:v>u.s., south korea near end of trade talks deal elusive</x:v>
      </x:c>
      <x:c r="G4" s="16" t="str">
        <x:v>ABD ve Güney Kore ticaret görüşmelerinin sonuna yaklaşırken anlaşma hâlâ belirsiz</x:v>
      </x:c>
      <x:c r="H4" t="n">
        <x:f>IF(I4="positive",1,IF(I4="negative",-1,0))</x:f>
        <x:v>0</x:v>
      </x:c>
      <x:c r="I4" t="str">
        <x:v>neutral</x:v>
      </x:c>
      <x:c r="J4" s="14" t="n">
        <x:v>0.61</x:v>
      </x:c>
      <x:c r="K4" s="16" t="str">
        <x:v>Görüşmeler ilerlese de anlaşmanın belirsiz kalması net yönlü bir piyasa sinyali vermiyor.</x:v>
      </x:c>
      <x:c r="L4" t="str">
        <x:f>IF(D4=I4,"same","different")</x:f>
        <x:v>different</x:v>
      </x:c>
      <x:c r="M4" s="16" t="str">
        <x:v>review: FinBERT etiketi ile ChatGPT etiketi farklı</x:v>
      </x:c>
      <x:c r="N4" t="str">
        <x:v>REUTERS ANNOTATION BATCH 033</x:v>
      </x:c>
    </x:row>
    <x:row r="5">
      <x:c r="A5" t="str">
        <x:v>REUTERS_ANN_01604</x:v>
      </x:c>
      <x:c r="B5" s="10" t="n">
        <x:v>39071</x:v>
      </x:c>
      <x:c r="C5" t="n">
        <x:v>-1</x:v>
      </x:c>
      <x:c r="D5" t="str">
        <x:v>negative</x:v>
      </x:c>
      <x:c r="E5" s="12" t="n">
        <x:v>0.5879241824150085</x:v>
      </x:c>
      <x:c r="F5" s="16" t="str">
        <x:v>delta creditors back plan filing but weigh options</x:v>
      </x:c>
      <x:c r="G5" s="16" t="str">
        <x:v>Delta alacaklıları plan başvurusunu destekliyor ancak seçenekleri değerlendiriyor</x:v>
      </x:c>
      <x:c r="H5" t="n">
        <x:f>IF(I5="positive",1,IF(I5="negative",-1,0))</x:f>
        <x:v>0</x:v>
      </x:c>
      <x:c r="I5" t="str">
        <x:v>neutral</x:v>
      </x:c>
      <x:c r="J5" s="14" t="n">
        <x:v>0.68</x:v>
      </x:c>
      <x:c r="K5" s="16" t="str">
        <x:v>Alacaklı desteği olumlu, seçeneklerin açık kalması ise belirsizlik yarattığı için dengeli.</x:v>
      </x:c>
      <x:c r="L5" t="str">
        <x:f>IF(D5=I5,"same","different")</x:f>
        <x:v>different</x:v>
      </x:c>
      <x:c r="M5" s="16" t="str">
        <x:v>review: FinBERT etiketi ile ChatGPT etiketi farklı</x:v>
      </x:c>
      <x:c r="N5" t="str">
        <x:v>REUTERS ANNOTATION BATCH 033</x:v>
      </x:c>
    </x:row>
    <x:row r="6">
      <x:c r="A6" t="str">
        <x:v>REUTERS_ANN_01605</x:v>
      </x:c>
      <x:c r="B6" s="10" t="n">
        <x:v>39020</x:v>
      </x:c>
      <x:c r="C6" t="n">
        <x:v>1</x:v>
      </x:c>
      <x:c r="D6" t="str">
        <x:v>positive</x:v>
      </x:c>
      <x:c r="E6" s="12" t="n">
        <x:v>0.9520347714424132</x:v>
      </x:c>
      <x:c r="F6" s="16" t="str">
        <x:v>humana profit rises, medicare advantage helps</x:v>
      </x:c>
      <x:c r="G6" s="16" t="str">
        <x:v>Humana'nın kârı Medicare Advantage katkısıyla yükseldi</x:v>
      </x:c>
      <x:c r="H6" t="n">
        <x:f>IF(I6="positive",1,IF(I6="negative",-1,0))</x:f>
        <x:v>1</x:v>
      </x:c>
      <x:c r="I6" t="str">
        <x:v>positive</x:v>
      </x:c>
      <x:c r="J6" s="14" t="n">
        <x:v>0.94</x:v>
      </x:c>
      <x:c r="K6" s="16" t="str">
        <x:v>Kâr artışı ve segment katkısı doğrudan olumlu finansal performans sinyali.</x:v>
      </x:c>
      <x:c r="L6" t="str">
        <x:f>IF(D6=I6,"same","different")</x:f>
        <x:v>same</x:v>
      </x:c>
      <x:c r="M6" s="16" t="str"/>
      <x:c r="N6" t="str">
        <x:v>REUTERS ANNOTATION BATCH 033</x:v>
      </x:c>
    </x:row>
    <x:row r="7">
      <x:c r="A7" t="str">
        <x:v>REUTERS_ANN_01606</x:v>
      </x:c>
      <x:c r="B7" s="10" t="n">
        <x:v>39174</x:v>
      </x:c>
      <x:c r="C7" t="n">
        <x:v>0</x:v>
      </x:c>
      <x:c r="D7" t="str">
        <x:v>neutral</x:v>
      </x:c>
      <x:c r="E7" s="12" t="n">
        <x:v>0.8910421133041382</x:v>
      </x:c>
      <x:c r="F7" s="16" t="str">
        <x:v>tribune to sell storied losing cubs team this year</x:v>
      </x:c>
      <x:c r="G7" s="16" t="str">
        <x:v>Tribune bu yıl tarihi fakat zarar eden Cubs takımını satacak</x:v>
      </x:c>
      <x:c r="H7" t="n">
        <x:f>IF(I7="positive",1,IF(I7="negative",-1,0))</x:f>
        <x:v>0</x:v>
      </x:c>
      <x:c r="I7" t="str">
        <x:v>neutral</x:v>
      </x:c>
      <x:c r="J7" s="14" t="n">
        <x:v>0.7</x:v>
      </x:c>
      <x:c r="K7" s="16" t="str">
        <x:v>Varlık satışı haberi var; 'zarar eden' ifadesi olsa da toplam şirket etkisi tek başına net değil.</x:v>
      </x:c>
      <x:c r="L7" t="str">
        <x:f>IF(D7=I7,"same","different")</x:f>
        <x:v>same</x:v>
      </x:c>
      <x:c r="M7" s="16" t="str"/>
      <x:c r="N7" t="str">
        <x:v>REUTERS ANNOTATION BATCH 033</x:v>
      </x:c>
    </x:row>
    <x:row r="8">
      <x:c r="A8" t="str">
        <x:v>REUTERS_ANN_01607</x:v>
      </x:c>
      <x:c r="B8" s="10" t="n">
        <x:v>39069</x:v>
      </x:c>
      <x:c r="C8" t="n">
        <x:v>0</x:v>
      </x:c>
      <x:c r="D8" t="str">
        <x:v>neutral</x:v>
      </x:c>
      <x:c r="E8" s="12" t="n">
        <x:v>0.9198033809661864</x:v>
      </x:c>
      <x:c r="F8" s="16" t="str">
        <x:v>factbox-new merger deals add to record ma year</x:v>
      </x:c>
      <x:c r="G8" s="16" t="str">
        <x:v>Bilgi kutusu: yeni birleşme anlaşmaları rekor M&amp;A yılına katkı sağlıyor</x:v>
      </x:c>
      <x:c r="H8" t="n">
        <x:f>IF(I8="positive",1,IF(I8="negative",-1,0))</x:f>
        <x:v>1</x:v>
      </x:c>
      <x:c r="I8" t="str">
        <x:v>positive</x:v>
      </x:c>
      <x:c r="J8" s="14" t="n">
        <x:v>0.76</x:v>
      </x:c>
      <x:c r="K8" s="16" t="str">
        <x:v>Rekor birleşme ve satın alma aktivitesi piyasa canlılığı açısından olumlu.</x:v>
      </x:c>
      <x:c r="L8" t="str">
        <x:f>IF(D8=I8,"same","different")</x:f>
        <x:v>different</x:v>
      </x:c>
      <x:c r="M8" s="16" t="str">
        <x:v>review: FinBERT etiketi ile ChatGPT etiketi farklı</x:v>
      </x:c>
      <x:c r="N8" t="str">
        <x:v>REUTERS ANNOTATION BATCH 033</x:v>
      </x:c>
    </x:row>
    <x:row r="9">
      <x:c r="A9" t="str">
        <x:v>REUTERS_ANN_01608</x:v>
      </x:c>
      <x:c r="B9" s="10" t="n">
        <x:v>39210</x:v>
      </x:c>
      <x:c r="C9" t="n">
        <x:v>1</x:v>
      </x:c>
      <x:c r="D9" t="str">
        <x:v>positive</x:v>
      </x:c>
      <x:c r="E9" s="12" t="n">
        <x:v>0.951010525226593</x:v>
      </x:c>
      <x:c r="F9" s="16" t="str">
        <x:v>cvs/caremark profit jumps as shares rise</x:v>
      </x:c>
      <x:c r="G9" s="16" t="str">
        <x:v>CVS/Caremark kârı sıçradı, hisseler yükseldi</x:v>
      </x:c>
      <x:c r="H9" t="n">
        <x:f>IF(I9="positive",1,IF(I9="negative",-1,0))</x:f>
        <x:v>1</x:v>
      </x:c>
      <x:c r="I9" t="str">
        <x:v>positive</x:v>
      </x:c>
      <x:c r="J9" s="14" t="n">
        <x:v>0.96</x:v>
      </x:c>
      <x:c r="K9" s="16" t="str">
        <x:v>Kârda güçlü artış ve hisse yükselişi net olumlu sinyal.</x:v>
      </x:c>
      <x:c r="L9" t="str">
        <x:f>IF(D9=I9,"same","different")</x:f>
        <x:v>same</x:v>
      </x:c>
      <x:c r="M9" s="16" t="str"/>
      <x:c r="N9" t="str">
        <x:v>REUTERS ANNOTATION BATCH 033</x:v>
      </x:c>
    </x:row>
    <x:row r="10">
      <x:c r="A10" t="str">
        <x:v>REUTERS_ANN_01609</x:v>
      </x:c>
      <x:c r="B10" s="10" t="n">
        <x:v>39106</x:v>
      </x:c>
      <x:c r="C10" t="n">
        <x:v>0</x:v>
      </x:c>
      <x:c r="D10" t="str">
        <x:v>neutral</x:v>
      </x:c>
      <x:c r="E10" s="12" t="n">
        <x:v>0.7833544015884399</x:v>
      </x:c>
      <x:c r="F10" s="16" t="str">
        <x:v>goldman, morgan stanley seek dominion deal wsj</x:v>
      </x:c>
      <x:c r="G10" s="16" t="str">
        <x:v>Goldman ve Morgan Stanley, Dominion anlaşmasını arıyor</x:v>
      </x:c>
      <x:c r="H10" t="n">
        <x:f>IF(I10="positive",1,IF(I10="negative",-1,0))</x:f>
        <x:v>0</x:v>
      </x:c>
      <x:c r="I10" t="str">
        <x:v>neutral</x:v>
      </x:c>
      <x:c r="J10" s="14" t="n">
        <x:v>0.67</x:v>
      </x:c>
      <x:c r="K10" s="16" t="str">
        <x:v>Olası anlaşma arayışı var ancak sonuç ve finansal etki henüz net değil.</x:v>
      </x:c>
      <x:c r="L10" t="str">
        <x:f>IF(D10=I10,"same","different")</x:f>
        <x:v>same</x:v>
      </x:c>
      <x:c r="M10" s="16" t="str"/>
      <x:c r="N10" t="str">
        <x:v>REUTERS ANNOTATION BATCH 033</x:v>
      </x:c>
    </x:row>
    <x:row r="11">
      <x:c r="A11" t="str">
        <x:v>REUTERS_ANN_01610</x:v>
      </x:c>
      <x:c r="B11" s="10" t="n">
        <x:v>39174</x:v>
      </x:c>
      <x:c r="C11" t="n">
        <x:v>-1</x:v>
      </x:c>
      <x:c r="D11" t="str">
        <x:v>negative</x:v>
      </x:c>
      <x:c r="E11" s="12" t="n">
        <x:v>0.9711427688598632</x:v>
      </x:c>
      <x:c r="F11" s="16" t="str">
        <x:v>summary-boj tankan shows japan sentiment worsens slightly</x:v>
      </x:c>
      <x:c r="G11" s="16" t="str">
        <x:v>Özet: BOJ Tankan, Japonya güveninin hafif kötüleştiğini gösteriyor</x:v>
      </x:c>
      <x:c r="H11" t="n">
        <x:f>IF(I11="positive",1,IF(I11="negative",-1,0))</x:f>
        <x:v>-1</x:v>
      </x:c>
      <x:c r="I11" t="str">
        <x:v>negative</x:v>
      </x:c>
      <x:c r="J11" s="14" t="n">
        <x:v>0.9</x:v>
      </x:c>
      <x:c r="K11" s="16" t="str">
        <x:v>Ekonomik güvenin kötüleşmesi büyüme ve piyasa algısı açısından olumsuz.</x:v>
      </x:c>
      <x:c r="L11" t="str">
        <x:f>IF(D11=I11,"same","different")</x:f>
        <x:v>same</x:v>
      </x:c>
      <x:c r="M11" s="16" t="str"/>
      <x:c r="N11" t="str">
        <x:v>REUTERS ANNOTATION BATCH 033</x:v>
      </x:c>
    </x:row>
    <x:row r="12">
      <x:c r="A12" t="str">
        <x:v>REUTERS_ANN_01611</x:v>
      </x:c>
      <x:c r="B12" s="10" t="n">
        <x:v>39174</x:v>
      </x:c>
      <x:c r="C12" t="n">
        <x:v>-1</x:v>
      </x:c>
      <x:c r="D12" t="str">
        <x:v>negative</x:v>
      </x:c>
      <x:c r="E12" s="12" t="n">
        <x:v>0.7484840750694275</x:v>
      </x:c>
      <x:c r="F12" s="16" t="str">
        <x:v>mortgage woes seen holding us growth below trend</x:v>
      </x:c>
      <x:c r="G12" s="16" t="str">
        <x:v>Mortgage sorunlarının ABD büyümesini trendin altında tutacağı düşünülüyor</x:v>
      </x:c>
      <x:c r="H12" t="n">
        <x:f>IF(I12="positive",1,IF(I12="negative",-1,0))</x:f>
        <x:v>-1</x:v>
      </x:c>
      <x:c r="I12" t="str">
        <x:v>negative</x:v>
      </x:c>
      <x:c r="J12" s="14" t="n">
        <x:v>0.91</x:v>
      </x:c>
      <x:c r="K12" s="16" t="str">
        <x:v>Mortgage kaynaklı baskının büyümeyi zayıflatması açık olumsuz makro sinyal.</x:v>
      </x:c>
      <x:c r="L12" t="str">
        <x:f>IF(D12=I12,"same","different")</x:f>
        <x:v>same</x:v>
      </x:c>
      <x:c r="M12" s="16" t="str"/>
      <x:c r="N12" t="str">
        <x:v>REUTERS ANNOTATION BATCH 033</x:v>
      </x:c>
    </x:row>
    <x:row r="13">
      <x:c r="A13" t="str">
        <x:v>REUTERS_ANN_01612</x:v>
      </x:c>
      <x:c r="B13" s="10" t="n">
        <x:v>39154</x:v>
      </x:c>
      <x:c r="C13" t="n">
        <x:v>0</x:v>
      </x:c>
      <x:c r="D13" t="str">
        <x:v>neutral</x:v>
      </x:c>
      <x:c r="E13" s="12" t="n">
        <x:v>0.5479567646980286</x:v>
      </x:c>
      <x:c r="F13" s="16" t="str">
        <x:v>massachusetts aims to protect new century clients</x:v>
      </x:c>
      <x:c r="G13" s="16" t="str">
        <x:v>Massachusetts, New Century müşterilerini korumayı hedefliyor</x:v>
      </x:c>
      <x:c r="H13" t="n">
        <x:f>IF(I13="positive",1,IF(I13="negative",-1,0))</x:f>
        <x:v>0</x:v>
      </x:c>
      <x:c r="I13" t="str">
        <x:v>neutral</x:v>
      </x:c>
      <x:c r="J13" s="14" t="n">
        <x:v>0.64</x:v>
      </x:c>
      <x:c r="K13" s="16" t="str">
        <x:v>Düzenleyici koruma adımı var; şirket/piyasa yönü tek başına belirgin değil.</x:v>
      </x:c>
      <x:c r="L13" t="str">
        <x:f>IF(D13=I13,"same","different")</x:f>
        <x:v>same</x:v>
      </x:c>
      <x:c r="M13" s="16" t="str"/>
      <x:c r="N13" t="str">
        <x:v>REUTERS ANNOTATION BATCH 033</x:v>
      </x:c>
    </x:row>
    <x:row r="14">
      <x:c r="A14" t="str">
        <x:v>REUTERS_ANN_01613</x:v>
      </x:c>
      <x:c r="B14" s="10" t="n">
        <x:v>39029</x:v>
      </x:c>
      <x:c r="C14" t="n">
        <x:v>-1</x:v>
      </x:c>
      <x:c r="D14" t="str">
        <x:v>negative</x:v>
      </x:c>
      <x:c r="E14" s="12" t="n">
        <x:v>0.959370732307434</x:v>
      </x:c>
      <x:c r="F14" s="16" t="str">
        <x:v>update 6-total q3 net profit tops forecasts, ups dividend</x:v>
      </x:c>
      <x:c r="G14" s="16" t="str">
        <x:v>Total'in üçüncü çeyrek net kârı beklentileri aştı, temettüyü artırdı</x:v>
      </x:c>
      <x:c r="H14" t="n">
        <x:f>IF(I14="positive",1,IF(I14="negative",-1,0))</x:f>
        <x:v>1</x:v>
      </x:c>
      <x:c r="I14" t="str">
        <x:v>positive</x:v>
      </x:c>
      <x:c r="J14" s="14" t="n">
        <x:v>0.95</x:v>
      </x:c>
      <x:c r="K14" s="16" t="str">
        <x:v>Beklentilerin aşılması ve temettü artışı güçlü olumlu finansal sinyal.</x:v>
      </x:c>
      <x:c r="L14" t="str">
        <x:f>IF(D14=I14,"same","different")</x:f>
        <x:v>different</x:v>
      </x:c>
      <x:c r="M14" s="16" t="str">
        <x:v>review: FinBERT etiketi ile ChatGPT etiketi farklı</x:v>
      </x:c>
      <x:c r="N14" t="str">
        <x:v>REUTERS ANNOTATION BATCH 033</x:v>
      </x:c>
    </x:row>
    <x:row r="15">
      <x:c r="A15" t="str">
        <x:v>REUTERS_ANN_01614</x:v>
      </x:c>
      <x:c r="B15" s="10" t="n">
        <x:v>39173</x:v>
      </x:c>
      <x:c r="C15" t="n">
        <x:v>0</x:v>
      </x:c>
      <x:c r="D15" t="str">
        <x:v>neutral</x:v>
      </x:c>
      <x:c r="E15" s="12" t="n">
        <x:v>0.8338620662689209</x:v>
      </x:c>
      <x:c r="F15" s="16" t="str">
        <x:v>s.koreas stx to invest additional $800 mln in china</x:v>
      </x:c>
      <x:c r="G15" s="16" t="str">
        <x:v>Güney Koreli STX Çin'e ek 800 milyon dolar yatırım yapacak</x:v>
      </x:c>
      <x:c r="H15" t="n">
        <x:f>IF(I15="positive",1,IF(I15="negative",-1,0))</x:f>
        <x:v>1</x:v>
      </x:c>
      <x:c r="I15" t="str">
        <x:v>positive</x:v>
      </x:c>
      <x:c r="J15" s="14" t="n">
        <x:v>0.82</x:v>
      </x:c>
      <x:c r="K15" s="16" t="str">
        <x:v>Büyük yatırım ve genişleme planı büyüme açısından olumlu.</x:v>
      </x:c>
      <x:c r="L15" t="str">
        <x:f>IF(D15=I15,"same","different")</x:f>
        <x:v>different</x:v>
      </x:c>
      <x:c r="M15" s="16" t="str">
        <x:v>review: FinBERT etiketi ile ChatGPT etiketi farklı</x:v>
      </x:c>
      <x:c r="N15" t="str">
        <x:v>REUTERS ANNOTATION BATCH 033</x:v>
      </x:c>
    </x:row>
    <x:row r="16">
      <x:c r="A16" t="str">
        <x:v>REUTERS_ANN_01615</x:v>
      </x:c>
      <x:c r="B16" s="10" t="n">
        <x:v>39142</x:v>
      </x:c>
      <x:c r="C16" t="n">
        <x:v>0</x:v>
      </x:c>
      <x:c r="D16" t="str">
        <x:v>neutral</x:v>
      </x:c>
      <x:c r="E16" s="12" t="n">
        <x:v>0.6546698212623596</x:v>
      </x:c>
      <x:c r="F16" s="16" t="str">
        <x:v>nato approval not needed for missile shield says u.s.</x:v>
      </x:c>
      <x:c r="G16" s="16" t="str">
        <x:v>ABD, füze kalkanı için NATO onayının gerekmediğini söylüyor</x:v>
      </x:c>
      <x:c r="H16" t="n">
        <x:f>IF(I16="positive",1,IF(I16="negative",-1,0))</x:f>
        <x:v>0</x:v>
      </x:c>
      <x:c r="I16" t="str">
        <x:v>neutral</x:v>
      </x:c>
      <x:c r="J16" s="14" t="n">
        <x:v>0.72</x:v>
      </x:c>
      <x:c r="K16" s="16" t="str">
        <x:v>Haber jeopolitik/politik nitelikte; doğrudan şirket veya piyasa yönü zayıf.</x:v>
      </x:c>
      <x:c r="L16" t="str">
        <x:f>IF(D16=I16,"same","different")</x:f>
        <x:v>same</x:v>
      </x:c>
      <x:c r="M16" s="16" t="str"/>
      <x:c r="N16" t="str">
        <x:v>REUTERS ANNOTATION BATCH 033</x:v>
      </x:c>
    </x:row>
    <x:row r="17">
      <x:c r="A17" t="str">
        <x:v>REUTERS_ANN_01616</x:v>
      </x:c>
      <x:c r="B17" s="10" t="n">
        <x:v>39065</x:v>
      </x:c>
      <x:c r="C17" t="n">
        <x:v>0</x:v>
      </x:c>
      <x:c r="D17" t="str">
        <x:v>neutral</x:v>
      </x:c>
      <x:c r="E17" s="12" t="n">
        <x:v>0.8148025870323181</x:v>
      </x:c>
      <x:c r="F17" s="16" t="str">
        <x:v>disk drive pioneer al shugart dies</x:v>
      </x:c>
      <x:c r="G17" s="16" t="str">
        <x:v>Disk sürücüsü öncüsü Al Shugart hayatını kaybetti</x:v>
      </x:c>
      <x:c r="H17" t="n">
        <x:f>IF(I17="positive",1,IF(I17="negative",-1,0))</x:f>
        <x:v>0</x:v>
      </x:c>
      <x:c r="I17" t="str">
        <x:v>neutral</x:v>
      </x:c>
      <x:c r="J17" s="14" t="n">
        <x:v>0.87</x:v>
      </x:c>
      <x:c r="K17" s="16" t="str">
        <x:v>Kişisel/vefat haberi; doğrudan finansal performans sinyali içermiyor.</x:v>
      </x:c>
      <x:c r="L17" t="str">
        <x:f>IF(D17=I17,"same","different")</x:f>
        <x:v>same</x:v>
      </x:c>
      <x:c r="M17" s="16" t="str"/>
      <x:c r="N17" t="str">
        <x:v>REUTERS ANNOTATION BATCH 033</x:v>
      </x:c>
    </x:row>
    <x:row r="18">
      <x:c r="A18" t="str">
        <x:v>REUTERS_ANN_01617</x:v>
      </x:c>
      <x:c r="B18" s="10" t="n">
        <x:v>39072</x:v>
      </x:c>
      <x:c r="C18" t="n">
        <x:v>-1</x:v>
      </x:c>
      <x:c r="D18" t="str">
        <x:v>negative</x:v>
      </x:c>
      <x:c r="E18" s="12" t="n">
        <x:v>0.9740067720413208</x:v>
      </x:c>
      <x:c r="F18" s="16" t="str">
        <x:v>stocks fall on slower growth fears</x:v>
      </x:c>
      <x:c r="G18" s="16" t="str">
        <x:v>Hisseler yavaş büyüme korkularıyla düştü</x:v>
      </x:c>
      <x:c r="H18" t="n">
        <x:f>IF(I18="positive",1,IF(I18="negative",-1,0))</x:f>
        <x:v>-1</x:v>
      </x:c>
      <x:c r="I18" t="str">
        <x:v>negative</x:v>
      </x:c>
      <x:c r="J18" s="14" t="n">
        <x:v>0.96</x:v>
      </x:c>
      <x:c r="K18" s="16" t="str">
        <x:v>Büyüme korkuları ve hisse düşüşü net olumsuz piyasa sinyali.</x:v>
      </x:c>
      <x:c r="L18" t="str">
        <x:f>IF(D18=I18,"same","different")</x:f>
        <x:v>same</x:v>
      </x:c>
      <x:c r="M18" s="16" t="str"/>
      <x:c r="N18" t="str">
        <x:v>REUTERS ANNOTATION BATCH 033</x:v>
      </x:c>
    </x:row>
    <x:row r="19">
      <x:c r="A19" t="str">
        <x:v>REUTERS_ANN_01618</x:v>
      </x:c>
      <x:c r="B19" s="10" t="n">
        <x:v>39093</x:v>
      </x:c>
      <x:c r="C19" t="n">
        <x:v>-1</x:v>
      </x:c>
      <x:c r="D19" t="str">
        <x:v>negative</x:v>
      </x:c>
      <x:c r="E19" s="12" t="n">
        <x:v>0.975648045539856</x:v>
      </x:c>
      <x:c r="F19" s="16" t="str">
        <x:v>jobless claims plunged 26,000 last week</x:v>
      </x:c>
      <x:c r="G19" s="16" t="str">
        <x:v>İşsizlik başvuruları geçen hafta 26.000 azaldı</x:v>
      </x:c>
      <x:c r="H19" t="n">
        <x:f>IF(I19="positive",1,IF(I19="negative",-1,0))</x:f>
        <x:v>1</x:v>
      </x:c>
      <x:c r="I19" t="str">
        <x:v>positive</x:v>
      </x:c>
      <x:c r="J19" s="14" t="n">
        <x:v>0.91</x:v>
      </x:c>
      <x:c r="K19" s="16" t="str">
        <x:v>İşsizlik başvurularındaki düşüş işgücü piyasası açısından olumlu.</x:v>
      </x:c>
      <x:c r="L19" t="str">
        <x:f>IF(D19=I19,"same","different")</x:f>
        <x:v>different</x:v>
      </x:c>
      <x:c r="M19" s="16" t="str">
        <x:v>review: FinBERT etiketi ile ChatGPT etiketi farklı</x:v>
      </x:c>
      <x:c r="N19" t="str">
        <x:v>REUTERS ANNOTATION BATCH 033</x:v>
      </x:c>
    </x:row>
    <x:row r="20">
      <x:c r="A20" t="str">
        <x:v>REUTERS_ANN_01619</x:v>
      </x:c>
      <x:c r="B20" s="10" t="n">
        <x:v>39175</x:v>
      </x:c>
      <x:c r="C20" t="n">
        <x:v>-1</x:v>
      </x:c>
      <x:c r="D20" t="str">
        <x:v>negative</x:v>
      </x:c>
      <x:c r="E20" s="12" t="n">
        <x:v>0.9734178185462952</x:v>
      </x:c>
      <x:c r="F20" s="16" t="str">
        <x:v>gm u.s. march sales down 7.7 percent</x:v>
      </x:c>
      <x:c r="G20" s="16" t="str">
        <x:v>GM'nin ABD Mart satışları yüzde 7,7 düştü</x:v>
      </x:c>
      <x:c r="H20" t="n">
        <x:f>IF(I20="positive",1,IF(I20="negative",-1,0))</x:f>
        <x:v>-1</x:v>
      </x:c>
      <x:c r="I20" t="str">
        <x:v>negative</x:v>
      </x:c>
      <x:c r="J20" s="14" t="n">
        <x:v>0.96</x:v>
      </x:c>
      <x:c r="K20" s="16" t="str">
        <x:v>Satışlardaki belirgin düşüş şirket performansı açısından olumsuz.</x:v>
      </x:c>
      <x:c r="L20" t="str">
        <x:f>IF(D20=I20,"same","different")</x:f>
        <x:v>same</x:v>
      </x:c>
      <x:c r="M20" s="16" t="str"/>
      <x:c r="N20" t="str">
        <x:v>REUTERS ANNOTATION BATCH 033</x:v>
      </x:c>
    </x:row>
    <x:row r="21">
      <x:c r="A21" t="str">
        <x:v>REUTERS_ANN_01620</x:v>
      </x:c>
      <x:c r="B21" s="10" t="n">
        <x:v>39161</x:v>
      </x:c>
      <x:c r="C21" t="n">
        <x:v>-1</x:v>
      </x:c>
      <x:c r="D21" t="str">
        <x:v>negative</x:v>
      </x:c>
      <x:c r="E21" s="12" t="n">
        <x:v>0.8018290400505066</x:v>
      </x:c>
      <x:c r="F21" s="16" t="str">
        <x:v>wyeth says alzheimer program a justified long-shot</x:v>
      </x:c>
      <x:c r="G21" s="16" t="str">
        <x:v>Wyeth, Alzheimer programının haklı fakat uzun ihtimalli bir girişim olduğunu söylüyor</x:v>
      </x:c>
      <x:c r="H21" t="n">
        <x:f>IF(I21="positive",1,IF(I21="negative",-1,0))</x:f>
        <x:v>0</x:v>
      </x:c>
      <x:c r="I21" t="str">
        <x:v>neutral</x:v>
      </x:c>
      <x:c r="J21" s="14" t="n">
        <x:v>0.58</x:v>
      </x:c>
      <x:c r="K21" s="16" t="str">
        <x:v>Program riskli olsa da geliştirme çabası sürüyor; net finansal yön sınırlı.</x:v>
      </x:c>
      <x:c r="L21" t="str">
        <x:f>IF(D21=I21,"same","different")</x:f>
        <x:v>different</x:v>
      </x:c>
      <x:c r="M21" s="16" t="str">
        <x:v>review: FinBERT etiketi ile ChatGPT etiketi farklı</x:v>
      </x:c>
      <x:c r="N21" t="str">
        <x:v>REUTERS ANNOTATION BATCH 033</x:v>
      </x:c>
    </x:row>
    <x:row r="22">
      <x:c r="A22" t="str">
        <x:v>REUTERS_ANN_01621</x:v>
      </x:c>
      <x:c r="B22" s="10" t="n">
        <x:v>39189</x:v>
      </x:c>
      <x:c r="C22" t="n">
        <x:v>1</x:v>
      </x:c>
      <x:c r="D22" t="str">
        <x:v>positive</x:v>
      </x:c>
      <x:c r="E22" s="12" t="n">
        <x:v>0.5839592218399048</x:v>
      </x:c>
      <x:c r="F22" s="16" t="str">
        <x:v>aol to announce five web broadband deals</x:v>
      </x:c>
      <x:c r="G22" s="16" t="str">
        <x:v>AOL beş web genişbant anlaşması açıklayacak</x:v>
      </x:c>
      <x:c r="H22" t="n">
        <x:f>IF(I22="positive",1,IF(I22="negative",-1,0))</x:f>
        <x:v>1</x:v>
      </x:c>
      <x:c r="I22" t="str">
        <x:v>positive</x:v>
      </x:c>
      <x:c r="J22" s="14" t="n">
        <x:v>0.74</x:v>
      </x:c>
      <x:c r="K22" s="16" t="str">
        <x:v>Yeni anlaşmalar büyüme ve iş geliştirme açısından olumlu.</x:v>
      </x:c>
      <x:c r="L22" t="str">
        <x:f>IF(D22=I22,"same","different")</x:f>
        <x:v>same</x:v>
      </x:c>
      <x:c r="M22" s="16" t="str"/>
      <x:c r="N22" t="str">
        <x:v>REUTERS ANNOTATION BATCH 033</x:v>
      </x:c>
    </x:row>
    <x:row r="23">
      <x:c r="A23" t="str">
        <x:v>REUTERS_ANN_01622</x:v>
      </x:c>
      <x:c r="B23" s="10" t="n">
        <x:v>39028</x:v>
      </x:c>
      <x:c r="C23" t="n">
        <x:v>-1</x:v>
      </x:c>
      <x:c r="D23" t="str">
        <x:v>negative</x:v>
      </x:c>
      <x:c r="E23" s="12" t="n">
        <x:v>0.9461877346038818</x:v>
      </x:c>
      <x:c r="F23" s="16" t="str">
        <x:v>revlon posts third straight quarterly loss</x:v>
      </x:c>
      <x:c r="G23" s="16" t="str">
        <x:v>Revlon üst üste üçüncü çeyrekte zarar açıkladı</x:v>
      </x:c>
      <x:c r="H23" t="n">
        <x:f>IF(I23="positive",1,IF(I23="negative",-1,0))</x:f>
        <x:v>-1</x:v>
      </x:c>
      <x:c r="I23" t="str">
        <x:v>negative</x:v>
      </x:c>
      <x:c r="J23" s="14" t="n">
        <x:v>0.95</x:v>
      </x:c>
      <x:c r="K23" s="16" t="str">
        <x:v>Tekrarlayan zararlar açık olumsuz finansal performans sinyali.</x:v>
      </x:c>
      <x:c r="L23" t="str">
        <x:f>IF(D23=I23,"same","different")</x:f>
        <x:v>same</x:v>
      </x:c>
      <x:c r="M23" s="16" t="str"/>
      <x:c r="N23" t="str">
        <x:v>REUTERS ANNOTATION BATCH 033</x:v>
      </x:c>
    </x:row>
    <x:row r="24">
      <x:c r="A24" t="str">
        <x:v>REUTERS_ANN_01623</x:v>
      </x:c>
      <x:c r="B24" s="10" t="n">
        <x:v>39169</x:v>
      </x:c>
      <x:c r="C24" t="n">
        <x:v>0</x:v>
      </x:c>
      <x:c r="D24" t="str">
        <x:v>neutral</x:v>
      </x:c>
      <x:c r="E24" s="12" t="n">
        <x:v>0.9148169755935668</x:v>
      </x:c>
      <x:c r="F24" s="16" t="str">
        <x:v>potential buyers still eyeing palm source</x:v>
      </x:c>
      <x:c r="G24" s="16" t="str">
        <x:v>Olası alıcılar hâlâ Palm ile ilgileniyor</x:v>
      </x:c>
      <x:c r="H24" t="n">
        <x:f>IF(I24="positive",1,IF(I24="negative",-1,0))</x:f>
        <x:v>0</x:v>
      </x:c>
      <x:c r="I24" t="str">
        <x:v>neutral</x:v>
      </x:c>
      <x:c r="J24" s="14" t="n">
        <x:v>0.69</x:v>
      </x:c>
      <x:c r="K24" s="16" t="str">
        <x:v>Satın alma ilgisi var ancak anlaşma kesinleşmediği için nötr.</x:v>
      </x:c>
      <x:c r="L24" t="str">
        <x:f>IF(D24=I24,"same","different")</x:f>
        <x:v>same</x:v>
      </x:c>
      <x:c r="M24" s="16" t="str"/>
      <x:c r="N24" t="str">
        <x:v>REUTERS ANNOTATION BATCH 033</x:v>
      </x:c>
    </x:row>
    <x:row r="25">
      <x:c r="A25" t="str">
        <x:v>REUTERS_ANN_01624</x:v>
      </x:c>
      <x:c r="B25" s="10" t="n">
        <x:v>39175</x:v>
      </x:c>
      <x:c r="C25" t="n">
        <x:v>-1</x:v>
      </x:c>
      <x:c r="D25" t="str">
        <x:v>negative</x:v>
      </x:c>
      <x:c r="E25" s="12" t="n">
        <x:v>0.9748284220695496</x:v>
      </x:c>
      <x:c r="F25" s="16" t="str">
        <x:v>big three get march u.s. sales beating, toyota cheers</x:v>
      </x:c>
      <x:c r="G25" s="16" t="str">
        <x:v>Büyük üç otomobil üreticisi Mart satışlarında darbe aldı, Toyota sevindi</x:v>
      </x:c>
      <x:c r="H25" t="n">
        <x:f>IF(I25="positive",1,IF(I25="negative",-1,0))</x:f>
        <x:v>-1</x:v>
      </x:c>
      <x:c r="I25" t="str">
        <x:v>negative</x:v>
      </x:c>
      <x:c r="J25" s="14" t="n">
        <x:v>0.75</x:v>
      </x:c>
      <x:c r="K25" s="16" t="str">
        <x:v>ABD'li büyük üreticiler için satış baskısı olumsuz; Toyota detayı olsa da ana vurgu darbe.</x:v>
      </x:c>
      <x:c r="L25" t="str">
        <x:f>IF(D25=I25,"same","different")</x:f>
        <x:v>same</x:v>
      </x:c>
      <x:c r="M25" s="16" t="str"/>
      <x:c r="N25" t="str">
        <x:v>REUTERS ANNOTATION BATCH 033</x:v>
      </x:c>
    </x:row>
    <x:row r="26">
      <x:c r="A26" t="str">
        <x:v>REUTERS_ANN_01625</x:v>
      </x:c>
      <x:c r="B26" s="10" t="n">
        <x:v>39015</x:v>
      </x:c>
      <x:c r="C26" t="n">
        <x:v>-1</x:v>
      </x:c>
      <x:c r="D26" t="str">
        <x:v>negative</x:v>
      </x:c>
      <x:c r="E26" s="12" t="n">
        <x:v>0.5635192394256592</x:v>
      </x:c>
      <x:c r="F26" s="16" t="str">
        <x:v>conocophillips earnings rise slightly</x:v>
      </x:c>
      <x:c r="G26" s="16" t="str">
        <x:v>ConocoPhillips'in kârı hafif yükseldi</x:v>
      </x:c>
      <x:c r="H26" t="n">
        <x:f>IF(I26="positive",1,IF(I26="negative",-1,0))</x:f>
        <x:v>1</x:v>
      </x:c>
      <x:c r="I26" t="str">
        <x:v>positive</x:v>
      </x:c>
      <x:c r="J26" s="14" t="n">
        <x:v>0.76</x:v>
      </x:c>
      <x:c r="K26" s="16" t="str">
        <x:v>Kâr artışı sınırlı olsa da olumlu finansal performans sinyali.</x:v>
      </x:c>
      <x:c r="L26" t="str">
        <x:f>IF(D26=I26,"same","different")</x:f>
        <x:v>different</x:v>
      </x:c>
      <x:c r="M26" s="16" t="str">
        <x:v>review: FinBERT etiketi ile ChatGPT etiketi farklı</x:v>
      </x:c>
      <x:c r="N26" t="str">
        <x:v>REUTERS ANNOTATION BATCH 033</x:v>
      </x:c>
    </x:row>
    <x:row r="27">
      <x:c r="A27" t="str">
        <x:v>REUTERS_ANN_01626</x:v>
      </x:c>
      <x:c r="B27" s="10" t="n">
        <x:v>39120</x:v>
      </x:c>
      <x:c r="C27" t="n">
        <x:v>0</x:v>
      </x:c>
      <x:c r="D27" t="str">
        <x:v>neutral</x:v>
      </x:c>
      <x:c r="E27" s="12" t="n">
        <x:v>0.8712453246116638</x:v>
      </x:c>
      <x:c r="F27" s="16" t="str">
        <x:v>equity office approves blackstone offer</x:v>
      </x:c>
      <x:c r="G27" s="16" t="str">
        <x:v>Equity Office, Blackstone teklifini onayladı</x:v>
      </x:c>
      <x:c r="H27" t="n">
        <x:f>IF(I27="positive",1,IF(I27="negative",-1,0))</x:f>
        <x:v>1</x:v>
      </x:c>
      <x:c r="I27" t="str">
        <x:v>positive</x:v>
      </x:c>
      <x:c r="J27" s="14" t="n">
        <x:v>0.73</x:v>
      </x:c>
      <x:c r="K27" s="16" t="str">
        <x:v>Satın alma teklifinin onaylanması anlaşma gerçekleşme olasılığını artırdığı için olumlu.</x:v>
      </x:c>
      <x:c r="L27" t="str">
        <x:f>IF(D27=I27,"same","different")</x:f>
        <x:v>different</x:v>
      </x:c>
      <x:c r="M27" s="16" t="str">
        <x:v>review: FinBERT etiketi ile ChatGPT etiketi farklı</x:v>
      </x:c>
      <x:c r="N27" t="str">
        <x:v>REUTERS ANNOTATION BATCH 033</x:v>
      </x:c>
    </x:row>
    <x:row r="28">
      <x:c r="A28" t="str">
        <x:v>REUTERS_ANN_01627</x:v>
      </x:c>
      <x:c r="B28" s="10" t="n">
        <x:v>39195</x:v>
      </x:c>
      <x:c r="C28" t="n">
        <x:v>0</x:v>
      </x:c>
      <x:c r="D28" t="str">
        <x:v>neutral</x:v>
      </x:c>
      <x:c r="E28" s="12" t="n">
        <x:v>0.9272019267082214</x:v>
      </x:c>
      <x:c r="F28" s="16" t="str">
        <x:v>morgan stanley taps roach as asia chairman</x:v>
      </x:c>
      <x:c r="G28" s="16" t="str">
        <x:v>Morgan Stanley, Roach'u Asya başkanı olarak görevlendirdi</x:v>
      </x:c>
      <x:c r="H28" t="n">
        <x:f>IF(I28="positive",1,IF(I28="negative",-1,0))</x:f>
        <x:v>0</x:v>
      </x:c>
      <x:c r="I28" t="str">
        <x:v>neutral</x:v>
      </x:c>
      <x:c r="J28" s="14" t="n">
        <x:v>0.84</x:v>
      </x:c>
      <x:c r="K28" s="16" t="str">
        <x:v>Yönetim ataması haberi; doğrudan finansal etki sınırlı.</x:v>
      </x:c>
      <x:c r="L28" t="str">
        <x:f>IF(D28=I28,"same","different")</x:f>
        <x:v>same</x:v>
      </x:c>
      <x:c r="M28" s="16" t="str"/>
      <x:c r="N28" t="str">
        <x:v>REUTERS ANNOTATION BATCH 033</x:v>
      </x:c>
    </x:row>
    <x:row r="29">
      <x:c r="A29" t="str">
        <x:v>REUTERS_ANN_01628</x:v>
      </x:c>
      <x:c r="B29" s="10" t="n">
        <x:v>39078</x:v>
      </x:c>
      <x:c r="C29" t="n">
        <x:v>0</x:v>
      </x:c>
      <x:c r="D29" t="str">
        <x:v>neutral</x:v>
      </x:c>
      <x:c r="E29" s="12" t="n">
        <x:v>0.9394207000732422</x:v>
      </x:c>
      <x:c r="F29" s="16" t="str">
        <x:v>sec says changing compensation disclosure rules</x:v>
      </x:c>
      <x:c r="G29" s="16" t="str">
        <x:v>SEC tazminat açıklama kurallarını değiştirdiğini söylüyor</x:v>
      </x:c>
      <x:c r="H29" t="n">
        <x:f>IF(I29="positive",1,IF(I29="negative",-1,0))</x:f>
        <x:v>0</x:v>
      </x:c>
      <x:c r="I29" t="str">
        <x:v>neutral</x:v>
      </x:c>
      <x:c r="J29" s="14" t="n">
        <x:v>0.81</x:v>
      </x:c>
      <x:c r="K29" s="16" t="str">
        <x:v>Düzenleyici kural değişikliği; tek başına olumlu/olumsuz yön net değil.</x:v>
      </x:c>
      <x:c r="L29" t="str">
        <x:f>IF(D29=I29,"same","different")</x:f>
        <x:v>same</x:v>
      </x:c>
      <x:c r="M29" s="16" t="str"/>
      <x:c r="N29" t="str">
        <x:v>REUTERS ANNOTATION BATCH 033</x:v>
      </x:c>
    </x:row>
    <x:row r="30">
      <x:c r="A30" t="str">
        <x:v>REUTERS_ANN_01629</x:v>
      </x:c>
      <x:c r="B30" s="10" t="n">
        <x:v>39143</x:v>
      </x:c>
      <x:c r="C30" t="n">
        <x:v>0</x:v>
      </x:c>
      <x:c r="D30" t="str">
        <x:v>neutral</x:v>
      </x:c>
      <x:c r="E30" s="12" t="n">
        <x:v>0.7928248643875122</x:v>
      </x:c>
      <x:c r="F30" s="16" t="str">
        <x:v>afc enterprises ceo resigns</x:v>
      </x:c>
      <x:c r="G30" s="16" t="str">
        <x:v>AFC Enterprises CEO'su istifa etti</x:v>
      </x:c>
      <x:c r="H30" t="n">
        <x:f>IF(I30="positive",1,IF(I30="negative",-1,0))</x:f>
        <x:v>-1</x:v>
      </x:c>
      <x:c r="I30" t="str">
        <x:v>negative</x:v>
      </x:c>
      <x:c r="J30" s="14" t="n">
        <x:v>0.73</x:v>
      </x:c>
      <x:c r="K30" s="16" t="str">
        <x:v>Üst yönetim ayrılığı belirsizlik yarattığı için hafif olumsuz.</x:v>
      </x:c>
      <x:c r="L30" t="str">
        <x:f>IF(D30=I30,"same","different")</x:f>
        <x:v>different</x:v>
      </x:c>
      <x:c r="M30" s="16" t="str">
        <x:v>review: FinBERT etiketi ile ChatGPT etiketi farklı</x:v>
      </x:c>
      <x:c r="N30" t="str">
        <x:v>REUTERS ANNOTATION BATCH 033</x:v>
      </x:c>
    </x:row>
    <x:row r="31">
      <x:c r="A31" t="str">
        <x:v>REUTERS_ANN_01630</x:v>
      </x:c>
      <x:c r="B31" s="10" t="n">
        <x:v>39062</x:v>
      </x:c>
      <x:c r="C31" t="n">
        <x:v>0</x:v>
      </x:c>
      <x:c r="D31" t="str">
        <x:v>neutral</x:v>
      </x:c>
      <x:c r="E31" s="12" t="n">
        <x:v>0.5670965313911438</x:v>
      </x:c>
      <x:c r="F31" s="16" t="str">
        <x:v>tepco, marubeni to buy mirant plants for $3.4 bln</x:v>
      </x:c>
      <x:c r="G31" s="16" t="str">
        <x:v>TEPCO ve Marubeni, Mirant santrallerini 3,4 milyar dolara alacak</x:v>
      </x:c>
      <x:c r="H31" t="n">
        <x:f>IF(I31="positive",1,IF(I31="negative",-1,0))</x:f>
        <x:v>0</x:v>
      </x:c>
      <x:c r="I31" t="str">
        <x:v>neutral</x:v>
      </x:c>
      <x:c r="J31" s="14" t="n">
        <x:v>0.68</x:v>
      </x:c>
      <x:c r="K31" s="16" t="str">
        <x:v>Büyük satın alma haberi var ancak taraflara etkisi ve değerleme yorumu net değil.</x:v>
      </x:c>
      <x:c r="L31" t="str">
        <x:f>IF(D31=I31,"same","different")</x:f>
        <x:v>same</x:v>
      </x:c>
      <x:c r="M31" s="16" t="str"/>
      <x:c r="N31" t="str">
        <x:v>REUTERS ANNOTATION BATCH 033</x:v>
      </x:c>
    </x:row>
    <x:row r="32">
      <x:c r="A32" t="str">
        <x:v>REUTERS_ANN_01631</x:v>
      </x:c>
      <x:c r="B32" s="10" t="n">
        <x:v>39037</x:v>
      </x:c>
      <x:c r="C32" t="n">
        <x:v>0</x:v>
      </x:c>
      <x:c r="D32" t="str">
        <x:v>neutral</x:v>
      </x:c>
      <x:c r="E32" s="12" t="n">
        <x:v>0.3631844520568847</x:v>
      </x:c>
      <x:c r="F32" s="16" t="str">
        <x:v>eads denies part of airbus for sale</x:v>
      </x:c>
      <x:c r="G32" s="16" t="str">
        <x:v>EADS, Airbus'ın bir kısmının satılık olduğunu reddetti</x:v>
      </x:c>
      <x:c r="H32" t="n">
        <x:f>IF(I32="positive",1,IF(I32="negative",-1,0))</x:f>
        <x:v>0</x:v>
      </x:c>
      <x:c r="I32" t="str">
        <x:v>neutral</x:v>
      </x:c>
      <x:c r="J32" s="14" t="n">
        <x:v>0.78</x:v>
      </x:c>
      <x:c r="K32" s="16" t="str">
        <x:v>Satış söylentisinin reddi; net finansal yön üretmiyor.</x:v>
      </x:c>
      <x:c r="L32" t="str">
        <x:f>IF(D32=I32,"same","different")</x:f>
        <x:v>same</x:v>
      </x:c>
      <x:c r="M32" s="16" t="str"/>
      <x:c r="N32" t="str">
        <x:v>REUTERS ANNOTATION BATCH 033</x:v>
      </x:c>
    </x:row>
    <x:row r="33">
      <x:c r="A33" t="str">
        <x:v>REUTERS_ANN_01632</x:v>
      </x:c>
      <x:c r="B33" s="10" t="n">
        <x:v>39177</x:v>
      </x:c>
      <x:c r="C33" t="n">
        <x:v>0</x:v>
      </x:c>
      <x:c r="D33" t="str">
        <x:v>neutral</x:v>
      </x:c>
      <x:c r="E33" s="12" t="n">
        <x:v>0.8983209133148193</x:v>
      </x:c>
      <x:c r="F33" s="16" t="str">
        <x:v>cvc group tables bid for sainsbury paper</x:v>
      </x:c>
      <x:c r="G33" s="16" t="str">
        <x:v>CVC grubu Sainsbury için teklif sundu: gazete</x:v>
      </x:c>
      <x:c r="H33" t="n">
        <x:f>IF(I33="positive",1,IF(I33="negative",-1,0))</x:f>
        <x:v>1</x:v>
      </x:c>
      <x:c r="I33" t="str">
        <x:v>positive</x:v>
      </x:c>
      <x:c r="J33" s="14" t="n">
        <x:v>0.69</x:v>
      </x:c>
      <x:c r="K33" s="16" t="str">
        <x:v>Satın alma teklifi potansiyeli hissedar değeri açısından olumlu olabilir.</x:v>
      </x:c>
      <x:c r="L33" t="str">
        <x:f>IF(D33=I33,"same","different")</x:f>
        <x:v>different</x:v>
      </x:c>
      <x:c r="M33" s="16" t="str">
        <x:v>review: FinBERT etiketi ile ChatGPT etiketi farklı</x:v>
      </x:c>
      <x:c r="N33" t="str">
        <x:v>REUTERS ANNOTATION BATCH 033</x:v>
      </x:c>
    </x:row>
    <x:row r="34">
      <x:c r="A34" t="str">
        <x:v>REUTERS_ANN_01633</x:v>
      </x:c>
      <x:c r="B34" s="10" t="n">
        <x:v>39072</x:v>
      </x:c>
      <x:c r="C34" t="n">
        <x:v>0</x:v>
      </x:c>
      <x:c r="D34" t="str">
        <x:v>neutral</x:v>
      </x:c>
      <x:c r="E34" s="12" t="n">
        <x:v>0.8319031000137329</x:v>
      </x:c>
      <x:c r="F34" s="16" t="str">
        <x:v>hedge fund has alternative plan for delphi paper</x:v>
      </x:c>
      <x:c r="G34" s="16" t="str">
        <x:v>Hedge fonunun Delphi için alternatif planı var: gazete</x:v>
      </x:c>
      <x:c r="H34" t="n">
        <x:f>IF(I34="positive",1,IF(I34="negative",-1,0))</x:f>
        <x:v>0</x:v>
      </x:c>
      <x:c r="I34" t="str">
        <x:v>neutral</x:v>
      </x:c>
      <x:c r="J34" s="14" t="n">
        <x:v>0.7</x:v>
      </x:c>
      <x:c r="K34" s="16" t="str">
        <x:v>Alternatif plan söylentisi var ancak sonuç ve etkisi belirsiz.</x:v>
      </x:c>
      <x:c r="L34" t="str">
        <x:f>IF(D34=I34,"same","different")</x:f>
        <x:v>same</x:v>
      </x:c>
      <x:c r="M34" s="16" t="str"/>
      <x:c r="N34" t="str">
        <x:v>REUTERS ANNOTATION BATCH 033</x:v>
      </x:c>
    </x:row>
    <x:row r="35">
      <x:c r="A35" t="str">
        <x:v>REUTERS_ANN_01634</x:v>
      </x:c>
      <x:c r="B35" s="10" t="n">
        <x:v>39094</x:v>
      </x:c>
      <x:c r="C35" t="n">
        <x:v>1</x:v>
      </x:c>
      <x:c r="D35" t="str">
        <x:v>positive</x:v>
      </x:c>
      <x:c r="E35" s="12" t="n">
        <x:v>0.9339945912361144</x:v>
      </x:c>
      <x:c r="F35" s="16" t="str">
        <x:v>dow ends at record as energy up on higher crude</x:v>
      </x:c>
      <x:c r="G35" s="16" t="str">
        <x:v>Dow, yüksek ham petrol desteğiyle enerjinin yükselmesi sonucu rekor seviyede kapandı</x:v>
      </x:c>
      <x:c r="H35" t="n">
        <x:f>IF(I35="positive",1,IF(I35="negative",-1,0))</x:f>
        <x:v>1</x:v>
      </x:c>
      <x:c r="I35" t="str">
        <x:v>positive</x:v>
      </x:c>
      <x:c r="J35" s="14" t="n">
        <x:v>0.94</x:v>
      </x:c>
      <x:c r="K35" s="16" t="str">
        <x:v>Endeksin rekor seviyede kapanması net olumlu piyasa sinyali.</x:v>
      </x:c>
      <x:c r="L35" t="str">
        <x:f>IF(D35=I35,"same","different")</x:f>
        <x:v>same</x:v>
      </x:c>
      <x:c r="M35" s="16" t="str"/>
      <x:c r="N35" t="str">
        <x:v>REUTERS ANNOTATION BATCH 033</x:v>
      </x:c>
    </x:row>
    <x:row r="36">
      <x:c r="A36" t="str">
        <x:v>REUTERS_ANN_01635</x:v>
      </x:c>
      <x:c r="B36" s="10" t="n">
        <x:v>39135</x:v>
      </x:c>
      <x:c r="C36" t="n">
        <x:v>0</x:v>
      </x:c>
      <x:c r="D36" t="str">
        <x:v>neutral</x:v>
      </x:c>
      <x:c r="E36" s="12" t="n">
        <x:v>0.9080927968025208</x:v>
      </x:c>
      <x:c r="F36" s="16" t="str">
        <x:v>siemens deal for ugs gets u.s. antitrust approval</x:v>
      </x:c>
      <x:c r="G36" s="16" t="str">
        <x:v>Siemens'in UGS anlaşması ABD antitröst onayı aldı</x:v>
      </x:c>
      <x:c r="H36" t="n">
        <x:f>IF(I36="positive",1,IF(I36="negative",-1,0))</x:f>
        <x:v>1</x:v>
      </x:c>
      <x:c r="I36" t="str">
        <x:v>positive</x:v>
      </x:c>
      <x:c r="J36" s="14" t="n">
        <x:v>0.82</x:v>
      </x:c>
      <x:c r="K36" s="16" t="str">
        <x:v>Anlaşmanın düzenleyici onay alması işlem belirsizliğini azaltır ve olumlu.</x:v>
      </x:c>
      <x:c r="L36" t="str">
        <x:f>IF(D36=I36,"same","different")</x:f>
        <x:v>different</x:v>
      </x:c>
      <x:c r="M36" s="16" t="str">
        <x:v>review: FinBERT etiketi ile ChatGPT etiketi farklı</x:v>
      </x:c>
      <x:c r="N36" t="str">
        <x:v>REUTERS ANNOTATION BATCH 033</x:v>
      </x:c>
    </x:row>
    <x:row r="37">
      <x:c r="A37" t="str">
        <x:v>REUTERS_ANN_01636</x:v>
      </x:c>
      <x:c r="B37" s="10" t="n">
        <x:v>39065</x:v>
      </x:c>
      <x:c r="C37" t="n">
        <x:v>-1</x:v>
      </x:c>
      <x:c r="D37" t="str">
        <x:v>negative</x:v>
      </x:c>
      <x:c r="E37" s="12" t="n">
        <x:v>0.8444931507110596</x:v>
      </x:c>
      <x:c r="F37" s="16" t="str">
        <x:v>blast hits imperial oil refinery in ontario paper</x:v>
      </x:c>
      <x:c r="G37" s="16" t="str">
        <x:v>Ontario'daki Imperial Oil rafinerisinde patlama oldu: gazete</x:v>
      </x:c>
      <x:c r="H37" t="n">
        <x:f>IF(I37="positive",1,IF(I37="negative",-1,0))</x:f>
        <x:v>-1</x:v>
      </x:c>
      <x:c r="I37" t="str">
        <x:v>negative</x:v>
      </x:c>
      <x:c r="J37" s="14" t="n">
        <x:v>0.88</x:v>
      </x:c>
      <x:c r="K37" s="16" t="str">
        <x:v>Rafineri patlaması operasyonel risk ve üretim kesintisi ihtimali nedeniyle olumsuz.</x:v>
      </x:c>
      <x:c r="L37" t="str">
        <x:f>IF(D37=I37,"same","different")</x:f>
        <x:v>same</x:v>
      </x:c>
      <x:c r="M37" s="16" t="str"/>
      <x:c r="N37" t="str">
        <x:v>REUTERS ANNOTATION BATCH 033</x:v>
      </x:c>
    </x:row>
    <x:row r="38">
      <x:c r="A38" t="str">
        <x:v>REUTERS_ANN_01637</x:v>
      </x:c>
      <x:c r="B38" s="10" t="n">
        <x:v>39036</x:v>
      </x:c>
      <x:c r="C38" t="n">
        <x:v>-1</x:v>
      </x:c>
      <x:c r="D38" t="str">
        <x:v>negative</x:v>
      </x:c>
      <x:c r="E38" s="12" t="n">
        <x:v>0.9116219878196716</x:v>
      </x:c>
      <x:c r="F38" s="16" t="str">
        <x:v>fed sees cutting inflation as greatest concern</x:v>
      </x:c>
      <x:c r="G38" s="16" t="str">
        <x:v>Fed, en büyük endişenin enflasyonu düşürmek olduğunu görüyor</x:v>
      </x:c>
      <x:c r="H38" t="n">
        <x:f>IF(I38="positive",1,IF(I38="negative",-1,0))</x:f>
        <x:v>-1</x:v>
      </x:c>
      <x:c r="I38" t="str">
        <x:v>negative</x:v>
      </x:c>
      <x:c r="J38" s="14" t="n">
        <x:v>0.77</x:v>
      </x:c>
      <x:c r="K38" s="16" t="str">
        <x:v>Enflasyon endişesinin vurgulanması faiz ve büyüme baskısı açısından olumsuz.</x:v>
      </x:c>
      <x:c r="L38" t="str">
        <x:f>IF(D38=I38,"same","different")</x:f>
        <x:v>same</x:v>
      </x:c>
      <x:c r="M38" s="16" t="str"/>
      <x:c r="N38" t="str">
        <x:v>REUTERS ANNOTATION BATCH 033</x:v>
      </x:c>
    </x:row>
    <x:row r="39">
      <x:c r="A39" t="str">
        <x:v>REUTERS_ANN_01638</x:v>
      </x:c>
      <x:c r="B39" s="10" t="n">
        <x:v>39036</x:v>
      </x:c>
      <x:c r="C39" t="n">
        <x:v>0</x:v>
      </x:c>
      <x:c r="D39" t="str">
        <x:v>neutral</x:v>
      </x:c>
      <x:c r="E39" s="12" t="n">
        <x:v>0.5350167751312256</x:v>
      </x:c>
      <x:c r="F39" s="16" t="str">
        <x:v>banks say plan european share trading platform</x:v>
      </x:c>
      <x:c r="G39" s="16" t="str">
        <x:v>Bankalar Avrupa hisse alım satım platformu kurmayı planlıyor</x:v>
      </x:c>
      <x:c r="H39" t="n">
        <x:f>IF(I39="positive",1,IF(I39="negative",-1,0))</x:f>
        <x:v>0</x:v>
      </x:c>
      <x:c r="I39" t="str">
        <x:v>neutral</x:v>
      </x:c>
      <x:c r="J39" s="14" t="n">
        <x:v>0.69</x:v>
      </x:c>
      <x:c r="K39" s="16" t="str">
        <x:v>Yeni platform planı var ancak finansal etkisi henüz belirsiz.</x:v>
      </x:c>
      <x:c r="L39" t="str">
        <x:f>IF(D39=I39,"same","different")</x:f>
        <x:v>same</x:v>
      </x:c>
      <x:c r="M39" s="16" t="str"/>
      <x:c r="N39" t="str">
        <x:v>REUTERS ANNOTATION BATCH 033</x:v>
      </x:c>
    </x:row>
    <x:row r="40">
      <x:c r="A40" t="str">
        <x:v>REUTERS_ANN_01639</x:v>
      </x:c>
      <x:c r="B40" s="10" t="n">
        <x:v>39149</x:v>
      </x:c>
      <x:c r="C40" t="n">
        <x:v>-1</x:v>
      </x:c>
      <x:c r="D40" t="str">
        <x:v>negative</x:v>
      </x:c>
      <x:c r="E40" s="12" t="n">
        <x:v>0.975884199142456</x:v>
      </x:c>
      <x:c r="F40" s="16" t="str">
        <x:v>fleetwood posts q3 loss on low housing group shipments</x:v>
      </x:c>
      <x:c r="G40" s="16" t="str">
        <x:v>Fleetwood, düşük konut grubu sevkiyatları nedeniyle üçüncü çeyrek zararı açıkladı</x:v>
      </x:c>
      <x:c r="H40" t="n">
        <x:f>IF(I40="positive",1,IF(I40="negative",-1,0))</x:f>
        <x:v>-1</x:v>
      </x:c>
      <x:c r="I40" t="str">
        <x:v>negative</x:v>
      </x:c>
      <x:c r="J40" s="14" t="n">
        <x:v>0.95</x:v>
      </x:c>
      <x:c r="K40" s="16" t="str">
        <x:v>Zarar ve düşük sevkiyatlar net olumsuz performans göstergesi.</x:v>
      </x:c>
      <x:c r="L40" t="str">
        <x:f>IF(D40=I40,"same","different")</x:f>
        <x:v>same</x:v>
      </x:c>
      <x:c r="M40" s="16" t="str"/>
      <x:c r="N40" t="str">
        <x:v>REUTERS ANNOTATION BATCH 033</x:v>
      </x:c>
    </x:row>
    <x:row r="41">
      <x:c r="A41" t="str">
        <x:v>REUTERS_ANN_01640</x:v>
      </x:c>
      <x:c r="B41" s="10" t="n">
        <x:v>39053</x:v>
      </x:c>
      <x:c r="C41" t="n">
        <x:v>-1</x:v>
      </x:c>
      <x:c r="D41" t="str">
        <x:v>negative</x:v>
      </x:c>
      <x:c r="E41" s="12" t="n">
        <x:v>0.90983909368515</x:v>
      </x:c>
      <x:c r="F41" s="16" t="str">
        <x:v>jobs and data to call stocks year-end tune</x:v>
      </x:c>
      <x:c r="G41" s="16" t="str">
        <x:v>İstihdam ve veri, yıl sonu hisse yönünü belirleyecek</x:v>
      </x:c>
      <x:c r="H41" t="n">
        <x:f>IF(I41="positive",1,IF(I41="negative",-1,0))</x:f>
        <x:v>0</x:v>
      </x:c>
      <x:c r="I41" t="str">
        <x:v>neutral</x:v>
      </x:c>
      <x:c r="J41" s="14" t="n">
        <x:v>0.72</x:v>
      </x:c>
      <x:c r="K41" s="16" t="str">
        <x:v>Piyasa beklenti haberi; doğrudan olumlu/olumsuz sonuç yok.</x:v>
      </x:c>
      <x:c r="L41" t="str">
        <x:f>IF(D41=I41,"same","different")</x:f>
        <x:v>different</x:v>
      </x:c>
      <x:c r="M41" s="16" t="str">
        <x:v>review: FinBERT etiketi ile ChatGPT etiketi farklı</x:v>
      </x:c>
      <x:c r="N41" t="str">
        <x:v>REUTERS ANNOTATION BATCH 033</x:v>
      </x:c>
    </x:row>
    <x:row r="42">
      <x:c r="A42" t="str">
        <x:v>REUTERS_ANN_01641</x:v>
      </x:c>
      <x:c r="B42" s="10" t="n">
        <x:v>39153</x:v>
      </x:c>
      <x:c r="C42" t="n">
        <x:v>0</x:v>
      </x:c>
      <x:c r="D42" t="str">
        <x:v>neutral</x:v>
      </x:c>
      <x:c r="E42" s="12" t="n">
        <x:v>0.8823630809783936</x:v>
      </x:c>
      <x:c r="F42" s="16" t="str">
        <x:v>citigroup says no plans to sweeten nikko bid</x:v>
      </x:c>
      <x:c r="G42" s="16" t="str">
        <x:v>Citigroup, Nikko teklifini artırma planı olmadığını söylüyor</x:v>
      </x:c>
      <x:c r="H42" t="n">
        <x:f>IF(I42="positive",1,IF(I42="negative",-1,0))</x:f>
        <x:v>0</x:v>
      </x:c>
      <x:c r="I42" t="str">
        <x:v>neutral</x:v>
      </x:c>
      <x:c r="J42" s="14" t="n">
        <x:v>0.73</x:v>
      </x:c>
      <x:c r="K42" s="16" t="str">
        <x:v>Teklif stratejisi haberi; genel finansal yön sınırlı ve belirsiz.</x:v>
      </x:c>
      <x:c r="L42" t="str">
        <x:f>IF(D42=I42,"same","different")</x:f>
        <x:v>same</x:v>
      </x:c>
      <x:c r="M42" s="16" t="str"/>
      <x:c r="N42" t="str">
        <x:v>REUTERS ANNOTATION BATCH 033</x:v>
      </x:c>
    </x:row>
    <x:row r="43">
      <x:c r="A43" t="str">
        <x:v>REUTERS_ANN_01642</x:v>
      </x:c>
      <x:c r="B43" s="10" t="n">
        <x:v>39103</x:v>
      </x:c>
      <x:c r="C43" t="n">
        <x:v>1</x:v>
      </x:c>
      <x:c r="D43" t="str">
        <x:v>positive</x:v>
      </x:c>
      <x:c r="E43" s="12" t="n">
        <x:v>0.7246806621551514</x:v>
      </x:c>
      <x:c r="F43" s="16" t="str">
        <x:v>independent record labels sign myspace deal</x:v>
      </x:c>
      <x:c r="G43" s="16" t="str">
        <x:v>Bağımsız plak şirketleri MySpace anlaşması imzaladı</x:v>
      </x:c>
      <x:c r="H43" t="n">
        <x:f>IF(I43="positive",1,IF(I43="negative",-1,0))</x:f>
        <x:v>1</x:v>
      </x:c>
      <x:c r="I43" t="str">
        <x:v>positive</x:v>
      </x:c>
      <x:c r="J43" s="14" t="n">
        <x:v>0.75</x:v>
      </x:c>
      <x:c r="K43" s="16" t="str">
        <x:v>Yeni iş ortaklığı ve içerik anlaşması büyüme açısından olumlu.</x:v>
      </x:c>
      <x:c r="L43" t="str">
        <x:f>IF(D43=I43,"same","different")</x:f>
        <x:v>same</x:v>
      </x:c>
      <x:c r="M43" s="16" t="str"/>
      <x:c r="N43" t="str">
        <x:v>REUTERS ANNOTATION BATCH 033</x:v>
      </x:c>
    </x:row>
    <x:row r="44">
      <x:c r="A44" t="str">
        <x:v>REUTERS_ANN_01643</x:v>
      </x:c>
      <x:c r="B44" s="10" t="n">
        <x:v>39128</x:v>
      </x:c>
      <x:c r="C44" t="n">
        <x:v>0</x:v>
      </x:c>
      <x:c r="D44" t="str">
        <x:v>neutral</x:v>
      </x:c>
      <x:c r="E44" s="12" t="n">
        <x:v>0.5231992602348328</x:v>
      </x:c>
      <x:c r="F44" s="16" t="str">
        <x:v>chrysler spinoff seen as likely option</x:v>
      </x:c>
      <x:c r="G44" s="16" t="str">
        <x:v>Chrysler ayrıştırmasının olası seçenek olduğu düşünülüyor</x:v>
      </x:c>
      <x:c r="H44" t="n">
        <x:f>IF(I44="positive",1,IF(I44="negative",-1,0))</x:f>
        <x:v>0</x:v>
      </x:c>
      <x:c r="I44" t="str">
        <x:v>neutral</x:v>
      </x:c>
      <x:c r="J44" s="14" t="n">
        <x:v>0.69</x:v>
      </x:c>
      <x:c r="K44" s="16" t="str">
        <x:v>Olası kurumsal yapı değişikliği; henüz kesinleşmiş finansal etki yok.</x:v>
      </x:c>
      <x:c r="L44" t="str">
        <x:f>IF(D44=I44,"same","different")</x:f>
        <x:v>same</x:v>
      </x:c>
      <x:c r="M44" s="16" t="str"/>
      <x:c r="N44" t="str">
        <x:v>REUTERS ANNOTATION BATCH 033</x:v>
      </x:c>
    </x:row>
    <x:row r="45">
      <x:c r="A45" t="str">
        <x:v>REUTERS_ANN_01644</x:v>
      </x:c>
      <x:c r="B45" s="10" t="n">
        <x:v>39126</x:v>
      </x:c>
      <x:c r="C45" t="n">
        <x:v>-1</x:v>
      </x:c>
      <x:c r="D45" t="str">
        <x:v>negative</x:v>
      </x:c>
      <x:c r="E45" s="12" t="n">
        <x:v>0.9583786725997924</x:v>
      </x:c>
      <x:c r="F45" s="16" t="str">
        <x:v>coke enterprises takes $2.9 bln charge, cuts jobs</x:v>
      </x:c>
      <x:c r="G45" s="16" t="str">
        <x:v>Coke Enterprises 2,9 milyar dolarlık gider yazıyor ve işten çıkarma yapıyor</x:v>
      </x:c>
      <x:c r="H45" t="n">
        <x:f>IF(I45="positive",1,IF(I45="negative",-1,0))</x:f>
        <x:v>-1</x:v>
      </x:c>
      <x:c r="I45" t="str">
        <x:v>negative</x:v>
      </x:c>
      <x:c r="J45" s="14" t="n">
        <x:v>0.94</x:v>
      </x:c>
      <x:c r="K45" s="16" t="str">
        <x:v>Büyük gider ve işten çıkarma net olumsuz şirket sinyali.</x:v>
      </x:c>
      <x:c r="L45" t="str">
        <x:f>IF(D45=I45,"same","different")</x:f>
        <x:v>same</x:v>
      </x:c>
      <x:c r="M45" s="16" t="str"/>
      <x:c r="N45" t="str">
        <x:v>REUTERS ANNOTATION BATCH 033</x:v>
      </x:c>
    </x:row>
    <x:row r="46">
      <x:c r="A46" t="str">
        <x:v>REUTERS_ANN_01645</x:v>
      </x:c>
      <x:c r="B46" s="10" t="n">
        <x:v>39121</x:v>
      </x:c>
      <x:c r="C46" t="n">
        <x:v>1</x:v>
      </x:c>
      <x:c r="D46" t="str">
        <x:v>positive</x:v>
      </x:c>
      <x:c r="E46" s="12" t="n">
        <x:v>0.9273130893707277</x:v>
      </x:c>
      <x:c r="F46" s="16" t="str">
        <x:v>u.s. jobless claims rise, wholesale inventories drop</x:v>
      </x:c>
      <x:c r="G46" s="16" t="str">
        <x:v>ABD işsizlik başvuruları yükseldi, toptan stoklar düştü</x:v>
      </x:c>
      <x:c r="H46" t="n">
        <x:f>IF(I46="positive",1,IF(I46="negative",-1,0))</x:f>
        <x:v>-1</x:v>
      </x:c>
      <x:c r="I46" t="str">
        <x:v>negative</x:v>
      </x:c>
      <x:c r="J46" s="14" t="n">
        <x:v>0.67</x:v>
      </x:c>
      <x:c r="K46" s="16" t="str">
        <x:v>İşsizlik başvurularının artması olumsuz; stok düşüşüyle karışık olsa da baskın sinyal zayıf.</x:v>
      </x:c>
      <x:c r="L46" t="str">
        <x:f>IF(D46=I46,"same","different")</x:f>
        <x:v>different</x:v>
      </x:c>
      <x:c r="M46" s="16" t="str">
        <x:v>review: FinBERT etiketi ile ChatGPT etiketi farklı</x:v>
      </x:c>
      <x:c r="N46" t="str">
        <x:v>REUTERS ANNOTATION BATCH 033</x:v>
      </x:c>
    </x:row>
    <x:row r="47">
      <x:c r="A47" t="str">
        <x:v>REUTERS_ANN_01646</x:v>
      </x:c>
      <x:c r="B47" s="10" t="n">
        <x:v>39021</x:v>
      </x:c>
      <x:c r="C47" t="n">
        <x:v>-1</x:v>
      </x:c>
      <x:c r="D47" t="str">
        <x:v>negative</x:v>
      </x:c>
      <x:c r="E47" s="12" t="n">
        <x:v>0.4238117635250091</x:v>
      </x:c>
      <x:c r="F47" s="16" t="str">
        <x:v>philip morris challenges smoker award in top court</x:v>
      </x:c>
      <x:c r="G47" s="16" t="str">
        <x:v>Philip Morris, sigara içen kişiye verilen tazminat kararına en üst mahkemede itiraz ediyor</x:v>
      </x:c>
      <x:c r="H47" t="n">
        <x:f>IF(I47="positive",1,IF(I47="negative",-1,0))</x:f>
        <x:v>0</x:v>
      </x:c>
      <x:c r="I47" t="str">
        <x:v>neutral</x:v>
      </x:c>
      <x:c r="J47" s="14" t="n">
        <x:v>0.58</x:v>
      </x:c>
      <x:c r="K47" s="16" t="str">
        <x:v>Hukuki süreç devam ediyor; haber tek başına kesin finansal yön vermiyor.</x:v>
      </x:c>
      <x:c r="L47" t="str">
        <x:f>IF(D47=I47,"same","different")</x:f>
        <x:v>different</x:v>
      </x:c>
      <x:c r="M47" s="16" t="str">
        <x:v>review: FinBERT etiketi ile ChatGPT etiketi farklı</x:v>
      </x:c>
      <x:c r="N47" t="str">
        <x:v>REUTERS ANNOTATION BATCH 033</x:v>
      </x:c>
    </x:row>
    <x:row r="48">
      <x:c r="A48" t="str">
        <x:v>REUTERS_ANN_01647</x:v>
      </x:c>
      <x:c r="B48" s="10" t="n">
        <x:v>39203</x:v>
      </x:c>
      <x:c r="C48" t="n">
        <x:v>0</x:v>
      </x:c>
      <x:c r="D48" t="str">
        <x:v>neutral</x:v>
      </x:c>
      <x:c r="E48" s="12" t="n">
        <x:v>0.82732754945755</x:v>
      </x:c>
      <x:c r="F48" s="16" t="str">
        <x:v>abn asks rbs for more details as legal battle brews</x:v>
      </x:c>
      <x:c r="G48" s="16" t="str">
        <x:v>ABN, hukuki savaş kızışırken RBS'den daha fazla ayrıntı istedi</x:v>
      </x:c>
      <x:c r="H48" t="n">
        <x:f>IF(I48="positive",1,IF(I48="negative",-1,0))</x:f>
        <x:v>-1</x:v>
      </x:c>
      <x:c r="I48" t="str">
        <x:v>negative</x:v>
      </x:c>
      <x:c r="J48" s="14" t="n">
        <x:v>0.7</x:v>
      </x:c>
      <x:c r="K48" s="16" t="str">
        <x:v>Hukuki savaş ve belirsizlik anlaşma süreci için olumsuz risk oluşturuyor.</x:v>
      </x:c>
      <x:c r="L48" t="str">
        <x:f>IF(D48=I48,"same","different")</x:f>
        <x:v>different</x:v>
      </x:c>
      <x:c r="M48" s="16" t="str">
        <x:v>review: FinBERT etiketi ile ChatGPT etiketi farklı</x:v>
      </x:c>
      <x:c r="N48" t="str">
        <x:v>REUTERS ANNOTATION BATCH 033</x:v>
      </x:c>
    </x:row>
    <x:row r="49">
      <x:c r="A49" t="str">
        <x:v>REUTERS_ANN_01648</x:v>
      </x:c>
      <x:c r="B49" s="10" t="n">
        <x:v>39052</x:v>
      </x:c>
      <x:c r="C49" t="n">
        <x:v>1</x:v>
      </x:c>
      <x:c r="D49" t="str">
        <x:v>positive</x:v>
      </x:c>
      <x:c r="E49" s="12" t="n">
        <x:v>0.9140750169754028</x:v>
      </x:c>
      <x:c r="F49" s="16" t="str">
        <x:v>update 4-airbus gets go-ahead for new a350</x:v>
      </x:c>
      <x:c r="G49" s="16" t="str">
        <x:v>Airbus yeni A350 için onay aldı</x:v>
      </x:c>
      <x:c r="H49" t="n">
        <x:f>IF(I49="positive",1,IF(I49="negative",-1,0))</x:f>
        <x:v>1</x:v>
      </x:c>
      <x:c r="I49" t="str">
        <x:v>positive</x:v>
      </x:c>
      <x:c r="J49" s="14" t="n">
        <x:v>0.9</x:v>
      </x:c>
      <x:c r="K49" s="16" t="str">
        <x:v>Yeni uçak programının onaylanması büyüme ve ürün stratejisi açısından olumlu.</x:v>
      </x:c>
      <x:c r="L49" t="str">
        <x:f>IF(D49=I49,"same","different")</x:f>
        <x:v>same</x:v>
      </x:c>
      <x:c r="M49" s="16" t="str"/>
      <x:c r="N49" t="str">
        <x:v>REUTERS ANNOTATION BATCH 033</x:v>
      </x:c>
    </x:row>
    <x:row r="50">
      <x:c r="A50" t="str">
        <x:v>REUTERS_ANN_01649</x:v>
      </x:c>
      <x:c r="B50" s="10" t="n">
        <x:v>39045</x:v>
      </x:c>
      <x:c r="C50" t="n">
        <x:v>-1</x:v>
      </x:c>
      <x:c r="D50" t="str">
        <x:v>negative</x:v>
      </x:c>
      <x:c r="E50" s="12" t="n">
        <x:v>0.7711978554725647</x:v>
      </x:c>
      <x:c r="F50" s="16" t="str">
        <x:v>quest software executive quits amid options probe</x:v>
      </x:c>
      <x:c r="G50" s="16" t="str">
        <x:v>Quest Software yöneticisi opsiyon soruşturması sırasında istifa etti</x:v>
      </x:c>
      <x:c r="H50" t="n">
        <x:f>IF(I50="positive",1,IF(I50="negative",-1,0))</x:f>
        <x:v>-1</x:v>
      </x:c>
      <x:c r="I50" t="str">
        <x:v>negative</x:v>
      </x:c>
      <x:c r="J50" s="14" t="n">
        <x:v>0.89</x:v>
      </x:c>
      <x:c r="K50" s="16" t="str">
        <x:v>Opsiyon soruşturması ve yönetici istifası itibar ve yönetişim açısından olumsuz.</x:v>
      </x:c>
      <x:c r="L50" t="str">
        <x:f>IF(D50=I50,"same","different")</x:f>
        <x:v>same</x:v>
      </x:c>
      <x:c r="M50" s="16" t="str"/>
      <x:c r="N50" t="str">
        <x:v>REUTERS ANNOTATION BATCH 033</x:v>
      </x:c>
    </x:row>
    <x:row r="51">
      <x:c r="A51" t="str">
        <x:v>REUTERS_ANN_01650</x:v>
      </x:c>
      <x:c r="B51" s="10" t="n">
        <x:v>39023</x:v>
      </x:c>
      <x:c r="C51" t="n">
        <x:v>0</x:v>
      </x:c>
      <x:c r="D51" t="str">
        <x:v>neutral</x:v>
      </x:c>
      <x:c r="E51" s="12" t="n">
        <x:v>0.6583040952682495</x:v>
      </x:c>
      <x:c r="F51" s="16" t="str">
        <x:v>tom cruise, mgm to revive united artists studio</x:v>
      </x:c>
      <x:c r="G51" s="16" t="str">
        <x:v>Tom Cruise ve MGM, United Artists stüdyosunu yeniden canlandıracak</x:v>
      </x:c>
      <x:c r="H51" t="n">
        <x:f>IF(I51="positive",1,IF(I51="negative",-1,0))</x:f>
        <x:v>1</x:v>
      </x:c>
      <x:c r="I51" t="str">
        <x:v>positive</x:v>
      </x:c>
      <x:c r="J51" s="14" t="n">
        <x:v>0.69</x:v>
      </x:c>
      <x:c r="K51" s="16" t="str">
        <x:v>Stüdyonun yeniden canlandırılması iş geliştirme ve marka değeri açısından olumlu.</x:v>
      </x:c>
      <x:c r="L51" t="str">
        <x:f>IF(D51=I51,"same","different")</x:f>
        <x:v>different</x:v>
      </x:c>
      <x:c r="M51" s="16" t="str">
        <x:v>review: FinBERT etiketi ile ChatGPT etiketi farklı</x:v>
      </x:c>
      <x:c r="N51" t="str">
        <x:v>REUTERS ANNOTATION BATCH 033</x:v>
      </x:c>
    </x:row>
  </x:sheetData>
  <x:conditionalFormatting sqref="I2:I51">
    <x:cfRule type="expression" dxfId="0" priority="1">
      <x:formula>I2="positive"</x:formula>
    </x:cfRule>
    <x:cfRule type="expression" dxfId="1" priority="2">
      <x:formula>I2="negative"</x:formula>
    </x:cfRule>
    <x:cfRule type="expression" dxfId="2" priority="3">
      <x:formula>I2="neutral"</x:formula>
    </x:cfRule>
  </x:conditionalFormatting>
  <x:conditionalFormatting sqref="L2:L51">
    <x:cfRule type="expression" dxfId="3" priority="4">
      <x:formula>L2="same"</x:formula>
    </x:cfRule>
    <x:cfRule type="expression" dxfId="4" priority="5">
      <x:formula>L2="different"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dc5a6bee2c14af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4" max="4" width="16" hidden="0" customWidth="1"/>
    <x:col min="5" max="5" width="16" hidden="0" customWidth="1"/>
  </x:cols>
  <x:sheetData>
    <x:row r="1" ht="28" customHeight="1">
      <x:c r="A1" s="22" t="str">
        <x:v>REUTERS Annotation Batch 033</x:v>
      </x:c>
      <x:c r="B1" s="22" t="str"/>
      <x:c r="D1" s="5" t="str">
        <x:v>ChatGPT label</x:v>
      </x:c>
      <x:c r="E1" s="5" t="str">
        <x:v>Count</x:v>
      </x:c>
    </x:row>
    <x:row r="2">
      <x:c r="A2" s="23" t="str">
        <x:v>Rows</x:v>
      </x:c>
      <x:c r="B2" s="23" t="str">
        <x:v>1600 - 1649</x:v>
      </x:c>
      <x:c r="D2" t="str">
        <x:v>positive</x:v>
      </x:c>
      <x:c r="E2" t="n">
        <x:f>COUNTIF(annotations!I2:I51,D2)</x:f>
        <x:v>16</x:v>
      </x:c>
    </x:row>
    <x:row r="3">
      <x:c r="A3" s="23" t="str">
        <x:v>Total rows</x:v>
      </x:c>
      <x:c r="B3" s="23" t="n">
        <x:f>COUNTA(annotations!A2:A51)</x:f>
        <x:v>50</x:v>
      </x:c>
      <x:c r="D3" t="str">
        <x:v>neutral</x:v>
      </x:c>
      <x:c r="E3" t="n">
        <x:f>COUNTIF(annotations!I2:I51,D3)</x:f>
        <x:v>19</x:v>
      </x:c>
    </x:row>
    <x:row r="4">
      <x:c r="A4" s="23" t="str">
        <x:v>ChatGPT positive</x:v>
      </x:c>
      <x:c r="B4" s="23" t="n">
        <x:f>COUNTIF(annotations!I2:I51,"positive")</x:f>
        <x:v>16</x:v>
      </x:c>
      <x:c r="D4" t="str">
        <x:v>negative</x:v>
      </x:c>
      <x:c r="E4" t="n">
        <x:f>COUNTIF(annotations!I2:I51,D4)</x:f>
        <x:v>15</x:v>
      </x:c>
    </x:row>
    <x:row r="5">
      <x:c r="A5" s="23" t="str">
        <x:v>ChatGPT neutral</x:v>
      </x:c>
      <x:c r="B5" s="23" t="n">
        <x:f>COUNTIF(annotations!I2:I51,"neutral")</x:f>
        <x:v>19</x:v>
      </x:c>
    </x:row>
    <x:row r="6">
      <x:c r="A6" s="23" t="str">
        <x:v>ChatGPT negative</x:v>
      </x:c>
      <x:c r="B6" s="23" t="n">
        <x:f>COUNTIF(annotations!I2:I51,"negative")</x:f>
        <x:v>15</x:v>
      </x:c>
    </x:row>
    <x:row r="7">
      <x:c r="A7" s="23" t="str">
        <x:v>FinBERT same</x:v>
      </x:c>
      <x:c r="B7" s="23" t="n">
        <x:f>COUNTIF(annotations!L2:L51,"same")</x:f>
        <x:v>32</x:v>
      </x:c>
    </x:row>
    <x:row r="8">
      <x:c r="A8" s="23" t="str">
        <x:v>FinBERT different / review</x:v>
      </x:c>
      <x:c r="B8" s="23" t="n">
        <x:f>COUNTIF(annotations!L2:L51,"different")</x:f>
        <x:v>18</x:v>
      </x:c>
    </x:row>
    <x:row r="9">
      <x:c r="A9" s="23" t="str">
        <x:v>Source file</x:v>
      </x:c>
      <x:c r="B9" s="23" t="str">
        <x:v>Pasted text(70).txt</x:v>
      </x:c>
    </x:row>
  </x:sheetData>
  <x:pageMargins left="0.7" right="0.7" top="0.75" bottom="0.75" header="0.3" footer="0.3"/>
  <x:drawing xmlns:r="http://schemas.openxmlformats.org/officeDocument/2006/relationships" r:id="R35e73c37adb24c7c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22" t="str">
        <x:v>Alan</x:v>
      </x:c>
      <x:c r="B1" s="22" t="str">
        <x:v>Açıklama</x:v>
      </x:c>
    </x:row>
    <x:row r="2">
      <x:c r="A2" s="23" t="str">
        <x:v>Etiketleme amacı</x:v>
      </x:c>
      <x:c r="B2" s="23" t="str">
        <x:v>Haber başlığının yatırım/piyasa/şirket performansı açısından baskın sinyalini sınıflandırmak.</x:v>
      </x:c>
    </x:row>
    <x:row r="3">
      <x:c r="A3" s="23" t="str">
        <x:v>positive</x:v>
      </x:c>
      <x:c r="B3" s="23" t="str">
        <x:v>Kâr artışı, beklenti üstü sonuç, hisse/endeks yükselişi, büyüme, onaylanan anlaşma veya olumlu makro sinyal.</x:v>
      </x:c>
    </x:row>
    <x:row r="4">
      <x:c r="A4" s="23" t="str">
        <x:v>negative</x:v>
      </x:c>
      <x:c r="B4" s="23" t="str">
        <x:v>Zarar, düşen satış/kâr, dava/soruşturma, işten çıkarma, operasyonel kesinti, zayıf makro sinyal veya belirsizlik kaynaklı risk.</x:v>
      </x:c>
    </x:row>
    <x:row r="5">
      <x:c r="A5" s="23" t="str">
        <x:v>neutral</x:v>
      </x:c>
      <x:c r="B5" s="23" t="str">
        <x:v>Kesinleşmemiş anlaşma, yönetim ataması, bilgi kutusu, düzenleyici süreç veya yönü net olmayan/karışık başlıklar.</x:v>
      </x:c>
    </x:row>
    <x:row r="6">
      <x:c r="A6" s="23" t="str">
        <x:v>confidence</x:v>
      </x:c>
      <x:c r="B6" s="23" t="str">
        <x:v>0-1 arası öznel güven skoru; kısa ve karışık başlıklarda daha düşük tutuldu.</x:v>
      </x:c>
    </x:row>
    <x:row r="7">
      <x:c r="A7" s="23" t="str">
        <x:v>finbert_correctness</x:v>
      </x:c>
      <x:c r="B7" s="23" t="str">
        <x:v>FinBERT etiketi ile ChatGPT etiketi aynıysa 'same', farklıysa 'different'.</x:v>
      </x:c>
    </x:row>
  </x:sheetData>
  <x:pageMargins left="0.7" right="0.7" top="0.75" bottom="0.75" header="0.3" footer="0.3"/>
  <x:tableParts count="1">
    <x:tablePart xmlns:r="http://schemas.openxmlformats.org/officeDocument/2006/relationships" r:id="Rf8faa2fe886a4e29"/>
  </x:tableParts>
</x:worksheet>
</file>