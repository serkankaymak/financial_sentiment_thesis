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e35fecf33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412649a072d24f35"/>
    <x:sheet xmlns:r="http://schemas.openxmlformats.org/officeDocument/2006/relationships" name="summary" sheetId="2" r:id="R5a97891144f94a03"/>
    <x:sheet xmlns:r="http://schemas.openxmlformats.org/officeDocument/2006/relationships" name="labeling_notes" sheetId="3" r:id="R031387a802f6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8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  <x:font>
      <x:b/>
      <x:sz val="10"/>
      <x:name val="Aptos"/>
    </x:font>
    <x:font>
      <x:b/>
      <x:sz val="14"/>
      <x:color rgb="FFFFFF"/>
      <x:name val="Carlito"/>
    </x:font>
    <x:font>
      <x:b/>
      <x:sz val="11"/>
      <x:color rgb="FFFFFF"/>
      <x:name val="Aptos"/>
    </x:font>
    <x:font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8"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374151"/>
      </x:font>
      <x:fill>
        <x:patternFill patternType="solid">
          <x:bgColor rgb="E5E7EB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96bf9e32e4395" /><Relationship Type="http://schemas.openxmlformats.org/officeDocument/2006/relationships/theme" Target="/xl/theme/theme1.xml" Id="Ra856c6a34eaf4c28" /><Relationship Type="http://schemas.openxmlformats.org/officeDocument/2006/relationships/sharedStrings" Target="/xl/sharedStrings.xml" Id="Ra6a6f3a230cc45e4" /><Relationship Type="http://schemas.openxmlformats.org/officeDocument/2006/relationships/worksheet" Target="/xl/worksheets/sheet1.xml" Id="R412649a072d24f35" /><Relationship Type="http://schemas.openxmlformats.org/officeDocument/2006/relationships/worksheet" Target="/xl/worksheets/sheet2.xml" Id="R5a97891144f94a03" /><Relationship Type="http://schemas.openxmlformats.org/officeDocument/2006/relationships/worksheet" Target="/xl/worksheets/sheet3.xml" Id="R031387a802f6434d" /></Relationships>
</file>

<file path=xl/tables/table1.xml><?xml version="1.0" encoding="utf-8"?>
<x:table xmlns:x="http://schemas.openxmlformats.org/spreadsheetml/2006/main" id="1" name="ReutersBatch032Table" displayName="ReutersBatch032Table" ref="A1:M51" headerRowCount="1">
  <x:tableColumns count="13">
    <x:tableColumn id="1" name="annotation_id"/>
    <x:tableColumn id="2" name="date"/>
    <x:tableColumn id="3" name="text_en"/>
    <x:tableColumn id="4" name="text_tr"/>
    <x:tableColumn id="5" name="finbert_score"/>
    <x:tableColumn id="6" name="finbert_label"/>
    <x:tableColumn id="7" name="finbert_confidence"/>
    <x:tableColumn id="8" name="chatgpt_score"/>
    <x:tableColumn id="9" name="chatgpt_label"/>
    <x:tableColumn id="10" name="chatgpt_confidence"/>
    <x:tableColumn id="11" name="chatgpt_reason_tr"/>
    <x:tableColumn id="12" name="finbert_match"/>
    <x:tableColumn id="13" name="review_note_tr"/>
  </x:tableColumns>
  <x:tableStyleInfo name="TableStyleMedium2" showRowStripes="1"/>
</x:table>
</file>

<file path=xl/tables/table2.xml><?xml version="1.0" encoding="utf-8"?>
<x:table xmlns:x="http://schemas.openxmlformats.org/spreadsheetml/2006/main" id="2" name="ChatGPTLabelSummary" displayName="ChatGPTLabelSummary" ref="A7:B10" headerRowCount="1">
  <x:tableColumns count="2">
    <x:tableColumn id="1" name="ChatGPT label"/>
    <x:tableColumn id="2" name="Count"/>
  </x:tableColumns>
  <x:tableStyleInfo name="TableStyleMedium2" showRowStripes="1"/>
</x:table>
</file>

<file path=xl/tables/table3.xml><?xml version="1.0" encoding="utf-8"?>
<x:table xmlns:x="http://schemas.openxmlformats.org/spreadsheetml/2006/main" id="3" name="FinBERTLabelSummary" displayName="FinBERTLabelSummary" ref="A12:B15" headerRowCount="1">
  <x:tableColumns count="2">
    <x:tableColumn id="1" name="FinBERT label"/>
    <x:tableColumn id="2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ComparisonSummary" displayName="ComparisonSummary" ref="A17:B19" headerRowCount="1">
  <x:tableColumns count="2">
    <x:tableColumn id="1" name="FinBERT comparison"/>
    <x:tableColumn id="2" name="Count"/>
  </x:tableColumns>
  <x:tableStyleInfo name="TableStyleMedium2" showRowStripes="1"/>
</x:table>
</file>

<file path=xl/tables/table5.xml><?xml version="1.0" encoding="utf-8"?>
<x:table xmlns:x="http://schemas.openxmlformats.org/spreadsheetml/2006/main" id="5" name="LabelingNotesTable" displayName="LabelingNotesTable" ref="A1:C5" headerRowCount="1">
  <x:tableColumns count="3">
    <x:tableColumn id="1" name="Label"/>
    <x:tableColumn id="2" name="Score"/>
    <x:tableColumn id="3" name="Guidelin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f2a5e71f1246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3ff5396ba24e41" /><Relationship Type="http://schemas.openxmlformats.org/officeDocument/2006/relationships/table" Target="/xl/tables/table3.xml" Id="R4bdda66b3a284ab3" /><Relationship Type="http://schemas.openxmlformats.org/officeDocument/2006/relationships/table" Target="/xl/tables/table4.xml" Id="Rd7159b034c1147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daba6956b77145a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42" hidden="0" customWidth="1"/>
    <x:col min="4" max="4" width="44" hidden="0" customWidth="1"/>
    <x:col min="5" max="5" width="12" hidden="0" customWidth="1"/>
    <x:col min="6" max="6" width="14" hidden="0" customWidth="1"/>
    <x:col min="7" max="7" width="18" hidden="0" customWidth="1"/>
    <x:col min="8" max="8" width="13" hidden="0" customWidth="1"/>
    <x:col min="9" max="9" width="14" hidden="0" customWidth="1"/>
    <x:col min="10" max="10" width="18" hidden="0" customWidth="1"/>
    <x:col min="11" max="11" width="48" hidden="0" customWidth="1"/>
    <x:col min="12" max="12" width="14" hidden="0" customWidth="1"/>
    <x:col min="13" max="13" width="16" hidden="0" customWidth="1"/>
  </x:cols>
  <x:sheetData>
    <x:row r="1" ht="28" customHeight="1">
      <x:c r="A1" s="20" t="str">
        <x:v>annotation_id</x:v>
      </x:c>
      <x:c r="B1" s="20" t="str">
        <x:v>date</x:v>
      </x:c>
      <x:c r="C1" s="20" t="str">
        <x:v>text_en</x:v>
      </x:c>
      <x:c r="D1" s="20" t="str">
        <x:v>text_tr</x:v>
      </x:c>
      <x:c r="E1" s="20" t="str">
        <x:v>finbert_score</x:v>
      </x:c>
      <x:c r="F1" s="20" t="str">
        <x:v>finbert_label</x:v>
      </x:c>
      <x:c r="G1" s="20" t="str">
        <x:v>finbert_confidence</x:v>
      </x:c>
      <x:c r="H1" s="20" t="str">
        <x:v>chatgpt_score</x:v>
      </x:c>
      <x:c r="I1" s="20" t="str">
        <x:v>chatgpt_label</x:v>
      </x:c>
      <x:c r="J1" s="20" t="str">
        <x:v>chatgpt_confidence</x:v>
      </x:c>
      <x:c r="K1" s="20" t="str">
        <x:v>chatgpt_reason_tr</x:v>
      </x:c>
      <x:c r="L1" s="20" t="str">
        <x:v>finbert_match</x:v>
      </x:c>
      <x:c r="M1" s="20" t="str">
        <x:v>review_note_tr</x:v>
      </x:c>
    </x:row>
    <x:row r="2">
      <x:c r="A2" s="30" t="str">
        <x:v>REUTERS_ANN_01551</x:v>
      </x:c>
      <x:c r="B2" s="22" t="n">
        <x:v>39175</x:v>
      </x:c>
      <x:c r="C2" s="21" t="str">
        <x:v>g. thornton quits as accredited, fremont auditor</x:v>
      </x:c>
      <x:c r="D2" s="21" t="str">
        <x:v>Grant Thornton, Accredited ve Fremont’un denetçiliğinden ayrılıyor</x:v>
      </x:c>
      <x:c r="E2" s="21" t="n">
        <x:v>-1</x:v>
      </x:c>
      <x:c r="F2" s="21" t="str">
        <x:v>negative</x:v>
      </x:c>
      <x:c r="G2" s="23" t="n">
        <x:v>0.905887484550476</x:v>
      </x:c>
      <x:c r="H2" s="21" t="n">
        <x:v>-1</x:v>
      </x:c>
      <x:c r="I2" s="21" t="str">
        <x:v>negative</x:v>
      </x:c>
      <x:c r="J2" s="24" t="n">
        <x:v>0.9</x:v>
      </x:c>
      <x:c r="K2" s="21" t="str">
        <x:v>Denetçinin ayrılması finansal raporlama ve güven algısı açısından olumsuz sinyal.</x:v>
      </x:c>
      <x:c r="L2" s="21" t="str">
        <x:f>IF(F2=I2,"same","different")</x:f>
        <x:v>same</x:v>
      </x:c>
      <x:c r="M2" s="21" t="str">
        <x:f>IF(L2="same","uyumlu","kontrol et")</x:f>
        <x:v>uyumlu</x:v>
      </x:c>
    </x:row>
    <x:row r="3">
      <x:c r="A3" s="30" t="str">
        <x:v>REUTERS_ANN_01552</x:v>
      </x:c>
      <x:c r="B3" s="22" t="n">
        <x:v>39164</x:v>
      </x:c>
      <x:c r="C3" s="21" t="str">
        <x:v>citigroup names transactions chief, combines units</x:v>
      </x:c>
      <x:c r="D3" s="21" t="str">
        <x:v>Citigroup işlem birimi başkanını atadı ve bazı birimleri birleştiriyor</x:v>
      </x:c>
      <x:c r="E3" s="21" t="n">
        <x:v>0</x:v>
      </x:c>
      <x:c r="F3" s="21" t="str">
        <x:v>neutral</x:v>
      </x:c>
      <x:c r="G3" s="23" t="n">
        <x:v>0.9281120300292968</x:v>
      </x:c>
      <x:c r="H3" s="21" t="n">
        <x:v>0</x:v>
      </x:c>
      <x:c r="I3" s="21" t="str">
        <x:v>neutral</x:v>
      </x:c>
      <x:c r="J3" s="24" t="n">
        <x:v>0.82</x:v>
      </x:c>
      <x:c r="K3" s="21" t="str">
        <x:v>Yönetim/organizasyon değişikliği; doğrudan kâr veya piyasa etkisi net değil.</x:v>
      </x:c>
      <x:c r="L3" s="21" t="str">
        <x:f>IF(F3=I3,"same","different")</x:f>
        <x:v>same</x:v>
      </x:c>
      <x:c r="M3" s="21" t="str">
        <x:f>IF(L3="same","uyumlu","kontrol et")</x:f>
        <x:v>uyumlu</x:v>
      </x:c>
    </x:row>
    <x:row r="4">
      <x:c r="A4" s="30" t="str">
        <x:v>REUTERS_ANN_01553</x:v>
      </x:c>
      <x:c r="B4" s="22" t="n">
        <x:v>39038</x:v>
      </x:c>
      <x:c r="C4" s="21" t="str">
        <x:v>gm, ford offering year-end sales incentives</x:v>
      </x:c>
      <x:c r="D4" s="21" t="str">
        <x:v>GM ve Ford yıl sonu satış teşvikleri sunuyor</x:v>
      </x:c>
      <x:c r="E4" s="21" t="n">
        <x:v>1</x:v>
      </x:c>
      <x:c r="F4" s="21" t="str">
        <x:v>positive</x:v>
      </x:c>
      <x:c r="G4" s="23" t="n">
        <x:v>0.7449512481689453</x:v>
      </x:c>
      <x:c r="H4" s="21" t="n">
        <x:v>0</x:v>
      </x:c>
      <x:c r="I4" s="21" t="str">
        <x:v>neutral</x:v>
      </x:c>
      <x:c r="J4" s="24" t="n">
        <x:v>0.7</x:v>
      </x:c>
      <x:c r="K4" s="21" t="str">
        <x:v>Satışları destekleme hamlesi olsa da teşvik ihtiyacı zayıf talebe de işaret edebilir; net yön sınırlı.</x:v>
      </x:c>
      <x:c r="L4" s="21" t="str">
        <x:f>IF(F4=I4,"same","different")</x:f>
        <x:v>different</x:v>
      </x:c>
      <x:c r="M4" s="21" t="str">
        <x:f>IF(L4="same","uyumlu","kontrol et")</x:f>
        <x:v>kontrol et</x:v>
      </x:c>
    </x:row>
    <x:row r="5">
      <x:c r="A5" s="30" t="str">
        <x:v>REUTERS_ANN_01554</x:v>
      </x:c>
      <x:c r="B5" s="22" t="n">
        <x:v>39128</x:v>
      </x:c>
      <x:c r="C5" s="21" t="str">
        <x:v>ex-enron officials get probation after cooperating</x:v>
      </x:c>
      <x:c r="D5" s="21" t="str">
        <x:v>Eski Enron yetkilileri işbirliği sonrası denetimli serbestlik aldı</x:v>
      </x:c>
      <x:c r="E5" s="21" t="n">
        <x:v>-1</x:v>
      </x:c>
      <x:c r="F5" s="21" t="str">
        <x:v>negative</x:v>
      </x:c>
      <x:c r="G5" s="23" t="n">
        <x:v>0.8383589386940002</x:v>
      </x:c>
      <x:c r="H5" s="21" t="n">
        <x:v>-1</x:v>
      </x:c>
      <x:c r="I5" s="21" t="str">
        <x:v>negative</x:v>
      </x:c>
      <x:c r="J5" s="24" t="n">
        <x:v>0.78</x:v>
      </x:c>
      <x:c r="K5" s="21" t="str">
        <x:v>Haber hukuki skandal bağlamında olduğu için şirket/kurumsal güven açısından olumsuz.</x:v>
      </x:c>
      <x:c r="L5" s="21" t="str">
        <x:f>IF(F5=I5,"same","different")</x:f>
        <x:v>same</x:v>
      </x:c>
      <x:c r="M5" s="21" t="str">
        <x:f>IF(L5="same","uyumlu","kontrol et")</x:f>
        <x:v>uyumlu</x:v>
      </x:c>
    </x:row>
    <x:row r="6">
      <x:c r="A6" s="30" t="str">
        <x:v>REUTERS_ANN_01555</x:v>
      </x:c>
      <x:c r="B6" s="22" t="n">
        <x:v>39198</x:v>
      </x:c>
      <x:c r="C6" s="21" t="str">
        <x:v>dow 13k is no party for the overseas investor</x:v>
      </x:c>
      <x:c r="D6" s="21" t="str">
        <x:v>Dow 13 bin seviyesi yurtdışı yatırımcı için kutlama değil</x:v>
      </x:c>
      <x:c r="E6" s="21" t="n">
        <x:v>1</x:v>
      </x:c>
      <x:c r="F6" s="21" t="str">
        <x:v>positive</x:v>
      </x:c>
      <x:c r="G6" s="23" t="n">
        <x:v>0.7428975105285645</x:v>
      </x:c>
      <x:c r="H6" s="21" t="n">
        <x:v>-1</x:v>
      </x:c>
      <x:c r="I6" s="21" t="str">
        <x:v>negative</x:v>
      </x:c>
      <x:c r="J6" s="24" t="n">
        <x:v>0.72</x:v>
      </x:c>
      <x:c r="K6" s="21" t="str">
        <x:v>Endeks rekoruna rağmen haber özellikle yabancı yatırımcı açısından olumsuz/çekinceli ton taşıyor.</x:v>
      </x:c>
      <x:c r="L6" s="21" t="str">
        <x:f>IF(F6=I6,"same","different")</x:f>
        <x:v>different</x:v>
      </x:c>
      <x:c r="M6" s="21" t="str">
        <x:f>IF(L6="same","uyumlu","kontrol et")</x:f>
        <x:v>kontrol et</x:v>
      </x:c>
    </x:row>
    <x:row r="7">
      <x:c r="A7" s="30" t="str">
        <x:v>REUTERS_ANN_01556</x:v>
      </x:c>
      <x:c r="B7" s="22" t="n">
        <x:v>39112</x:v>
      </x:c>
      <x:c r="C7" s="21" t="str">
        <x:v>kellogg posts lower profit as costs climb</x:v>
      </x:c>
      <x:c r="D7" s="21" t="str">
        <x:v>Kellogg’un kârı maliyetler yükselince düştü</x:v>
      </x:c>
      <x:c r="E7" s="21" t="n">
        <x:v>-1</x:v>
      </x:c>
      <x:c r="F7" s="21" t="str">
        <x:v>negative</x:v>
      </x:c>
      <x:c r="G7" s="23" t="n">
        <x:v>0.9662259817123412</x:v>
      </x:c>
      <x:c r="H7" s="21" t="n">
        <x:v>-1</x:v>
      </x:c>
      <x:c r="I7" s="21" t="str">
        <x:v>negative</x:v>
      </x:c>
      <x:c r="J7" s="24" t="n">
        <x:v>0.95</x:v>
      </x:c>
      <x:c r="K7" s="21" t="str">
        <x:v>Kâr düşüşü ve artan maliyetler açık biçimde olumsuz finansal sinyal.</x:v>
      </x:c>
      <x:c r="L7" s="21" t="str">
        <x:f>IF(F7=I7,"same","different")</x:f>
        <x:v>same</x:v>
      </x:c>
      <x:c r="M7" s="21" t="str">
        <x:f>IF(L7="same","uyumlu","kontrol et")</x:f>
        <x:v>uyumlu</x:v>
      </x:c>
    </x:row>
    <x:row r="8">
      <x:c r="A8" s="30" t="str">
        <x:v>REUTERS_ANN_01557</x:v>
      </x:c>
      <x:c r="B8" s="22" t="n">
        <x:v>39062</x:v>
      </x:c>
      <x:c r="C8" s="21" t="str">
        <x:v>deals lift stock prices a bit</x:v>
      </x:c>
      <x:c r="D8" s="21" t="str">
        <x:v>Anlaşmalar hisse fiyatlarını bir miktar yükseltti</x:v>
      </x:c>
      <x:c r="E8" s="21" t="n">
        <x:v>1</x:v>
      </x:c>
      <x:c r="F8" s="21" t="str">
        <x:v>positive</x:v>
      </x:c>
      <x:c r="G8" s="23" t="n">
        <x:v>0.9099071621894836</x:v>
      </x:c>
      <x:c r="H8" s="21" t="n">
        <x:v>1</x:v>
      </x:c>
      <x:c r="I8" s="21" t="str">
        <x:v>positive</x:v>
      </x:c>
      <x:c r="J8" s="24" t="n">
        <x:v>0.88</x:v>
      </x:c>
      <x:c r="K8" s="21" t="str">
        <x:v>Hisse fiyatlarının anlaşmalarla yükselmesi piyasa açısından olumlu.</x:v>
      </x:c>
      <x:c r="L8" s="21" t="str">
        <x:f>IF(F8=I8,"same","different")</x:f>
        <x:v>same</x:v>
      </x:c>
      <x:c r="M8" s="21" t="str">
        <x:f>IF(L8="same","uyumlu","kontrol et")</x:f>
        <x:v>uyumlu</x:v>
      </x:c>
    </x:row>
    <x:row r="9">
      <x:c r="A9" s="30" t="str">
        <x:v>REUTERS_ANN_01558</x:v>
      </x:c>
      <x:c r="B9" s="22" t="n">
        <x:v>39149</x:v>
      </x:c>
      <x:c r="C9" s="21" t="str">
        <x:v>airtran extends deadline for midwest to april 11</x:v>
      </x:c>
      <x:c r="D9" s="21" t="str">
        <x:v>AirTran, Midwest için son tarihi 11 Nisan’a uzattı</x:v>
      </x:c>
      <x:c r="E9" s="21" t="n">
        <x:v>0</x:v>
      </x:c>
      <x:c r="F9" s="21" t="str">
        <x:v>neutral</x:v>
      </x:c>
      <x:c r="G9" s="23" t="n">
        <x:v>0.8200551271438599</x:v>
      </x:c>
      <x:c r="H9" s="21" t="n">
        <x:v>0</x:v>
      </x:c>
      <x:c r="I9" s="21" t="str">
        <x:v>neutral</x:v>
      </x:c>
      <x:c r="J9" s="24" t="n">
        <x:v>0.83</x:v>
      </x:c>
      <x:c r="K9" s="21" t="str">
        <x:v>Teklif sürecine dair zamanlama haberi; nihai finansal sonuç net değil.</x:v>
      </x:c>
      <x:c r="L9" s="21" t="str">
        <x:f>IF(F9=I9,"same","different")</x:f>
        <x:v>same</x:v>
      </x:c>
      <x:c r="M9" s="21" t="str">
        <x:f>IF(L9="same","uyumlu","kontrol et")</x:f>
        <x:v>uyumlu</x:v>
      </x:c>
    </x:row>
    <x:row r="10">
      <x:c r="A10" s="30" t="str">
        <x:v>REUTERS_ANN_01559</x:v>
      </x:c>
      <x:c r="B10" s="22" t="n">
        <x:v>39122</x:v>
      </x:c>
      <x:c r="C10" s="21" t="str">
        <x:v>bush eyeing jpmorgans ryan for treasury post</x:v>
      </x:c>
      <x:c r="D10" s="21" t="str">
        <x:v>Bush’un Hazine görevi için JPMorgan’dan Ryan’ı değerlendirdiği söyleniyor</x:v>
      </x:c>
      <x:c r="E10" s="21" t="n">
        <x:v>0</x:v>
      </x:c>
      <x:c r="F10" s="21" t="str">
        <x:v>neutral</x:v>
      </x:c>
      <x:c r="G10" s="23" t="n">
        <x:v>0.8959106206893921</x:v>
      </x:c>
      <x:c r="H10" s="21" t="n">
        <x:v>0</x:v>
      </x:c>
      <x:c r="I10" s="21" t="str">
        <x:v>neutral</x:v>
      </x:c>
      <x:c r="J10" s="24" t="n">
        <x:v>0.84</x:v>
      </x:c>
      <x:c r="K10" s="21" t="str">
        <x:v>Atama söylentisi niteliğinde; piyasa/şirket etkisi doğrudan değil.</x:v>
      </x:c>
      <x:c r="L10" s="21" t="str">
        <x:f>IF(F10=I10,"same","different")</x:f>
        <x:v>same</x:v>
      </x:c>
      <x:c r="M10" s="21" t="str">
        <x:f>IF(L10="same","uyumlu","kontrol et")</x:f>
        <x:v>uyumlu</x:v>
      </x:c>
    </x:row>
    <x:row r="11">
      <x:c r="A11" s="30" t="str">
        <x:v>REUTERS_ANN_01560</x:v>
      </x:c>
      <x:c r="B11" s="22" t="n">
        <x:v>39016</x:v>
      </x:c>
      <x:c r="C11" s="21" t="str">
        <x:v>medimmune 3rd-qtr loss narrows drug sales rise</x:v>
      </x:c>
      <x:c r="D11" s="21" t="str">
        <x:v>MedImmune’un üçüncü çeyrek zararı daraldı, ilaç satışları arttı</x:v>
      </x:c>
      <x:c r="E11" s="21" t="n">
        <x:v>1</x:v>
      </x:c>
      <x:c r="F11" s="21" t="str">
        <x:v>positive</x:v>
      </x:c>
      <x:c r="G11" s="23" t="n">
        <x:v>0.642615020275116</x:v>
      </x:c>
      <x:c r="H11" s="21" t="n">
        <x:v>1</x:v>
      </x:c>
      <x:c r="I11" s="21" t="str">
        <x:v>positive</x:v>
      </x:c>
      <x:c r="J11" s="24" t="n">
        <x:v>0.88</x:v>
      </x:c>
      <x:c r="K11" s="21" t="str">
        <x:v>Zararın azalması ve satış artışı olumlu operasyonel gelişme.</x:v>
      </x:c>
      <x:c r="L11" s="21" t="str">
        <x:f>IF(F11=I11,"same","different")</x:f>
        <x:v>same</x:v>
      </x:c>
      <x:c r="M11" s="21" t="str">
        <x:f>IF(L11="same","uyumlu","kontrol et")</x:f>
        <x:v>uyumlu</x:v>
      </x:c>
    </x:row>
    <x:row r="12">
      <x:c r="A12" s="30" t="str">
        <x:v>REUTERS_ANN_01561</x:v>
      </x:c>
      <x:c r="B12" s="22" t="n">
        <x:v>39176</x:v>
      </x:c>
      <x:c r="C12" s="21" t="str">
        <x:v>iata raises 2007 airline profit forecast to $3.8 bln</x:v>
      </x:c>
      <x:c r="D12" s="21" t="str">
        <x:v>IATA 2007 havayolu kâr tahminini 3,8 milyar dolara yükseltti</x:v>
      </x:c>
      <x:c r="E12" s="21" t="n">
        <x:v>1</x:v>
      </x:c>
      <x:c r="F12" s="21" t="str">
        <x:v>positive</x:v>
      </x:c>
      <x:c r="G12" s="23" t="n">
        <x:v>0.9543797969818116</x:v>
      </x:c>
      <x:c r="H12" s="21" t="n">
        <x:v>1</x:v>
      </x:c>
      <x:c r="I12" s="21" t="str">
        <x:v>positive</x:v>
      </x:c>
      <x:c r="J12" s="24" t="n">
        <x:v>0.95</x:v>
      </x:c>
      <x:c r="K12" s="21" t="str">
        <x:v>Sektör kâr tahmininin yükseltilmesi açık olumlu sinyal.</x:v>
      </x:c>
      <x:c r="L12" s="21" t="str">
        <x:f>IF(F12=I12,"same","different")</x:f>
        <x:v>same</x:v>
      </x:c>
      <x:c r="M12" s="21" t="str">
        <x:f>IF(L12="same","uyumlu","kontrol et")</x:f>
        <x:v>uyumlu</x:v>
      </x:c>
    </x:row>
    <x:row r="13">
      <x:c r="A13" s="30" t="str">
        <x:v>REUTERS_ANN_01562</x:v>
      </x:c>
      <x:c r="B13" s="22" t="n">
        <x:v>39029</x:v>
      </x:c>
      <x:c r="C13" s="21" t="str">
        <x:v>u.s. home builders say housing slowdown continues</x:v>
      </x:c>
      <x:c r="D13" s="21" t="str">
        <x:v>ABD konut üreticileri konut yavaşlamasının sürdüğünü söylüyor</x:v>
      </x:c>
      <x:c r="E13" s="21" t="n">
        <x:v>-1</x:v>
      </x:c>
      <x:c r="F13" s="21" t="str">
        <x:v>negative</x:v>
      </x:c>
      <x:c r="G13" s="23" t="n">
        <x:v>0.9731533527374268</x:v>
      </x:c>
      <x:c r="H13" s="21" t="n">
        <x:v>-1</x:v>
      </x:c>
      <x:c r="I13" s="21" t="str">
        <x:v>negative</x:v>
      </x:c>
      <x:c r="J13" s="24" t="n">
        <x:v>0.95</x:v>
      </x:c>
      <x:c r="K13" s="21" t="str">
        <x:v>Konut piyasasında yavaşlamanın devamı ekonomik ve sektör açısından olumsuz.</x:v>
      </x:c>
      <x:c r="L13" s="21" t="str">
        <x:f>IF(F13=I13,"same","different")</x:f>
        <x:v>same</x:v>
      </x:c>
      <x:c r="M13" s="21" t="str">
        <x:f>IF(L13="same","uyumlu","kontrol et")</x:f>
        <x:v>uyumlu</x:v>
      </x:c>
    </x:row>
    <x:row r="14">
      <x:c r="A14" s="30" t="str">
        <x:v>REUTERS_ANN_01563</x:v>
      </x:c>
      <x:c r="B14" s="22" t="n">
        <x:v>39205</x:v>
      </x:c>
      <x:c r="C14" s="21" t="str">
        <x:v>factbox warren buffett at a glance</x:v>
      </x:c>
      <x:c r="D14" s="21" t="str">
        <x:v>Bilgi kutusu: Warren Buffett hakkında kısa bilgiler</x:v>
      </x:c>
      <x:c r="E14" s="21" t="n">
        <x:v>0</x:v>
      </x:c>
      <x:c r="F14" s="21" t="str">
        <x:v>neutral</x:v>
      </x:c>
      <x:c r="G14" s="23" t="n">
        <x:v>0.9336984157562256</x:v>
      </x:c>
      <x:c r="H14" s="21" t="n">
        <x:v>0</x:v>
      </x:c>
      <x:c r="I14" s="21" t="str">
        <x:v>neutral</x:v>
      </x:c>
      <x:c r="J14" s="24" t="n">
        <x:v>0.95</x:v>
      </x:c>
      <x:c r="K14" s="21" t="str">
        <x:v>Factbox/bilgilendirici içerik; doğrudan olumlu veya olumsuz sinyal yok.</x:v>
      </x:c>
      <x:c r="L14" s="21" t="str">
        <x:f>IF(F14=I14,"same","different")</x:f>
        <x:v>same</x:v>
      </x:c>
      <x:c r="M14" s="21" t="str">
        <x:f>IF(L14="same","uyumlu","kontrol et")</x:f>
        <x:v>uyumlu</x:v>
      </x:c>
    </x:row>
    <x:row r="15">
      <x:c r="A15" s="30" t="str">
        <x:v>REUTERS_ANN_01564</x:v>
      </x:c>
      <x:c r="B15" s="22" t="n">
        <x:v>39087</x:v>
      </x:c>
      <x:c r="C15" s="21" t="str">
        <x:v>goodyear expects to close texas plant in early 08</x:v>
      </x:c>
      <x:c r="D15" s="21" t="str">
        <x:v>Goodyear, Teksas tesisini 2008 başında kapatmayı bekliyor</x:v>
      </x:c>
      <x:c r="E15" s="21" t="n">
        <x:v>0</x:v>
      </x:c>
      <x:c r="F15" s="21" t="str">
        <x:v>neutral</x:v>
      </x:c>
      <x:c r="G15" s="23" t="n">
        <x:v>0.5542172193527222</x:v>
      </x:c>
      <x:c r="H15" s="21" t="n">
        <x:v>-1</x:v>
      </x:c>
      <x:c r="I15" s="21" t="str">
        <x:v>negative</x:v>
      </x:c>
      <x:c r="J15" s="24" t="n">
        <x:v>0.87</x:v>
      </x:c>
      <x:c r="K15" s="21" t="str">
        <x:v>Tesis kapatma istihdam ve operasyon açısından olumsuz.</x:v>
      </x:c>
      <x:c r="L15" s="21" t="str">
        <x:f>IF(F15=I15,"same","different")</x:f>
        <x:v>different</x:v>
      </x:c>
      <x:c r="M15" s="21" t="str">
        <x:f>IF(L15="same","uyumlu","kontrol et")</x:f>
        <x:v>kontrol et</x:v>
      </x:c>
    </x:row>
    <x:row r="16">
      <x:c r="A16" s="30" t="str">
        <x:v>REUTERS_ANN_01565</x:v>
      </x:c>
      <x:c r="B16" s="22" t="n">
        <x:v>39189</x:v>
      </x:c>
      <x:c r="C16" s="21" t="str">
        <x:v>wamu tops lenders in some riskier loans wsj</x:v>
      </x:c>
      <x:c r="D16" s="21" t="str">
        <x:v>WSJ’ye göre WaMu bazı daha riskli kredilerde öne çıkıyor</x:v>
      </x:c>
      <x:c r="E16" s="21" t="n">
        <x:v>0</x:v>
      </x:c>
      <x:c r="F16" s="21" t="str">
        <x:v>neutral</x:v>
      </x:c>
      <x:c r="G16" s="23" t="n">
        <x:v>0.7759610414505005</x:v>
      </x:c>
      <x:c r="H16" s="21" t="n">
        <x:v>-1</x:v>
      </x:c>
      <x:c r="I16" s="21" t="str">
        <x:v>negative</x:v>
      </x:c>
      <x:c r="J16" s="24" t="n">
        <x:v>0.82</x:v>
      </x:c>
      <x:c r="K16" s="21" t="str">
        <x:v>Riskli kredi maruziyeti finansal kalite ve güven açısından olumsuz çağrışım yapıyor.</x:v>
      </x:c>
      <x:c r="L16" s="21" t="str">
        <x:f>IF(F16=I16,"same","different")</x:f>
        <x:v>different</x:v>
      </x:c>
      <x:c r="M16" s="21" t="str">
        <x:f>IF(L16="same","uyumlu","kontrol et")</x:f>
        <x:v>kontrol et</x:v>
      </x:c>
    </x:row>
    <x:row r="17">
      <x:c r="A17" s="30" t="str">
        <x:v>REUTERS_ANN_01566</x:v>
      </x:c>
      <x:c r="B17" s="22" t="n">
        <x:v>39108</x:v>
      </x:c>
      <x:c r="C17" s="21" t="str">
        <x:v>nasdaq says time up for recommended deal with lse</x:v>
      </x:c>
      <x:c r="D17" s="21" t="str">
        <x:v>Nasdaq, LSE ile önerilen anlaşma için sürenin dolduğunu söyledi</x:v>
      </x:c>
      <x:c r="E17" s="21" t="n">
        <x:v>0</x:v>
      </x:c>
      <x:c r="F17" s="21" t="str">
        <x:v>neutral</x:v>
      </x:c>
      <x:c r="G17" s="23" t="n">
        <x:v>0.9235771894454956</x:v>
      </x:c>
      <x:c r="H17" s="21" t="n">
        <x:v>0</x:v>
      </x:c>
      <x:c r="I17" s="21" t="str">
        <x:v>neutral</x:v>
      </x:c>
      <x:c r="J17" s="24" t="n">
        <x:v>0.82</x:v>
      </x:c>
      <x:c r="K17" s="21" t="str">
        <x:v>Birleşme süreciyle ilgili durum bildirimi; net finansal yön sınırlı.</x:v>
      </x:c>
      <x:c r="L17" s="21" t="str">
        <x:f>IF(F17=I17,"same","different")</x:f>
        <x:v>same</x:v>
      </x:c>
      <x:c r="M17" s="21" t="str">
        <x:f>IF(L17="same","uyumlu","kontrol et")</x:f>
        <x:v>uyumlu</x:v>
      </x:c>
    </x:row>
    <x:row r="18">
      <x:c r="A18" s="30" t="str">
        <x:v>REUTERS_ANN_01567</x:v>
      </x:c>
      <x:c r="B18" s="22" t="n">
        <x:v>39209</x:v>
      </x:c>
      <x:c r="C18" s="21" t="str">
        <x:v>about.com buys consumersearch.com for $33 mln</x:v>
      </x:c>
      <x:c r="D18" s="21" t="str">
        <x:v>About.com, ConsumerSearch.com’u 33 milyon dolara satın alıyor</x:v>
      </x:c>
      <x:c r="E18" s="21" t="n">
        <x:v>0</x:v>
      </x:c>
      <x:c r="F18" s="21" t="str">
        <x:v>neutral</x:v>
      </x:c>
      <x:c r="G18" s="23" t="n">
        <x:v>0.7851883172988892</x:v>
      </x:c>
      <x:c r="H18" s="21" t="n">
        <x:v>0</x:v>
      </x:c>
      <x:c r="I18" s="21" t="str">
        <x:v>neutral</x:v>
      </x:c>
      <x:c r="J18" s="24" t="n">
        <x:v>0.83</x:v>
      </x:c>
      <x:c r="K18" s="21" t="str">
        <x:v>Satın alma işlemi haberi; değer yaratımı hakkında yeterli bilgi yok.</x:v>
      </x:c>
      <x:c r="L18" s="21" t="str">
        <x:f>IF(F18=I18,"same","different")</x:f>
        <x:v>same</x:v>
      </x:c>
      <x:c r="M18" s="21" t="str">
        <x:f>IF(L18="same","uyumlu","kontrol et")</x:f>
        <x:v>uyumlu</x:v>
      </x:c>
    </x:row>
    <x:row r="19">
      <x:c r="A19" s="30" t="str">
        <x:v>REUTERS_ANN_01568</x:v>
      </x:c>
      <x:c r="B19" s="22" t="n">
        <x:v>39110</x:v>
      </x:c>
      <x:c r="C19" s="21" t="str">
        <x:v>china southern airlines says back in black</x:v>
      </x:c>
      <x:c r="D19" s="21" t="str">
        <x:v>China Southern Airlines yeniden kâra geçtiğini söyledi</x:v>
      </x:c>
      <x:c r="E19" s="21" t="n">
        <x:v>1</x:v>
      </x:c>
      <x:c r="F19" s="21" t="str">
        <x:v>positive</x:v>
      </x:c>
      <x:c r="G19" s="23" t="n">
        <x:v>0.9345753192901612</x:v>
      </x:c>
      <x:c r="H19" s="21" t="n">
        <x:v>1</x:v>
      </x:c>
      <x:c r="I19" s="21" t="str">
        <x:v>positive</x:v>
      </x:c>
      <x:c r="J19" s="24" t="n">
        <x:v>0.94</x:v>
      </x:c>
      <x:c r="K19" s="21" t="str">
        <x:v>Zarardan kâra dönüş açık olumlu finansal gelişme.</x:v>
      </x:c>
      <x:c r="L19" s="21" t="str">
        <x:f>IF(F19=I19,"same","different")</x:f>
        <x:v>same</x:v>
      </x:c>
      <x:c r="M19" s="21" t="str">
        <x:f>IF(L19="same","uyumlu","kontrol et")</x:f>
        <x:v>uyumlu</x:v>
      </x:c>
    </x:row>
    <x:row r="20">
      <x:c r="A20" s="30" t="str">
        <x:v>REUTERS_ANN_01569</x:v>
      </x:c>
      <x:c r="B20" s="22" t="n">
        <x:v>39125</x:v>
      </x:c>
      <x:c r="C20" s="21" t="str">
        <x:v>apn accepts $2.2 billion independent bid</x:v>
      </x:c>
      <x:c r="D20" s="21" t="str">
        <x:v>APN, 2,2 milyar dolarlık bağımsız teklifi kabul etti</x:v>
      </x:c>
      <x:c r="E20" s="21" t="n">
        <x:v>1</x:v>
      </x:c>
      <x:c r="F20" s="21" t="str">
        <x:v>positive</x:v>
      </x:c>
      <x:c r="G20" s="23" t="n">
        <x:v>0.7410155534744263</x:v>
      </x:c>
      <x:c r="H20" s="21" t="n">
        <x:v>1</x:v>
      </x:c>
      <x:c r="I20" s="21" t="str">
        <x:v>positive</x:v>
      </x:c>
      <x:c r="J20" s="24" t="n">
        <x:v>0.78</x:v>
      </x:c>
      <x:c r="K20" s="21" t="str">
        <x:v>Satın alma teklifinin kabulü hissedar değeri açısından olumlu algılanabilir.</x:v>
      </x:c>
      <x:c r="L20" s="21" t="str">
        <x:f>IF(F20=I20,"same","different")</x:f>
        <x:v>same</x:v>
      </x:c>
      <x:c r="M20" s="21" t="str">
        <x:f>IF(L20="same","uyumlu","kontrol et")</x:f>
        <x:v>uyumlu</x:v>
      </x:c>
    </x:row>
    <x:row r="21">
      <x:c r="A21" s="30" t="str">
        <x:v>REUTERS_ANN_01570</x:v>
      </x:c>
      <x:c r="B21" s="22" t="n">
        <x:v>39071</x:v>
      </x:c>
      <x:c r="C21" s="21" t="str">
        <x:v>us fcc eases path for phone companies to offer tv</x:v>
      </x:c>
      <x:c r="D21" s="21" t="str">
        <x:v>ABD FCC, telefon şirketlerinin TV hizmeti sunmasının yolunu kolaylaştırdı</x:v>
      </x:c>
      <x:c r="E21" s="21" t="n">
        <x:v>0</x:v>
      </x:c>
      <x:c r="F21" s="21" t="str">
        <x:v>neutral</x:v>
      </x:c>
      <x:c r="G21" s="23" t="n">
        <x:v>0.8334701657295227</x:v>
      </x:c>
      <x:c r="H21" s="21" t="n">
        <x:v>1</x:v>
      </x:c>
      <x:c r="I21" s="21" t="str">
        <x:v>positive</x:v>
      </x:c>
      <x:c r="J21" s="24" t="n">
        <x:v>0.82</x:v>
      </x:c>
      <x:c r="K21" s="21" t="str">
        <x:v>Regülasyonun kolaylaşması ilgili şirketler için büyüme fırsatı yaratabilir.</x:v>
      </x:c>
      <x:c r="L21" s="21" t="str">
        <x:f>IF(F21=I21,"same","different")</x:f>
        <x:v>different</x:v>
      </x:c>
      <x:c r="M21" s="21" t="str">
        <x:f>IF(L21="same","uyumlu","kontrol et")</x:f>
        <x:v>kontrol et</x:v>
      </x:c>
    </x:row>
    <x:row r="22">
      <x:c r="A22" s="30" t="str">
        <x:v>REUTERS_ANN_01571</x:v>
      </x:c>
      <x:c r="B22" s="22" t="n">
        <x:v>39205</x:v>
      </x:c>
      <x:c r="C22" s="21" t="str">
        <x:v>wal-mart outlines $1.1 bln in employee benefits</x:v>
      </x:c>
      <x:c r="D22" s="21" t="str">
        <x:v>Wal-Mart çalışanlara 1,1 milyar dolarlık yan hak planını açıkladı</x:v>
      </x:c>
      <x:c r="E22" s="21" t="n">
        <x:v>-1</x:v>
      </x:c>
      <x:c r="F22" s="21" t="str">
        <x:v>negative</x:v>
      </x:c>
      <x:c r="G22" s="23" t="n">
        <x:v>0.6662443280220032</x:v>
      </x:c>
      <x:c r="H22" s="21" t="n">
        <x:v>0</x:v>
      </x:c>
      <x:c r="I22" s="21" t="str">
        <x:v>neutral</x:v>
      </x:c>
      <x:c r="J22" s="24" t="n">
        <x:v>0.74</x:v>
      </x:c>
      <x:c r="K22" s="21" t="str">
        <x:v>Çalışan hakları açısından olumlu olsa da şirket maliyeti de var; net piyasa etkisi belirsiz.</x:v>
      </x:c>
      <x:c r="L22" s="21" t="str">
        <x:f>IF(F22=I22,"same","different")</x:f>
        <x:v>different</x:v>
      </x:c>
      <x:c r="M22" s="21" t="str">
        <x:f>IF(L22="same","uyumlu","kontrol et")</x:f>
        <x:v>kontrol et</x:v>
      </x:c>
    </x:row>
    <x:row r="23">
      <x:c r="A23" s="30" t="str">
        <x:v>REUTERS_ANN_01572</x:v>
      </x:c>
      <x:c r="B23" s="22" t="n">
        <x:v>39077</x:v>
      </x:c>
      <x:c r="C23" s="21" t="str">
        <x:v>gazprom says talks with belarus fail</x:v>
      </x:c>
      <x:c r="D23" s="21" t="str">
        <x:v>Gazprom, Belarus ile görüşmelerin başarısız olduğunu söyledi</x:v>
      </x:c>
      <x:c r="E23" s="21" t="n">
        <x:v>1</x:v>
      </x:c>
      <x:c r="F23" s="21" t="str">
        <x:v>positive</x:v>
      </x:c>
      <x:c r="G23" s="23" t="n">
        <x:v>0.8991538286209106</x:v>
      </x:c>
      <x:c r="H23" s="21" t="n">
        <x:v>-1</x:v>
      </x:c>
      <x:c r="I23" s="21" t="str">
        <x:v>negative</x:v>
      </x:c>
      <x:c r="J23" s="24" t="n">
        <x:v>0.9</x:v>
      </x:c>
      <x:c r="K23" s="21" t="str">
        <x:v>Enerji anlaşmazlığı ve görüşmelerin başarısızlığı olumsuz belirsizlik yaratır.</x:v>
      </x:c>
      <x:c r="L23" s="21" t="str">
        <x:f>IF(F23=I23,"same","different")</x:f>
        <x:v>different</x:v>
      </x:c>
      <x:c r="M23" s="21" t="str">
        <x:f>IF(L23="same","uyumlu","kontrol et")</x:f>
        <x:v>kontrol et</x:v>
      </x:c>
    </x:row>
    <x:row r="24">
      <x:c r="A24" s="30" t="str">
        <x:v>REUTERS_ANN_01573</x:v>
      </x:c>
      <x:c r="B24" s="22" t="n">
        <x:v>39092</x:v>
      </x:c>
      <x:c r="C24" s="21" t="str">
        <x:v>u.s. fuel supplies surge, crude stocks fall eia</x:v>
      </x:c>
      <x:c r="D24" s="21" t="str">
        <x:v>EIA’ya göre ABD yakıt stokları arttı, ham petrol stokları düştü</x:v>
      </x:c>
      <x:c r="E24" s="21" t="n">
        <x:v>-1</x:v>
      </x:c>
      <x:c r="F24" s="21" t="str">
        <x:v>negative</x:v>
      </x:c>
      <x:c r="G24" s="23" t="n">
        <x:v>0.602446973323822</x:v>
      </x:c>
      <x:c r="H24" s="21" t="n">
        <x:v>0</x:v>
      </x:c>
      <x:c r="I24" s="21" t="str">
        <x:v>neutral</x:v>
      </x:c>
      <x:c r="J24" s="24" t="n">
        <x:v>0.7</x:v>
      </x:c>
      <x:c r="K24" s="21" t="str">
        <x:v>Yakıt stokları ve ham petrol stokları zıt yönlü sinyal verdiği için net duygu karışık.</x:v>
      </x:c>
      <x:c r="L24" s="21" t="str">
        <x:f>IF(F24=I24,"same","different")</x:f>
        <x:v>different</x:v>
      </x:c>
      <x:c r="M24" s="21" t="str">
        <x:f>IF(L24="same","uyumlu","kontrol et")</x:f>
        <x:v>kontrol et</x:v>
      </x:c>
    </x:row>
    <x:row r="25">
      <x:c r="A25" s="30" t="str">
        <x:v>REUTERS_ANN_01574</x:v>
      </x:c>
      <x:c r="B25" s="22" t="n">
        <x:v>39114</x:v>
      </x:c>
      <x:c r="C25" s="21" t="str">
        <x:v>wal-mart launches new environmental initiative</x:v>
      </x:c>
      <x:c r="D25" s="21" t="str">
        <x:v>Wal-Mart yeni çevre girişimini başlattı</x:v>
      </x:c>
      <x:c r="E25" s="21" t="n">
        <x:v>0</x:v>
      </x:c>
      <x:c r="F25" s="21" t="str">
        <x:v>neutral</x:v>
      </x:c>
      <x:c r="G25" s="23" t="n">
        <x:v>0.8698692917823792</x:v>
      </x:c>
      <x:c r="H25" s="21" t="n">
        <x:v>0</x:v>
      </x:c>
      <x:c r="I25" s="21" t="str">
        <x:v>neutral</x:v>
      </x:c>
      <x:c r="J25" s="24" t="n">
        <x:v>0.8</x:v>
      </x:c>
      <x:c r="K25" s="21" t="str">
        <x:v>Kurumsal girişim haberi; kısa vadeli finansal etki açık değil.</x:v>
      </x:c>
      <x:c r="L25" s="21" t="str">
        <x:f>IF(F25=I25,"same","different")</x:f>
        <x:v>same</x:v>
      </x:c>
      <x:c r="M25" s="21" t="str">
        <x:f>IF(L25="same","uyumlu","kontrol et")</x:f>
        <x:v>uyumlu</x:v>
      </x:c>
    </x:row>
    <x:row r="26">
      <x:c r="A26" s="30" t="str">
        <x:v>REUTERS_ANN_01575</x:v>
      </x:c>
      <x:c r="B26" s="22" t="n">
        <x:v>39097</x:v>
      </x:c>
      <x:c r="C26" s="21" t="str">
        <x:v>fire at calif chevron refinery limited official</x:v>
      </x:c>
      <x:c r="D26" s="21" t="str">
        <x:v>Yetkiliye göre Kaliforniya’daki Chevron rafinerisindeki yangın sınırlı kaldı</x:v>
      </x:c>
      <x:c r="E26" s="21" t="n">
        <x:v>0</x:v>
      </x:c>
      <x:c r="F26" s="21" t="str">
        <x:v>neutral</x:v>
      </x:c>
      <x:c r="G26" s="23" t="n">
        <x:v>0.6446111798286438</x:v>
      </x:c>
      <x:c r="H26" s="21" t="n">
        <x:v>-1</x:v>
      </x:c>
      <x:c r="I26" s="21" t="str">
        <x:v>negative</x:v>
      </x:c>
      <x:c r="J26" s="24" t="n">
        <x:v>0.66</x:v>
      </x:c>
      <x:c r="K26" s="21" t="str">
        <x:v>Yangın olumsuzdur; ancak etkisinin sınırlı kalması olumsuzluğu azaltıyor.</x:v>
      </x:c>
      <x:c r="L26" s="21" t="str">
        <x:f>IF(F26=I26,"same","different")</x:f>
        <x:v>different</x:v>
      </x:c>
      <x:c r="M26" s="21" t="str">
        <x:f>IF(L26="same","uyumlu","kontrol et")</x:f>
        <x:v>kontrol et</x:v>
      </x:c>
    </x:row>
    <x:row r="27">
      <x:c r="A27" s="30" t="str">
        <x:v>REUTERS_ANN_01576</x:v>
      </x:c>
      <x:c r="B27" s="22" t="n">
        <x:v>39126</x:v>
      </x:c>
      <x:c r="C27" s="21" t="str">
        <x:v>applied materials profit triples, shares rise</x:v>
      </x:c>
      <x:c r="D27" s="21" t="str">
        <x:v>Applied Materials’ın kârı üçe katlandı, hisseleri yükseldi</x:v>
      </x:c>
      <x:c r="E27" s="21" t="n">
        <x:v>1</x:v>
      </x:c>
      <x:c r="F27" s="21" t="str">
        <x:v>positive</x:v>
      </x:c>
      <x:c r="G27" s="23" t="n">
        <x:v>0.9511231780052184</x:v>
      </x:c>
      <x:c r="H27" s="21" t="n">
        <x:v>1</x:v>
      </x:c>
      <x:c r="I27" s="21" t="str">
        <x:v>positive</x:v>
      </x:c>
      <x:c r="J27" s="24" t="n">
        <x:v>0.96</x:v>
      </x:c>
      <x:c r="K27" s="21" t="str">
        <x:v>Kârın güçlü artışı ve hisse yükselişi açık olumlu sinyal.</x:v>
      </x:c>
      <x:c r="L27" s="21" t="str">
        <x:f>IF(F27=I27,"same","different")</x:f>
        <x:v>same</x:v>
      </x:c>
      <x:c r="M27" s="21" t="str">
        <x:f>IF(L27="same","uyumlu","kontrol et")</x:f>
        <x:v>uyumlu</x:v>
      </x:c>
    </x:row>
    <x:row r="28">
      <x:c r="A28" s="30" t="str">
        <x:v>REUTERS_ANN_01577</x:v>
      </x:c>
      <x:c r="B28" s="22" t="n">
        <x:v>39105</x:v>
      </x:c>
      <x:c r="C28" s="21" t="str">
        <x:v>warner and sony bmg invest in chinese mobile play</x:v>
      </x:c>
      <x:c r="D28" s="21" t="str">
        <x:v>Warner ve Sony BMG Çin mobil girişimine yatırım yapıyor</x:v>
      </x:c>
      <x:c r="E28" s="21" t="n">
        <x:v>1</x:v>
      </x:c>
      <x:c r="F28" s="21" t="str">
        <x:v>positive</x:v>
      </x:c>
      <x:c r="G28" s="23" t="n">
        <x:v>0.8508263826370239</x:v>
      </x:c>
      <x:c r="H28" s="21" t="n">
        <x:v>1</x:v>
      </x:c>
      <x:c r="I28" s="21" t="str">
        <x:v>positive</x:v>
      </x:c>
      <x:c r="J28" s="24" t="n">
        <x:v>0.82</x:v>
      </x:c>
      <x:c r="K28" s="21" t="str">
        <x:v>Yeni pazara yatırım büyüme fırsatı olarak olumlu değerlendirilebilir.</x:v>
      </x:c>
      <x:c r="L28" s="21" t="str">
        <x:f>IF(F28=I28,"same","different")</x:f>
        <x:v>same</x:v>
      </x:c>
      <x:c r="M28" s="21" t="str">
        <x:f>IF(L28="same","uyumlu","kontrol et")</x:f>
        <x:v>uyumlu</x:v>
      </x:c>
    </x:row>
    <x:row r="29">
      <x:c r="A29" s="30" t="str">
        <x:v>REUTERS_ANN_01578</x:v>
      </x:c>
      <x:c r="B29" s="22" t="n">
        <x:v>39142</x:v>
      </x:c>
      <x:c r="C29" s="21" t="str">
        <x:v>smithfield foods reports lower profit</x:v>
      </x:c>
      <x:c r="D29" s="21" t="str">
        <x:v>Smithfield Foods daha düşük kâr açıkladı</x:v>
      </x:c>
      <x:c r="E29" s="21" t="n">
        <x:v>-1</x:v>
      </x:c>
      <x:c r="F29" s="21" t="str">
        <x:v>negative</x:v>
      </x:c>
      <x:c r="G29" s="23" t="n">
        <x:v>0.9767546057701112</x:v>
      </x:c>
      <x:c r="H29" s="21" t="n">
        <x:v>-1</x:v>
      </x:c>
      <x:c r="I29" s="21" t="str">
        <x:v>negative</x:v>
      </x:c>
      <x:c r="J29" s="24" t="n">
        <x:v>0.95</x:v>
      </x:c>
      <x:c r="K29" s="21" t="str">
        <x:v>Kâr düşüşü doğrudan olumsuz finansal sinyal.</x:v>
      </x:c>
      <x:c r="L29" s="21" t="str">
        <x:f>IF(F29=I29,"same","different")</x:f>
        <x:v>same</x:v>
      </x:c>
      <x:c r="M29" s="21" t="str">
        <x:f>IF(L29="same","uyumlu","kontrol et")</x:f>
        <x:v>uyumlu</x:v>
      </x:c>
    </x:row>
    <x:row r="30">
      <x:c r="A30" s="30" t="str">
        <x:v>REUTERS_ANN_01579</x:v>
      </x:c>
      <x:c r="B30" s="22" t="n">
        <x:v>39204</x:v>
      </x:c>
      <x:c r="C30" s="21" t="str">
        <x:v>citigroup to buy bisys for $1.45 bln</x:v>
      </x:c>
      <x:c r="D30" s="21" t="str">
        <x:v>Citigroup, BISYS’i 1,45 milyar dolara satın alacak</x:v>
      </x:c>
      <x:c r="E30" s="21" t="n">
        <x:v>0</x:v>
      </x:c>
      <x:c r="F30" s="21" t="str">
        <x:v>neutral</x:v>
      </x:c>
      <x:c r="G30" s="23" t="n">
        <x:v>0.6490584015846252</x:v>
      </x:c>
      <x:c r="H30" s="21" t="n">
        <x:v>0</x:v>
      </x:c>
      <x:c r="I30" s="21" t="str">
        <x:v>neutral</x:v>
      </x:c>
      <x:c r="J30" s="24" t="n">
        <x:v>0.82</x:v>
      </x:c>
      <x:c r="K30" s="21" t="str">
        <x:v>Satın alma işlemi; değer yaratımı veya finansal etkisi net belirtilmemiş.</x:v>
      </x:c>
      <x:c r="L30" s="21" t="str">
        <x:f>IF(F30=I30,"same","different")</x:f>
        <x:v>same</x:v>
      </x:c>
      <x:c r="M30" s="21" t="str">
        <x:f>IF(L30="same","uyumlu","kontrol et")</x:f>
        <x:v>uyumlu</x:v>
      </x:c>
    </x:row>
    <x:row r="31">
      <x:c r="A31" s="30" t="str">
        <x:v>REUTERS_ANN_01580</x:v>
      </x:c>
      <x:c r="B31" s="22" t="n">
        <x:v>39028</x:v>
      </x:c>
      <x:c r="C31" s="21" t="str">
        <x:v>dean foods finds options errors, tightens forecast</x:v>
      </x:c>
      <x:c r="D31" s="21" t="str">
        <x:v>Dean Foods opsiyon hataları buldu ve tahminini daralttı</x:v>
      </x:c>
      <x:c r="E31" s="21" t="n">
        <x:v>-1</x:v>
      </x:c>
      <x:c r="F31" s="21" t="str">
        <x:v>negative</x:v>
      </x:c>
      <x:c r="G31" s="23" t="n">
        <x:v>0.9727039933204652</x:v>
      </x:c>
      <x:c r="H31" s="21" t="n">
        <x:v>-1</x:v>
      </x:c>
      <x:c r="I31" s="21" t="str">
        <x:v>negative</x:v>
      </x:c>
      <x:c r="J31" s="24" t="n">
        <x:v>0.92</x:v>
      </x:c>
      <x:c r="K31" s="21" t="str">
        <x:v>Opsiyon hataları ve sıkılaştırılan tahmin güven/performans açısından olumsuz.</x:v>
      </x:c>
      <x:c r="L31" s="21" t="str">
        <x:f>IF(F31=I31,"same","different")</x:f>
        <x:v>same</x:v>
      </x:c>
      <x:c r="M31" s="21" t="str">
        <x:f>IF(L31="same","uyumlu","kontrol et")</x:f>
        <x:v>uyumlu</x:v>
      </x:c>
    </x:row>
    <x:row r="32">
      <x:c r="A32" s="30" t="str">
        <x:v>REUTERS_ANN_01581</x:v>
      </x:c>
      <x:c r="B32" s="22" t="n">
        <x:v>39127</x:v>
      </x:c>
      <x:c r="C32" s="21" t="str">
        <x:v>fed can make progress on communication bernanke</x:v>
      </x:c>
      <x:c r="D32" s="21" t="str">
        <x:v>Bernanke, Fed’in iletişimde ilerleme sağlayabileceğini söyledi</x:v>
      </x:c>
      <x:c r="E32" s="21" t="n">
        <x:v>1</x:v>
      </x:c>
      <x:c r="F32" s="21" t="str">
        <x:v>positive</x:v>
      </x:c>
      <x:c r="G32" s="23" t="n">
        <x:v>0.8260124921798706</x:v>
      </x:c>
      <x:c r="H32" s="21" t="n">
        <x:v>0</x:v>
      </x:c>
      <x:c r="I32" s="21" t="str">
        <x:v>neutral</x:v>
      </x:c>
      <x:c r="J32" s="24" t="n">
        <x:v>0.78</x:v>
      </x:c>
      <x:c r="K32" s="21" t="str">
        <x:v>Politika iletişimine dair açıklama; net piyasa duygu yönü sınırlı.</x:v>
      </x:c>
      <x:c r="L32" s="21" t="str">
        <x:f>IF(F32=I32,"same","different")</x:f>
        <x:v>different</x:v>
      </x:c>
      <x:c r="M32" s="21" t="str">
        <x:f>IF(L32="same","uyumlu","kontrol et")</x:f>
        <x:v>kontrol et</x:v>
      </x:c>
    </x:row>
    <x:row r="33">
      <x:c r="A33" s="30" t="str">
        <x:v>REUTERS_ANN_01582</x:v>
      </x:c>
      <x:c r="B33" s="22" t="n">
        <x:v>39093</x:v>
      </x:c>
      <x:c r="C33" s="21" t="str">
        <x:v>stocks rise on optimism about tech, the economy</x:v>
      </x:c>
      <x:c r="D33" s="21" t="str">
        <x:v>Hisseler teknoloji ve ekonomi iyimserliğiyle yükseldi</x:v>
      </x:c>
      <x:c r="E33" s="21" t="n">
        <x:v>1</x:v>
      </x:c>
      <x:c r="F33" s="21" t="str">
        <x:v>positive</x:v>
      </x:c>
      <x:c r="G33" s="23" t="n">
        <x:v>0.9392766952514648</x:v>
      </x:c>
      <x:c r="H33" s="21" t="n">
        <x:v>1</x:v>
      </x:c>
      <x:c r="I33" s="21" t="str">
        <x:v>positive</x:v>
      </x:c>
      <x:c r="J33" s="24" t="n">
        <x:v>0.93</x:v>
      </x:c>
      <x:c r="K33" s="21" t="str">
        <x:v>Piyasa yükselişi ve iyimserlik açık olumlu sinyal.</x:v>
      </x:c>
      <x:c r="L33" s="21" t="str">
        <x:f>IF(F33=I33,"same","different")</x:f>
        <x:v>same</x:v>
      </x:c>
      <x:c r="M33" s="21" t="str">
        <x:f>IF(L33="same","uyumlu","kontrol et")</x:f>
        <x:v>uyumlu</x:v>
      </x:c>
    </x:row>
    <x:row r="34">
      <x:c r="A34" s="30" t="str">
        <x:v>REUTERS_ANN_01583</x:v>
      </x:c>
      <x:c r="B34" s="22" t="n">
        <x:v>39023</x:v>
      </x:c>
      <x:c r="C34" s="21" t="str">
        <x:v>stock futures indicate higher opening</x:v>
      </x:c>
      <x:c r="D34" s="21" t="str">
        <x:v>Vadeli işlemler açılışın daha yüksek olacağını gösteriyor</x:v>
      </x:c>
      <x:c r="E34" s="21" t="n">
        <x:v>1</x:v>
      </x:c>
      <x:c r="F34" s="21" t="str">
        <x:v>positive</x:v>
      </x:c>
      <x:c r="G34" s="23" t="n">
        <x:v>0.7832612991333008</x:v>
      </x:c>
      <x:c r="H34" s="21" t="n">
        <x:v>1</x:v>
      </x:c>
      <x:c r="I34" s="21" t="str">
        <x:v>positive</x:v>
      </x:c>
      <x:c r="J34" s="24" t="n">
        <x:v>0.88</x:v>
      </x:c>
      <x:c r="K34" s="21" t="str">
        <x:v>Piyasa açılışı için yukarı yönlü beklenti olumlu.</x:v>
      </x:c>
      <x:c r="L34" s="21" t="str">
        <x:f>IF(F34=I34,"same","different")</x:f>
        <x:v>same</x:v>
      </x:c>
      <x:c r="M34" s="21" t="str">
        <x:f>IF(L34="same","uyumlu","kontrol et")</x:f>
        <x:v>uyumlu</x:v>
      </x:c>
    </x:row>
    <x:row r="35">
      <x:c r="A35" s="30" t="str">
        <x:v>REUTERS_ANN_01584</x:v>
      </x:c>
      <x:c r="B35" s="22" t="n">
        <x:v>39111</x:v>
      </x:c>
      <x:c r="C35" s="21" t="str">
        <x:v>shell sells l.a. refinery to tesoro</x:v>
      </x:c>
      <x:c r="D35" s="21" t="str">
        <x:v>Shell Los Angeles rafinerisini Tesoro’ya satıyor</x:v>
      </x:c>
      <x:c r="E35" s="21" t="n">
        <x:v>1</x:v>
      </x:c>
      <x:c r="F35" s="21" t="str">
        <x:v>positive</x:v>
      </x:c>
      <x:c r="G35" s="23" t="n">
        <x:v>0.8848158121109009</x:v>
      </x:c>
      <x:c r="H35" s="21" t="n">
        <x:v>0</x:v>
      </x:c>
      <x:c r="I35" s="21" t="str">
        <x:v>neutral</x:v>
      </x:c>
      <x:c r="J35" s="24" t="n">
        <x:v>0.82</x:v>
      </x:c>
      <x:c r="K35" s="21" t="str">
        <x:v>Varlık satışı haberi; finansal etkinin olumlu/olumsuz yönü net değil.</x:v>
      </x:c>
      <x:c r="L35" s="21" t="str">
        <x:f>IF(F35=I35,"same","different")</x:f>
        <x:v>different</x:v>
      </x:c>
      <x:c r="M35" s="21" t="str">
        <x:f>IF(L35="same","uyumlu","kontrol et")</x:f>
        <x:v>kontrol et</x:v>
      </x:c>
    </x:row>
    <x:row r="36">
      <x:c r="A36" s="30" t="str">
        <x:v>REUTERS_ANN_01585</x:v>
      </x:c>
      <x:c r="B36" s="22" t="n">
        <x:v>39099</x:v>
      </x:c>
      <x:c r="C36" s="21" t="str">
        <x:v>producer prices signal inflation risk</x:v>
      </x:c>
      <x:c r="D36" s="21" t="str">
        <x:v>Üretici fiyatları enflasyon riskine işaret ediyor</x:v>
      </x:c>
      <x:c r="E36" s="21" t="n">
        <x:v>1</x:v>
      </x:c>
      <x:c r="F36" s="21" t="str">
        <x:v>positive</x:v>
      </x:c>
      <x:c r="G36" s="23" t="n">
        <x:v>0.9300838708877563</x:v>
      </x:c>
      <x:c r="H36" s="21" t="n">
        <x:v>-1</x:v>
      </x:c>
      <x:c r="I36" s="21" t="str">
        <x:v>negative</x:v>
      </x:c>
      <x:c r="J36" s="24" t="n">
        <x:v>0.88</x:v>
      </x:c>
      <x:c r="K36" s="21" t="str">
        <x:v>Enflasyon riskinin artması piyasa ve faiz beklentileri açısından olumsuz.</x:v>
      </x:c>
      <x:c r="L36" s="21" t="str">
        <x:f>IF(F36=I36,"same","different")</x:f>
        <x:v>different</x:v>
      </x:c>
      <x:c r="M36" s="21" t="str">
        <x:f>IF(L36="same","uyumlu","kontrol et")</x:f>
        <x:v>kontrol et</x:v>
      </x:c>
    </x:row>
    <x:row r="37">
      <x:c r="A37" s="30" t="str">
        <x:v>REUTERS_ANN_01586</x:v>
      </x:c>
      <x:c r="B37" s="22" t="n">
        <x:v>39071</x:v>
      </x:c>
      <x:c r="C37" s="21" t="str">
        <x:v>pepsi bottling sees 2007 profit below view</x:v>
      </x:c>
      <x:c r="D37" s="21" t="str">
        <x:v>Pepsi Bottling 2007 kârını beklentilerin altında görüyor</x:v>
      </x:c>
      <x:c r="E37" s="21" t="n">
        <x:v>-1</x:v>
      </x:c>
      <x:c r="F37" s="21" t="str">
        <x:v>negative</x:v>
      </x:c>
      <x:c r="G37" s="23" t="n">
        <x:v>0.9753510355949402</x:v>
      </x:c>
      <x:c r="H37" s="21" t="n">
        <x:v>-1</x:v>
      </x:c>
      <x:c r="I37" s="21" t="str">
        <x:v>negative</x:v>
      </x:c>
      <x:c r="J37" s="24" t="n">
        <x:v>0.95</x:v>
      </x:c>
      <x:c r="K37" s="21" t="str">
        <x:v>Kâr beklentisinin piyasa tahmininin altında kalması açık olumsuz sinyal.</x:v>
      </x:c>
      <x:c r="L37" s="21" t="str">
        <x:f>IF(F37=I37,"same","different")</x:f>
        <x:v>same</x:v>
      </x:c>
      <x:c r="M37" s="21" t="str">
        <x:f>IF(L37="same","uyumlu","kontrol et")</x:f>
        <x:v>uyumlu</x:v>
      </x:c>
    </x:row>
    <x:row r="38">
      <x:c r="A38" s="30" t="str">
        <x:v>REUTERS_ANN_01587</x:v>
      </x:c>
      <x:c r="B38" s="22" t="n">
        <x:v>39182</x:v>
      </x:c>
      <x:c r="C38" s="21" t="str">
        <x:v>ftc may sue to block western deal to buy giant</x:v>
      </x:c>
      <x:c r="D38" s="21" t="str">
        <x:v>FTC, Western’ın Giant’ı satın alma anlaşmasını engellemek için dava açabilir</x:v>
      </x:c>
      <x:c r="E38" s="21" t="n">
        <x:v>-1</x:v>
      </x:c>
      <x:c r="F38" s="21" t="str">
        <x:v>negative</x:v>
      </x:c>
      <x:c r="G38" s="23" t="n">
        <x:v>0.5325737595558167</x:v>
      </x:c>
      <x:c r="H38" s="21" t="n">
        <x:v>-1</x:v>
      </x:c>
      <x:c r="I38" s="21" t="str">
        <x:v>negative</x:v>
      </x:c>
      <x:c r="J38" s="24" t="n">
        <x:v>0.82</x:v>
      </x:c>
      <x:c r="K38" s="21" t="str">
        <x:v>Düzenleyici engel ve dava ihtimali anlaşma riski yaratır.</x:v>
      </x:c>
      <x:c r="L38" s="21" t="str">
        <x:f>IF(F38=I38,"same","different")</x:f>
        <x:v>same</x:v>
      </x:c>
      <x:c r="M38" s="21" t="str">
        <x:f>IF(L38="same","uyumlu","kontrol et")</x:f>
        <x:v>uyumlu</x:v>
      </x:c>
    </x:row>
    <x:row r="39">
      <x:c r="A39" s="30" t="str">
        <x:v>REUTERS_ANN_01588</x:v>
      </x:c>
      <x:c r="B39" s="22" t="n">
        <x:v>39195</x:v>
      </x:c>
      <x:c r="C39" s="21" t="str">
        <x:v>kkr says ups bid for britains boots</x:v>
      </x:c>
      <x:c r="D39" s="21" t="str">
        <x:v>KKR, İngiltere’den Boots için teklifini artırdığını söyledi</x:v>
      </x:c>
      <x:c r="E39" s="21" t="n">
        <x:v>1</x:v>
      </x:c>
      <x:c r="F39" s="21" t="str">
        <x:v>positive</x:v>
      </x:c>
      <x:c r="G39" s="23" t="n">
        <x:v>0.8958598971366882</x:v>
      </x:c>
      <x:c r="H39" s="21" t="n">
        <x:v>1</x:v>
      </x:c>
      <x:c r="I39" s="21" t="str">
        <x:v>positive</x:v>
      </x:c>
      <x:c r="J39" s="24" t="n">
        <x:v>0.84</x:v>
      </x:c>
      <x:c r="K39" s="21" t="str">
        <x:v>Artan satın alma teklifi hedef şirket/hissedarlar için olumlu algılanabilir.</x:v>
      </x:c>
      <x:c r="L39" s="21" t="str">
        <x:f>IF(F39=I39,"same","different")</x:f>
        <x:v>same</x:v>
      </x:c>
      <x:c r="M39" s="21" t="str">
        <x:f>IF(L39="same","uyumlu","kontrol et")</x:f>
        <x:v>uyumlu</x:v>
      </x:c>
    </x:row>
    <x:row r="40">
      <x:c r="A40" s="30" t="str">
        <x:v>REUTERS_ANN_01589</x:v>
      </x:c>
      <x:c r="B40" s="22" t="n">
        <x:v>39160</x:v>
      </x:c>
      <x:c r="C40" s="21" t="str">
        <x:v>ice welcomes cbots decision for talks on deal</x:v>
      </x:c>
      <x:c r="D40" s="21" t="str">
        <x:v>ICE, CBOT’un anlaşma görüşmeleri kararını memnuniyetle karşıladı</x:v>
      </x:c>
      <x:c r="E40" s="21" t="n">
        <x:v>1</x:v>
      </x:c>
      <x:c r="F40" s="21" t="str">
        <x:v>positive</x:v>
      </x:c>
      <x:c r="G40" s="23" t="n">
        <x:v>0.9223596453666688</x:v>
      </x:c>
      <x:c r="H40" s="21" t="n">
        <x:v>1</x:v>
      </x:c>
      <x:c r="I40" s="21" t="str">
        <x:v>positive</x:v>
      </x:c>
      <x:c r="J40" s="24" t="n">
        <x:v>0.78</x:v>
      </x:c>
      <x:c r="K40" s="21" t="str">
        <x:v>Anlaşma ihtimalini artıran yapıcı açıklama olumlu ton taşıyor.</x:v>
      </x:c>
      <x:c r="L40" s="21" t="str">
        <x:f>IF(F40=I40,"same","different")</x:f>
        <x:v>same</x:v>
      </x:c>
      <x:c r="M40" s="21" t="str">
        <x:f>IF(L40="same","uyumlu","kontrol et")</x:f>
        <x:v>uyumlu</x:v>
      </x:c>
    </x:row>
    <x:row r="41">
      <x:c r="A41" s="30" t="str">
        <x:v>REUTERS_ANN_01590</x:v>
      </x:c>
      <x:c r="B41" s="22" t="n">
        <x:v>39092</x:v>
      </x:c>
      <x:c r="C41" s="21" t="str">
        <x:v>feds moskow does not rule out more us rate hikes</x:v>
      </x:c>
      <x:c r="D41" s="21" t="str">
        <x:v>Fed’den Moskow daha fazla ABD faiz artışını dışlamıyor</x:v>
      </x:c>
      <x:c r="E41" s="21" t="n">
        <x:v>0</x:v>
      </x:c>
      <x:c r="F41" s="21" t="str">
        <x:v>neutral</x:v>
      </x:c>
      <x:c r="G41" s="23" t="n">
        <x:v>0.8033167123794556</x:v>
      </x:c>
      <x:c r="H41" s="21" t="n">
        <x:v>-1</x:v>
      </x:c>
      <x:c r="I41" s="21" t="str">
        <x:v>negative</x:v>
      </x:c>
      <x:c r="J41" s="24" t="n">
        <x:v>0.78</x:v>
      </x:c>
      <x:c r="K41" s="21" t="str">
        <x:v>Faiz artışı ihtimali riskli varlıklar için baskı yaratabilir.</x:v>
      </x:c>
      <x:c r="L41" s="21" t="str">
        <x:f>IF(F41=I41,"same","different")</x:f>
        <x:v>different</x:v>
      </x:c>
      <x:c r="M41" s="21" t="str">
        <x:f>IF(L41="same","uyumlu","kontrol et")</x:f>
        <x:v>kontrol et</x:v>
      </x:c>
    </x:row>
    <x:row r="42">
      <x:c r="A42" s="30" t="str">
        <x:v>REUTERS_ANN_01591</x:v>
      </x:c>
      <x:c r="B42" s="22" t="n">
        <x:v>39149</x:v>
      </x:c>
      <x:c r="C42" s="21" t="str">
        <x:v>court rules for dell, microsoft in alcatel-lucent case</x:v>
      </x:c>
      <x:c r="D42" s="21" t="str">
        <x:v>Mahkeme Alcatel-Lucent davasında Dell ve Microsoft lehine karar verdi</x:v>
      </x:c>
      <x:c r="E42" s="21" t="n">
        <x:v>0</x:v>
      </x:c>
      <x:c r="F42" s="21" t="str">
        <x:v>neutral</x:v>
      </x:c>
      <x:c r="G42" s="23" t="n">
        <x:v>0.5618076920509338</x:v>
      </x:c>
      <x:c r="H42" s="21" t="n">
        <x:v>1</x:v>
      </x:c>
      <x:c r="I42" s="21" t="str">
        <x:v>positive</x:v>
      </x:c>
      <x:c r="J42" s="24" t="n">
        <x:v>0.86</x:v>
      </x:c>
      <x:c r="K42" s="21" t="str">
        <x:v>Mahkeme kararının şirketler lehine olması olumlu hukuki gelişme.</x:v>
      </x:c>
      <x:c r="L42" s="21" t="str">
        <x:f>IF(F42=I42,"same","different")</x:f>
        <x:v>different</x:v>
      </x:c>
      <x:c r="M42" s="21" t="str">
        <x:f>IF(L42="same","uyumlu","kontrol et")</x:f>
        <x:v>kontrol et</x:v>
      </x:c>
    </x:row>
    <x:row r="43">
      <x:c r="A43" s="30" t="str">
        <x:v>REUTERS_ANN_01592</x:v>
      </x:c>
      <x:c r="B43" s="22" t="n">
        <x:v>39038</x:v>
      </x:c>
      <x:c r="C43" s="21" t="str">
        <x:v>judge extends deadline on delphi creditors talk</x:v>
      </x:c>
      <x:c r="D43" s="21" t="str">
        <x:v>Hakim, Delphi alacaklı görüşmeleri için son tarihi uzattı</x:v>
      </x:c>
      <x:c r="E43" s="21" t="n">
        <x:v>0</x:v>
      </x:c>
      <x:c r="F43" s="21" t="str">
        <x:v>neutral</x:v>
      </x:c>
      <x:c r="G43" s="23" t="n">
        <x:v>0.6737528443336487</x:v>
      </x:c>
      <x:c r="H43" s="21" t="n">
        <x:v>0</x:v>
      </x:c>
      <x:c r="I43" s="21" t="str">
        <x:v>neutral</x:v>
      </x:c>
      <x:c r="J43" s="24" t="n">
        <x:v>0.82</x:v>
      </x:c>
      <x:c r="K43" s="21" t="str">
        <x:v>Süre uzatımı süreçsel bir haber; net sonuç veya duygu yönü yok.</x:v>
      </x:c>
      <x:c r="L43" s="21" t="str">
        <x:f>IF(F43=I43,"same","different")</x:f>
        <x:v>same</x:v>
      </x:c>
      <x:c r="M43" s="21" t="str">
        <x:f>IF(L43="same","uyumlu","kontrol et")</x:f>
        <x:v>uyumlu</x:v>
      </x:c>
    </x:row>
    <x:row r="44">
      <x:c r="A44" s="30" t="str">
        <x:v>REUTERS_ANN_01593</x:v>
      </x:c>
      <x:c r="B44" s="22" t="n">
        <x:v>39200</x:v>
      </x:c>
      <x:c r="C44" s="21" t="str">
        <x:v>harley-davidson raises quarterly dividend</x:v>
      </x:c>
      <x:c r="D44" s="21" t="str">
        <x:v>Harley-Davidson üç aylık temettüsünü artırdı</x:v>
      </x:c>
      <x:c r="E44" s="21" t="n">
        <x:v>1</x:v>
      </x:c>
      <x:c r="F44" s="21" t="str">
        <x:v>positive</x:v>
      </x:c>
      <x:c r="G44" s="23" t="n">
        <x:v>0.9116532802581788</x:v>
      </x:c>
      <x:c r="H44" s="21" t="n">
        <x:v>1</x:v>
      </x:c>
      <x:c r="I44" s="21" t="str">
        <x:v>positive</x:v>
      </x:c>
      <x:c r="J44" s="24" t="n">
        <x:v>0.94</x:v>
      </x:c>
      <x:c r="K44" s="21" t="str">
        <x:v>Temettü artışı hissedar getirisi açısından olumlu.</x:v>
      </x:c>
      <x:c r="L44" s="21" t="str">
        <x:f>IF(F44=I44,"same","different")</x:f>
        <x:v>same</x:v>
      </x:c>
      <x:c r="M44" s="21" t="str">
        <x:f>IF(L44="same","uyumlu","kontrol et")</x:f>
        <x:v>uyumlu</x:v>
      </x:c>
    </x:row>
    <x:row r="45">
      <x:c r="A45" s="30" t="str">
        <x:v>REUTERS_ANN_01594</x:v>
      </x:c>
      <x:c r="B45" s="22" t="n">
        <x:v>39167</x:v>
      </x:c>
      <x:c r="C45" s="21" t="str">
        <x:v>ibm opens business to support mortgage industry</x:v>
      </x:c>
      <x:c r="D45" s="21" t="str">
        <x:v>IBM, mortgage sektörünü desteklemek için yeni iş birimi açıyor</x:v>
      </x:c>
      <x:c r="E45" s="21" t="n">
        <x:v>0</x:v>
      </x:c>
      <x:c r="F45" s="21" t="str">
        <x:v>neutral</x:v>
      </x:c>
      <x:c r="G45" s="23" t="n">
        <x:v>0.8031393885612488</x:v>
      </x:c>
      <x:c r="H45" s="21" t="n">
        <x:v>0</x:v>
      </x:c>
      <x:c r="I45" s="21" t="str">
        <x:v>neutral</x:v>
      </x:c>
      <x:c r="J45" s="24" t="n">
        <x:v>0.76</x:v>
      </x:c>
      <x:c r="K45" s="21" t="str">
        <x:v>Yeni iş açılımı olsa da finansal etkisi belirsiz.</x:v>
      </x:c>
      <x:c r="L45" s="21" t="str">
        <x:f>IF(F45=I45,"same","different")</x:f>
        <x:v>same</x:v>
      </x:c>
      <x:c r="M45" s="21" t="str">
        <x:f>IF(L45="same","uyumlu","kontrol et")</x:f>
        <x:v>uyumlu</x:v>
      </x:c>
    </x:row>
    <x:row r="46">
      <x:c r="A46" s="30" t="str">
        <x:v>REUTERS_ANN_01595</x:v>
      </x:c>
      <x:c r="B46" s="22" t="n">
        <x:v>39069</x:v>
      </x:c>
      <x:c r="C46" s="21" t="str">
        <x:v>merger boom gets lift</x:v>
      </x:c>
      <x:c r="D46" s="21" t="str">
        <x:v>Birleşme ve satın alma patlaması ivme kazanıyor</x:v>
      </x:c>
      <x:c r="E46" s="21" t="n">
        <x:v>1</x:v>
      </x:c>
      <x:c r="F46" s="21" t="str">
        <x:v>positive</x:v>
      </x:c>
      <x:c r="G46" s="23" t="n">
        <x:v>0.7642912268638611</x:v>
      </x:c>
      <x:c r="H46" s="21" t="n">
        <x:v>1</x:v>
      </x:c>
      <x:c r="I46" s="21" t="str">
        <x:v>positive</x:v>
      </x:c>
      <x:c r="J46" s="24" t="n">
        <x:v>0.9</x:v>
      </x:c>
      <x:c r="K46" s="21" t="str">
        <x:v>M&amp;A aktivitesindeki canlanma piyasa açısından olumlu risk iştahı gösterir.</x:v>
      </x:c>
      <x:c r="L46" s="21" t="str">
        <x:f>IF(F46=I46,"same","different")</x:f>
        <x:v>same</x:v>
      </x:c>
      <x:c r="M46" s="21" t="str">
        <x:f>IF(L46="same","uyumlu","kontrol et")</x:f>
        <x:v>uyumlu</x:v>
      </x:c>
    </x:row>
    <x:row r="47">
      <x:c r="A47" s="30" t="str">
        <x:v>REUTERS_ANN_01596</x:v>
      </x:c>
      <x:c r="B47" s="22" t="n">
        <x:v>39023</x:v>
      </x:c>
      <x:c r="C47" s="21" t="str">
        <x:v>payless shares soar after quarterly sales gain</x:v>
      </x:c>
      <x:c r="D47" s="21" t="str">
        <x:v>Payless hisseleri üç aylık satış artışı sonrası sıçradı</x:v>
      </x:c>
      <x:c r="E47" s="21" t="n">
        <x:v>1</x:v>
      </x:c>
      <x:c r="F47" s="21" t="str">
        <x:v>positive</x:v>
      </x:c>
      <x:c r="G47" s="23" t="n">
        <x:v>0.9525377750396729</x:v>
      </x:c>
      <x:c r="H47" s="21" t="n">
        <x:v>1</x:v>
      </x:c>
      <x:c r="I47" s="21" t="str">
        <x:v>positive</x:v>
      </x:c>
      <x:c r="J47" s="24" t="n">
        <x:v>0.95</x:v>
      </x:c>
      <x:c r="K47" s="21" t="str">
        <x:v>Satış artışı ve hisse sıçraması açık olumlu sinyal.</x:v>
      </x:c>
      <x:c r="L47" s="21" t="str">
        <x:f>IF(F47=I47,"same","different")</x:f>
        <x:v>same</x:v>
      </x:c>
      <x:c r="M47" s="21" t="str">
        <x:f>IF(L47="same","uyumlu","kontrol et")</x:f>
        <x:v>uyumlu</x:v>
      </x:c>
    </x:row>
    <x:row r="48">
      <x:c r="A48" s="30" t="str">
        <x:v>REUTERS_ANN_01597</x:v>
      </x:c>
      <x:c r="B48" s="22" t="n">
        <x:v>39187</x:v>
      </x:c>
      <x:c r="C48" s="21" t="str">
        <x:v>earnings and cpi to drive stocks</x:v>
      </x:c>
      <x:c r="D48" s="21" t="str">
        <x:v>Hisseleri bilanço sonuçları ve TÜFE verisi yönlendirecek</x:v>
      </x:c>
      <x:c r="E48" s="21" t="n">
        <x:v>0</x:v>
      </x:c>
      <x:c r="F48" s="21" t="str">
        <x:v>neutral</x:v>
      </x:c>
      <x:c r="G48" s="23" t="n">
        <x:v>0.7723903059959412</x:v>
      </x:c>
      <x:c r="H48" s="21" t="n">
        <x:v>0</x:v>
      </x:c>
      <x:c r="I48" s="21" t="str">
        <x:v>neutral</x:v>
      </x:c>
      <x:c r="J48" s="24" t="n">
        <x:v>0.86</x:v>
      </x:c>
      <x:c r="K48" s="21" t="str">
        <x:v>Beklenti/gündem haberi; yön belirten net duygu yok.</x:v>
      </x:c>
      <x:c r="L48" s="21" t="str">
        <x:f>IF(F48=I48,"same","different")</x:f>
        <x:v>same</x:v>
      </x:c>
      <x:c r="M48" s="21" t="str">
        <x:f>IF(L48="same","uyumlu","kontrol et")</x:f>
        <x:v>uyumlu</x:v>
      </x:c>
    </x:row>
    <x:row r="49">
      <x:c r="A49" s="30" t="str">
        <x:v>REUTERS_ANN_01598</x:v>
      </x:c>
      <x:c r="B49" s="22" t="n">
        <x:v>39149</x:v>
      </x:c>
      <x:c r="C49" s="21" t="str">
        <x:v>pier 1 february same-store sales fall 8.4 percent</x:v>
      </x:c>
      <x:c r="D49" s="21" t="str">
        <x:v>Pier 1’in Şubat aynı mağaza satışları yüzde 8,4 düştü</x:v>
      </x:c>
      <x:c r="E49" s="21" t="n">
        <x:v>-1</x:v>
      </x:c>
      <x:c r="F49" s="21" t="str">
        <x:v>negative</x:v>
      </x:c>
      <x:c r="G49" s="23" t="n">
        <x:v>0.9717526435852052</x:v>
      </x:c>
      <x:c r="H49" s="21" t="n">
        <x:v>-1</x:v>
      </x:c>
      <x:c r="I49" s="21" t="str">
        <x:v>negative</x:v>
      </x:c>
      <x:c r="J49" s="24" t="n">
        <x:v>0.95</x:v>
      </x:c>
      <x:c r="K49" s="21" t="str">
        <x:v>Aynı mağaza satışlarındaki belirgin düşüş olumsuz perakende sinyali.</x:v>
      </x:c>
      <x:c r="L49" s="21" t="str">
        <x:f>IF(F49=I49,"same","different")</x:f>
        <x:v>same</x:v>
      </x:c>
      <x:c r="M49" s="21" t="str">
        <x:f>IF(L49="same","uyumlu","kontrol et")</x:f>
        <x:v>uyumlu</x:v>
      </x:c>
    </x:row>
    <x:row r="50">
      <x:c r="A50" s="30" t="str">
        <x:v>REUTERS_ANN_01599</x:v>
      </x:c>
      <x:c r="B50" s="22" t="n">
        <x:v>39153</x:v>
      </x:c>
      <x:c r="C50" s="21" t="str">
        <x:v>applebees says review to take another 6-8 weeks</x:v>
      </x:c>
      <x:c r="D50" s="21" t="str">
        <x:v>Applebee’s, incelemenin 6-8 hafta daha süreceğini söyledi</x:v>
      </x:c>
      <x:c r="E50" s="21" t="n">
        <x:v>0</x:v>
      </x:c>
      <x:c r="F50" s="21" t="str">
        <x:v>neutral</x:v>
      </x:c>
      <x:c r="G50" s="23" t="n">
        <x:v>0.7980015873908997</x:v>
      </x:c>
      <x:c r="H50" s="21" t="n">
        <x:v>0</x:v>
      </x:c>
      <x:c r="I50" s="21" t="str">
        <x:v>neutral</x:v>
      </x:c>
      <x:c r="J50" s="24" t="n">
        <x:v>0.8</x:v>
      </x:c>
      <x:c r="K50" s="21" t="str">
        <x:v>Stratejik inceleme sürecinin uzaması; net olumlu/olumsuz sonuç yok.</x:v>
      </x:c>
      <x:c r="L50" s="21" t="str">
        <x:f>IF(F50=I50,"same","different")</x:f>
        <x:v>same</x:v>
      </x:c>
      <x:c r="M50" s="21" t="str">
        <x:f>IF(L50="same","uyumlu","kontrol et")</x:f>
        <x:v>uyumlu</x:v>
      </x:c>
    </x:row>
    <x:row r="51">
      <x:c r="A51" s="30" t="str">
        <x:v>REUTERS_ANN_01600</x:v>
      </x:c>
      <x:c r="B51" s="22" t="n">
        <x:v>39205</x:v>
      </x:c>
      <x:c r="C51" s="21" t="str">
        <x:v>wall st indexes climb on data sp tackles 1,500</x:v>
      </x:c>
      <x:c r="D51" s="21" t="str">
        <x:v>Wall Street endeksleri verilerle yükseldi, S&amp;P 1.500 seviyesini test etti</x:v>
      </x:c>
      <x:c r="E51" s="21" t="n">
        <x:v>1</x:v>
      </x:c>
      <x:c r="F51" s="21" t="str">
        <x:v>positive</x:v>
      </x:c>
      <x:c r="G51" s="23" t="n">
        <x:v>0.9137614369392396</x:v>
      </x:c>
      <x:c r="H51" s="21" t="n">
        <x:v>1</x:v>
      </x:c>
      <x:c r="I51" s="21" t="str">
        <x:v>positive</x:v>
      </x:c>
      <x:c r="J51" s="24" t="n">
        <x:v>0.93</x:v>
      </x:c>
      <x:c r="K51" s="21" t="str">
        <x:v>Endekslerin yükselmesi ve güçlü piyasa seviyesi olumlu sinyal.</x:v>
      </x:c>
      <x:c r="L51" s="21" t="str">
        <x:f>IF(F51=I51,"same","different")</x:f>
        <x:v>same</x:v>
      </x:c>
      <x:c r="M51" s="21" t="str">
        <x:f>IF(L51="same","uyumlu","kontrol et")</x:f>
        <x:v>uyumlu</x:v>
      </x:c>
    </x:row>
  </x:sheetData>
  <x:conditionalFormatting sqref="F2:F51">
    <x:cfRule type="expression" dxfId="0" priority="1">
      <x:formula>$F2="positive"</x:formula>
    </x:cfRule>
    <x:cfRule type="expression" dxfId="1" priority="2">
      <x:formula>$F2="negative"</x:formula>
    </x:cfRule>
    <x:cfRule type="expression" dxfId="2" priority="3">
      <x:formula>$F2="neutral"</x:formula>
    </x:cfRule>
  </x:conditionalFormatting>
  <x:conditionalFormatting sqref="I2:I51">
    <x:cfRule type="expression" dxfId="3" priority="4">
      <x:formula>$I2="positive"</x:formula>
    </x:cfRule>
    <x:cfRule type="expression" dxfId="4" priority="5">
      <x:formula>$I2="negative"</x:formula>
    </x:cfRule>
    <x:cfRule type="expression" dxfId="5" priority="6">
      <x:formula>$I2="neutral"</x:formula>
    </x:cfRule>
  </x:conditionalFormatting>
  <x:conditionalFormatting sqref="L2:L51">
    <x:cfRule type="expression" dxfId="6" priority="7">
      <x:formula>$L2="different"</x:formula>
    </x:cfRule>
  </x:conditionalFormatting>
  <x:conditionalFormatting sqref="M2:M51">
    <x:cfRule type="expression" dxfId="7" priority="8">
      <x:formula>$M2="kontrol et"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f2a5e71f1246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</x:cols>
  <x:sheetData>
    <x:row r="1" ht="30" customHeight="1">
      <x:c r="A1" s="36" t="str">
        <x:v>REUTERS ANNOTATION BATCH 032</x:v>
      </x:c>
      <x:c r="B1" s="36" t="str"/>
    </x:row>
    <x:row r="2">
      <x:c r="A2" s="37" t="str">
        <x:v>Rows</x:v>
      </x:c>
      <x:c r="B2" s="37" t="str">
        <x:v>1550 - 1599</x:v>
      </x:c>
    </x:row>
    <x:row r="3">
      <x:c r="A3" s="37" t="str">
        <x:v>Total records</x:v>
      </x:c>
      <x:c r="B3" s="37" t="n">
        <x:v>50</x:v>
      </x:c>
    </x:row>
    <x:row r="4">
      <x:c r="A4" s="37" t="str">
        <x:v>Output file</x:v>
      </x:c>
      <x:c r="B4" s="37" t="str">
        <x:v>REUTERS_annotation_batch_032.xlsx</x:v>
      </x:c>
    </x:row>
    <x:row r="5">
      <x:c r="A5" s="37" t="str">
        <x:v>Source file</x:v>
      </x:c>
      <x:c r="B5" s="37" t="str">
        <x:v>Pasted text(69).txt</x:v>
      </x:c>
    </x:row>
    <x:row r="6">
      <x:c r="A6" s="37" t="str"/>
      <x:c r="B6" s="37" t="str"/>
    </x:row>
    <x:row r="7">
      <x:c r="A7" s="38" t="str">
        <x:v>ChatGPT label</x:v>
      </x:c>
      <x:c r="B7" s="38" t="str">
        <x:v>Count</x:v>
      </x:c>
    </x:row>
    <x:row r="8">
      <x:c r="A8" s="37" t="str">
        <x:v>positive</x:v>
      </x:c>
      <x:c r="B8" s="37" t="n">
        <x:v>17</x:v>
      </x:c>
    </x:row>
    <x:row r="9">
      <x:c r="A9" s="37" t="str">
        <x:v>neutral</x:v>
      </x:c>
      <x:c r="B9" s="37" t="n">
        <x:v>17</x:v>
      </x:c>
    </x:row>
    <x:row r="10">
      <x:c r="A10" s="37" t="str">
        <x:v>negative</x:v>
      </x:c>
      <x:c r="B10" s="37" t="n">
        <x:v>16</x:v>
      </x:c>
    </x:row>
    <x:row r="11">
      <x:c r="A11" s="37" t="str"/>
      <x:c r="B11" s="37" t="str"/>
    </x:row>
    <x:row r="12">
      <x:c r="A12" s="38" t="str">
        <x:v>FinBERT label</x:v>
      </x:c>
      <x:c r="B12" s="38" t="str">
        <x:v>Count</x:v>
      </x:c>
    </x:row>
    <x:row r="13">
      <x:c r="A13" s="37" t="str">
        <x:v>positive</x:v>
      </x:c>
      <x:c r="B13" s="37" t="n">
        <x:v>21</x:v>
      </x:c>
    </x:row>
    <x:row r="14">
      <x:c r="A14" s="37" t="str">
        <x:v>neutral</x:v>
      </x:c>
      <x:c r="B14" s="37" t="n">
        <x:v>18</x:v>
      </x:c>
    </x:row>
    <x:row r="15">
      <x:c r="A15" s="37" t="str">
        <x:v>negative</x:v>
      </x:c>
      <x:c r="B15" s="37" t="n">
        <x:v>11</x:v>
      </x:c>
    </x:row>
    <x:row r="16">
      <x:c r="A16" s="37" t="str"/>
      <x:c r="B16" s="37" t="str"/>
    </x:row>
    <x:row r="17">
      <x:c r="A17" s="38" t="str">
        <x:v>FinBERT comparison</x:v>
      </x:c>
      <x:c r="B17" s="38" t="str">
        <x:v>Count</x:v>
      </x:c>
    </x:row>
    <x:row r="18">
      <x:c r="A18" s="37" t="str">
        <x:v>same</x:v>
      </x:c>
      <x:c r="B18" s="37" t="n">
        <x:v>36</x:v>
      </x:c>
    </x:row>
    <x:row r="19">
      <x:c r="A19" s="37" t="str">
        <x:v>different / review</x:v>
      </x:c>
      <x:c r="B19" s="37" t="n">
        <x:v>14</x:v>
      </x:c>
    </x:row>
  </x:sheetData>
  <x:pageMargins left="0.7" right="0.7" top="0.75" bottom="0.75" header="0.3" footer="0.3"/>
  <x:tableParts count="3">
    <x:tablePart xmlns:r="http://schemas.openxmlformats.org/officeDocument/2006/relationships" r:id="Rfa3ff5396ba24e41"/>
    <x:tablePart xmlns:r="http://schemas.openxmlformats.org/officeDocument/2006/relationships" r:id="R4bdda66b3a284ab3"/>
    <x:tablePart xmlns:r="http://schemas.openxmlformats.org/officeDocument/2006/relationships" r:id="Rd7159b034c1147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90" hidden="0" customWidth="1"/>
  </x:cols>
  <x:sheetData>
    <x:row r="1">
      <x:c r="A1" s="44" t="str">
        <x:v>Label</x:v>
      </x:c>
      <x:c r="B1" s="44" t="str">
        <x:v>Score</x:v>
      </x:c>
      <x:c r="C1" s="44" t="str">
        <x:v>Guideline</x:v>
      </x:c>
    </x:row>
    <x:row r="2">
      <x:c r="A2" s="12" t="str">
        <x:v>positive</x:v>
      </x:c>
      <x:c r="B2" s="12" t="n">
        <x:v>1</x:v>
      </x:c>
      <x:c r="C2" s="12" t="str">
        <x:v>Haber şirket, piyasa veya makro görünüm için açık olumlu sinyal taşıyorsa kullanıldı: kâr artışı, beklenti üstü sonuç, hisse yükselişi, güçlü talep, anlaşma/onay, büyüme.</x:v>
      </x:c>
    </x:row>
    <x:row r="3">
      <x:c r="A3" s="12" t="str">
        <x:v>neutral</x:v>
      </x:c>
      <x:c r="B3" s="12" t="n">
        <x:v>0</x:v>
      </x:c>
      <x:c r="C3" s="12" t="str">
        <x:v>Haber daha çok süreç, atama, factbox, anlaşma görüşmesi veya etkisi belirsiz kurumsal işlem ise kullanıldı.</x:v>
      </x:c>
    </x:row>
    <x:row r="4">
      <x:c r="A4" s="12" t="str">
        <x:v>negative</x:v>
      </x:c>
      <x:c r="B4" s="12" t="n">
        <x:v>-1</x:v>
      </x:c>
      <x:c r="C4" s="12" t="str">
        <x:v>Haber şirket, piyasa veya makro görünüm için açık olumsuz sinyal taşıyorsa kullanıldı: zarar/kâr düşüşü, dava/soruşturma, işten çıkarma, düşen satış, risk veya gecikme.</x:v>
      </x:c>
    </x:row>
    <x:row r="5">
      <x:c r="A5" s="12" t="str">
        <x:v>confidence</x:v>
      </x:c>
      <x:c r="B5" s="12" t="str"/>
      <x:c r="C5" s="12" t="str">
        <x:v>0.90+ açık sinyal; 0.75-0.89 orta-güçlü sinyal; 0.60-0.74 karışık veya bağlama duyarlı sinyal olarak yorumlandı.</x:v>
      </x:c>
    </x:row>
  </x:sheetData>
  <x:pageMargins left="0.7" right="0.7" top="0.75" bottom="0.75" header="0.3" footer="0.3"/>
  <x:tableParts count="1">
    <x:tablePart xmlns:r="http://schemas.openxmlformats.org/officeDocument/2006/relationships" r:id="Rdaba6956b77145ab"/>
  </x:tableParts>
</x:worksheet>
</file>