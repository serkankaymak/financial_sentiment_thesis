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f11b9c1b8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0ef6274311d84d6e"/>
    <x:sheet xmlns:r="http://schemas.openxmlformats.org/officeDocument/2006/relationships" name="summary" sheetId="2" r:id="R1e8417f9a72a49c8"/>
    <x:sheet xmlns:r="http://schemas.openxmlformats.org/officeDocument/2006/relationships" name="labeling_notes" sheetId="3" r:id="R6e915bfef769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2703c7e094bc2" /><Relationship Type="http://schemas.openxmlformats.org/officeDocument/2006/relationships/theme" Target="/xl/theme/theme1.xml" Id="R5ed2f9ba8b164a97" /><Relationship Type="http://schemas.openxmlformats.org/officeDocument/2006/relationships/sharedStrings" Target="/xl/sharedStrings.xml" Id="Rbe923fef951f4455" /><Relationship Type="http://schemas.openxmlformats.org/officeDocument/2006/relationships/worksheet" Target="/xl/worksheets/sheet1.xml" Id="R0ef6274311d84d6e" /><Relationship Type="http://schemas.openxmlformats.org/officeDocument/2006/relationships/worksheet" Target="/xl/worksheets/sheet2.xml" Id="R1e8417f9a72a49c8" /><Relationship Type="http://schemas.openxmlformats.org/officeDocument/2006/relationships/worksheet" Target="/xl/worksheets/sheet3.xml" Id="R6e915bfef7694ffe" /></Relationships>
</file>

<file path=xl/tables/table1.xml><?xml version="1.0" encoding="utf-8"?>
<x:table xmlns:x="http://schemas.openxmlformats.org/spreadsheetml/2006/main" id="1" name="ReutersAnnotations031" displayName="ReutersAnnotations031" ref="A1:N51" headerRowCount="1">
  <x:tableColumns count="14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chatgpt_reason_tr"/>
    <x:tableColumn id="12" name="finbert_comparison"/>
    <x:tableColumn id="13" name="review_flag"/>
    <x:tableColumn id="14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723d7c062e4e6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48" hidden="0" customWidth="1"/>
    <x:col min="12" max="12" width="16" hidden="0" customWidth="1"/>
    <x:col min="13" max="13" width="12" hidden="0" customWidth="1"/>
    <x:col min="14" max="14" width="24" hidden="0" customWidth="1"/>
  </x:cols>
  <x:sheetData>
    <x:row r="1" ht="28" customHeight="1">
      <x:c r="A1" s="10" t="str">
        <x:v>annotation_id</x:v>
      </x:c>
      <x:c r="B1" s="10" t="str">
        <x:v>date</x:v>
      </x:c>
      <x:c r="C1" s="10" t="str">
        <x:v>text_en</x:v>
      </x:c>
      <x:c r="D1" s="10" t="str">
        <x:v>text_tr</x:v>
      </x:c>
      <x:c r="E1" s="10" t="str">
        <x:v>finbert_score</x:v>
      </x:c>
      <x:c r="F1" s="10" t="str">
        <x:v>finbert_label</x:v>
      </x:c>
      <x:c r="G1" s="10" t="str">
        <x:v>finbert_confidence</x:v>
      </x:c>
      <x:c r="H1" s="10" t="str">
        <x:v>chatgpt_score</x:v>
      </x:c>
      <x:c r="I1" s="10" t="str">
        <x:v>chatgpt_label</x:v>
      </x:c>
      <x:c r="J1" s="10" t="str">
        <x:v>chatgpt_confidence</x:v>
      </x:c>
      <x:c r="K1" s="10" t="str">
        <x:v>chatgpt_reason_tr</x:v>
      </x:c>
      <x:c r="L1" s="10" t="str">
        <x:v>finbert_comparison</x:v>
      </x:c>
      <x:c r="M1" s="10" t="str">
        <x:v>review_flag</x:v>
      </x:c>
      <x:c r="N1" s="10" t="str">
        <x:v>row_note</x:v>
      </x:c>
    </x:row>
    <x:row r="2">
      <x:c r="A2" s="11" t="str">
        <x:v>REUTERS_ANN_01501</x:v>
      </x:c>
      <x:c r="B2" s="14" t="n">
        <x:v>39107</x:v>
      </x:c>
      <x:c r="C2" s="11" t="str">
        <x:v>lockheed wins id card contract for u.s. ports report</x:v>
      </x:c>
      <x:c r="D2" s="11" t="str">
        <x:v>Lockheed'in ABD limanları için kimlik kartı sözleşmesi kazandığı bildirildi</x:v>
      </x:c>
      <x:c r="E2" s="11" t="n">
        <x:v>0</x:v>
      </x:c>
      <x:c r="F2" s="11" t="str">
        <x:v>neutral</x:v>
      </x:c>
      <x:c r="G2" s="16" t="n">
        <x:v>0.6770311594009399</x:v>
      </x:c>
      <x:c r="H2" s="11" t="n">
        <x:v>1</x:v>
      </x:c>
      <x:c r="I2" s="11" t="str">
        <x:v>positive</x:v>
      </x:c>
      <x:c r="J2" s="18" t="n">
        <x:v>0.86</x:v>
      </x:c>
      <x:c r="K2" s="11" t="str">
        <x:v>Sözleşme kazanımı şirket gelirleri açısından olumlu sinyal.</x:v>
      </x:c>
      <x:c r="L2" s="11" t="str">
        <x:f>IF(F2=I2,"same","different")</x:f>
        <x:v>different</x:v>
      </x:c>
      <x:c r="M2" s="11" t="str">
        <x:f>IF(L2="different","review","")</x:f>
        <x:v>review</x:v>
      </x:c>
      <x:c r="N2" s="11" t="str"/>
    </x:row>
    <x:row r="3">
      <x:c r="A3" s="11" t="str">
        <x:v>REUTERS_ANN_01502</x:v>
      </x:c>
      <x:c r="B3" s="14" t="n">
        <x:v>39143</x:v>
      </x:c>
      <x:c r="C3" s="11" t="str">
        <x:v>mylan raising nearly $1 billion in offerings</x:v>
      </x:c>
      <x:c r="D3" s="11" t="str">
        <x:v>Mylan halka arzlarla yaklaşık 1 milyar dolar toplamaya hazırlanıyor</x:v>
      </x:c>
      <x:c r="E3" s="11" t="n">
        <x:v>0</x:v>
      </x:c>
      <x:c r="F3" s="11" t="str">
        <x:v>neutral</x:v>
      </x:c>
      <x:c r="G3" s="16" t="n">
        <x:v>0.6188576817512512</x:v>
      </x:c>
      <x:c r="H3" s="11" t="n">
        <x:v>0</x:v>
      </x:c>
      <x:c r="I3" s="11" t="str">
        <x:v>neutral</x:v>
      </x:c>
      <x:c r="J3" s="18" t="n">
        <x:v>0.62</x:v>
      </x:c>
      <x:c r="K3" s="11" t="str">
        <x:v>Sermaye artırımı/borçlanma benzeri finansman haberi; etki yönü net değil.</x:v>
      </x:c>
      <x:c r="L3" s="11" t="str">
        <x:f>IF(F3=I3,"same","different")</x:f>
        <x:v>same</x:v>
      </x:c>
      <x:c r="M3" s="11" t="str">
        <x:f>IF(L3="different","review","")</x:f>
      </x:c>
      <x:c r="N3" s="11" t="str"/>
    </x:row>
    <x:row r="4">
      <x:c r="A4" s="11" t="str">
        <x:v>REUTERS_ANN_01503</x:v>
      </x:c>
      <x:c r="B4" s="14" t="n">
        <x:v>39013</x:v>
      </x:c>
      <x:c r="C4" s="11" t="str">
        <x:v>dow ends at record high texas instruments off late</x:v>
      </x:c>
      <x:c r="D4" s="11" t="str">
        <x:v>Dow rekor yüksek seviyede kapandı; Texas Instruments geç saatlerde geriledi</x:v>
      </x:c>
      <x:c r="E4" s="11" t="n">
        <x:v>1</x:v>
      </x:c>
      <x:c r="F4" s="11" t="str">
        <x:v>positive</x:v>
      </x:c>
      <x:c r="G4" s="16" t="n">
        <x:v>0.9249876737594604</x:v>
      </x:c>
      <x:c r="H4" s="11" t="n">
        <x:v>1</x:v>
      </x:c>
      <x:c r="I4" s="11" t="str">
        <x:v>positive</x:v>
      </x:c>
      <x:c r="J4" s="18" t="n">
        <x:v>0.88</x:v>
      </x:c>
      <x:c r="K4" s="11" t="str">
        <x:v>Endeksin rekor seviyede kapanması baskın olarak olumlu.</x:v>
      </x:c>
      <x:c r="L4" s="11" t="str">
        <x:f>IF(F4=I4,"same","different")</x:f>
        <x:v>same</x:v>
      </x:c>
      <x:c r="M4" s="11" t="str">
        <x:f>IF(L4="different","review","")</x:f>
      </x:c>
      <x:c r="N4" s="11" t="str"/>
    </x:row>
    <x:row r="5">
      <x:c r="A5" s="11" t="str">
        <x:v>REUTERS_ANN_01504</x:v>
      </x:c>
      <x:c r="B5" s="14" t="n">
        <x:v>39182</x:v>
      </x:c>
      <x:c r="C5" s="11" t="str">
        <x:v>risks rise in credit and financial market imf</x:v>
      </x:c>
      <x:c r="D5" s="11" t="str">
        <x:v>IMF'ye göre kredi ve finans piyasalarındaki riskler artıyor</x:v>
      </x:c>
      <x:c r="E5" s="11" t="n">
        <x:v>-1</x:v>
      </x:c>
      <x:c r="F5" s="11" t="str">
        <x:v>negative</x:v>
      </x:c>
      <x:c r="G5" s="16" t="n">
        <x:v>0.5552108883857727</x:v>
      </x:c>
      <x:c r="H5" s="11" t="n">
        <x:v>-1</x:v>
      </x:c>
      <x:c r="I5" s="11" t="str">
        <x:v>negative</x:v>
      </x:c>
      <x:c r="J5" s="18" t="n">
        <x:v>0.9</x:v>
      </x:c>
      <x:c r="K5" s="11" t="str">
        <x:v>Finansal risklerin artması piyasa açısından olumsuz.</x:v>
      </x:c>
      <x:c r="L5" s="11" t="str">
        <x:f>IF(F5=I5,"same","different")</x:f>
        <x:v>same</x:v>
      </x:c>
      <x:c r="M5" s="11" t="str">
        <x:f>IF(L5="different","review","")</x:f>
      </x:c>
      <x:c r="N5" s="11" t="str"/>
    </x:row>
    <x:row r="6">
      <x:c r="A6" s="11" t="str">
        <x:v>REUTERS_ANN_01505</x:v>
      </x:c>
      <x:c r="B6" s="14" t="n">
        <x:v>39038</x:v>
      </x:c>
      <x:c r="C6" s="11" t="str">
        <x:v>alberto-culver cfo to retire, sally spin completed</x:v>
      </x:c>
      <x:c r="D6" s="11" t="str">
        <x:v>Alberto-Culver CFO'su emekli olacak; Sally ayrışması tamamlandı</x:v>
      </x:c>
      <x:c r="E6" s="11" t="n">
        <x:v>0</x:v>
      </x:c>
      <x:c r="F6" s="11" t="str">
        <x:v>neutral</x:v>
      </x:c>
      <x:c r="G6" s="16" t="n">
        <x:v>0.9362177848815918</x:v>
      </x:c>
      <x:c r="H6" s="11" t="n">
        <x:v>0</x:v>
      </x:c>
      <x:c r="I6" s="11" t="str">
        <x:v>neutral</x:v>
      </x:c>
      <x:c r="J6" s="18" t="n">
        <x:v>0.72</x:v>
      </x:c>
      <x:c r="K6" s="11" t="str">
        <x:v>Yönetim değişimi ve tamamlanan işlem bilgisi; belirgin pozitif/negatif etki yok.</x:v>
      </x:c>
      <x:c r="L6" s="11" t="str">
        <x:f>IF(F6=I6,"same","different")</x:f>
        <x:v>same</x:v>
      </x:c>
      <x:c r="M6" s="11" t="str">
        <x:f>IF(L6="different","review","")</x:f>
      </x:c>
      <x:c r="N6" s="11" t="str"/>
    </x:row>
    <x:row r="7">
      <x:c r="A7" s="11" t="str">
        <x:v>REUTERS_ANN_01506</x:v>
      </x:c>
      <x:c r="B7" s="14" t="n">
        <x:v>39072</x:v>
      </x:c>
      <x:c r="C7" s="11" t="str">
        <x:v>stock options fall out of favor in u.s. paper</x:v>
      </x:c>
      <x:c r="D7" s="11" t="str">
        <x:v>ABD'de hisse opsiyonları gözden düşüyor</x:v>
      </x:c>
      <x:c r="E7" s="11" t="n">
        <x:v>-1</x:v>
      </x:c>
      <x:c r="F7" s="11" t="str">
        <x:v>negative</x:v>
      </x:c>
      <x:c r="G7" s="16" t="n">
        <x:v>0.9243488311767578</x:v>
      </x:c>
      <x:c r="H7" s="11" t="n">
        <x:v>-1</x:v>
      </x:c>
      <x:c r="I7" s="11" t="str">
        <x:v>negative</x:v>
      </x:c>
      <x:c r="J7" s="18" t="n">
        <x:v>0.68</x:v>
      </x:c>
      <x:c r="K7" s="11" t="str">
        <x:v>Tazminat yapısına dair zayıflayan algı ve kurumsal yönetim baskısı içeriyor.</x:v>
      </x:c>
      <x:c r="L7" s="11" t="str">
        <x:f>IF(F7=I7,"same","different")</x:f>
        <x:v>same</x:v>
      </x:c>
      <x:c r="M7" s="11" t="str">
        <x:f>IF(L7="different","review","")</x:f>
      </x:c>
      <x:c r="N7" s="11" t="str"/>
    </x:row>
    <x:row r="8">
      <x:c r="A8" s="11" t="str">
        <x:v>REUTERS_ANN_01507</x:v>
      </x:c>
      <x:c r="B8" s="14" t="n">
        <x:v>39061</x:v>
      </x:c>
      <x:c r="C8" s="11" t="str">
        <x:v>uks prudential says rejected approach for egg</x:v>
      </x:c>
      <x:c r="D8" s="11" t="str">
        <x:v>İngiltere'den Prudential, Egg için gelen yaklaşımı reddettiğini söyledi</x:v>
      </x:c>
      <x:c r="E8" s="11" t="n">
        <x:v>0</x:v>
      </x:c>
      <x:c r="F8" s="11" t="str">
        <x:v>neutral</x:v>
      </x:c>
      <x:c r="G8" s="16" t="n">
        <x:v>0.5019819736480713</x:v>
      </x:c>
      <x:c r="H8" s="11" t="n">
        <x:v>0</x:v>
      </x:c>
      <x:c r="I8" s="11" t="str">
        <x:v>neutral</x:v>
      </x:c>
      <x:c r="J8" s="18" t="n">
        <x:v>0.65</x:v>
      </x:c>
      <x:c r="K8" s="11" t="str">
        <x:v>Reddedilen teklif haberi; şirket değerine etkisi belirsiz.</x:v>
      </x:c>
      <x:c r="L8" s="11" t="str">
        <x:f>IF(F8=I8,"same","different")</x:f>
        <x:v>same</x:v>
      </x:c>
      <x:c r="M8" s="11" t="str">
        <x:f>IF(L8="different","review","")</x:f>
      </x:c>
      <x:c r="N8" s="11" t="str"/>
    </x:row>
    <x:row r="9">
      <x:c r="A9" s="11" t="str">
        <x:v>REUTERS_ANN_01508</x:v>
      </x:c>
      <x:c r="B9" s="14" t="n">
        <x:v>39157</x:v>
      </x:c>
      <x:c r="C9" s="11" t="str">
        <x:v>greenspan changes tune, wall street cries foul</x:v>
      </x:c>
      <x:c r="D9" s="11" t="str">
        <x:v>Greenspan tutum değiştirince Wall Street tepki gösterdi</x:v>
      </x:c>
      <x:c r="E9" s="11" t="n">
        <x:v>-1</x:v>
      </x:c>
      <x:c r="F9" s="11" t="str">
        <x:v>negative</x:v>
      </x:c>
      <x:c r="G9" s="16" t="n">
        <x:v>0.8186736702919006</x:v>
      </x:c>
      <x:c r="H9" s="11" t="n">
        <x:v>-1</x:v>
      </x:c>
      <x:c r="I9" s="11" t="str">
        <x:v>negative</x:v>
      </x:c>
      <x:c r="J9" s="18" t="n">
        <x:v>0.82</x:v>
      </x:c>
      <x:c r="K9" s="11" t="str">
        <x:v>Piyasa aktörlerinin olumsuz tepki verdiği belirsizlik haberi.</x:v>
      </x:c>
      <x:c r="L9" s="11" t="str">
        <x:f>IF(F9=I9,"same","different")</x:f>
        <x:v>same</x:v>
      </x:c>
      <x:c r="M9" s="11" t="str">
        <x:f>IF(L9="different","review","")</x:f>
      </x:c>
      <x:c r="N9" s="11" t="str"/>
    </x:row>
    <x:row r="10">
      <x:c r="A10" s="11" t="str">
        <x:v>REUTERS_ANN_01509</x:v>
      </x:c>
      <x:c r="B10" s="14" t="n">
        <x:v>39122</x:v>
      </x:c>
      <x:c r="C10" s="11" t="str">
        <x:v>daimlerchrysler lowers stake in airbus parent</x:v>
      </x:c>
      <x:c r="D10" s="11" t="str">
        <x:v>DaimlerChrysler, Airbus'ın ana şirketindeki payını düşürüyor</x:v>
      </x:c>
      <x:c r="E10" s="11" t="n">
        <x:v>1</x:v>
      </x:c>
      <x:c r="F10" s="11" t="str">
        <x:v>positive</x:v>
      </x:c>
      <x:c r="G10" s="16" t="n">
        <x:v>0.7497735619544983</x:v>
      </x:c>
      <x:c r="H10" s="11" t="n">
        <x:v>0</x:v>
      </x:c>
      <x:c r="I10" s="11" t="str">
        <x:v>neutral</x:v>
      </x:c>
      <x:c r="J10" s="18" t="n">
        <x:v>0.66</x:v>
      </x:c>
      <x:c r="K10" s="11" t="str">
        <x:v>Pay azaltımı stratejik işlem niteliğinde; net yön sınırlı.</x:v>
      </x:c>
      <x:c r="L10" s="11" t="str">
        <x:f>IF(F10=I10,"same","different")</x:f>
        <x:v>different</x:v>
      </x:c>
      <x:c r="M10" s="11" t="str">
        <x:f>IF(L10="different","review","")</x:f>
        <x:v>review</x:v>
      </x:c>
      <x:c r="N10" s="11" t="str"/>
    </x:row>
    <x:row r="11">
      <x:c r="A11" s="11" t="str">
        <x:v>REUTERS_ANN_01510</x:v>
      </x:c>
      <x:c r="B11" s="14" t="n">
        <x:v>39068</x:v>
      </x:c>
      <x:c r="C11" s="11" t="str">
        <x:v>smorgon, onesteel trading halted</x:v>
      </x:c>
      <x:c r="D11" s="11" t="str">
        <x:v>Smorgon ve OneSteel hisselerinde işlem durduruldu</x:v>
      </x:c>
      <x:c r="E11" s="11" t="n">
        <x:v>-1</x:v>
      </x:c>
      <x:c r="F11" s="11" t="str">
        <x:v>negative</x:v>
      </x:c>
      <x:c r="G11" s="16" t="n">
        <x:v>0.7265453934669495</x:v>
      </x:c>
      <x:c r="H11" s="11" t="n">
        <x:v>0</x:v>
      </x:c>
      <x:c r="I11" s="11" t="str">
        <x:v>neutral</x:v>
      </x:c>
      <x:c r="J11" s="18" t="n">
        <x:v>0.55</x:v>
      </x:c>
      <x:c r="K11" s="11" t="str">
        <x:v>İşlem durdurma çoğunlukla bekleme/belirsizlik bilgisi; yön net değil.</x:v>
      </x:c>
      <x:c r="L11" s="11" t="str">
        <x:f>IF(F11=I11,"same","different")</x:f>
        <x:v>different</x:v>
      </x:c>
      <x:c r="M11" s="11" t="str">
        <x:f>IF(L11="different","review","")</x:f>
        <x:v>review</x:v>
      </x:c>
      <x:c r="N11" s="11" t="str"/>
    </x:row>
    <x:row r="12">
      <x:c r="A12" s="11" t="str">
        <x:v>REUTERS_ANN_01511</x:v>
      </x:c>
      <x:c r="B12" s="14" t="n">
        <x:v>39153</x:v>
      </x:c>
      <x:c r="C12" s="11" t="str">
        <x:v>racing boss, ford set to unveil aston martin sale</x:v>
      </x:c>
      <x:c r="D12" s="11" t="str">
        <x:v>Yarış yöneticisi ve Ford, Aston Martin satışını açıklamaya hazırlanıyor</x:v>
      </x:c>
      <x:c r="E12" s="11" t="n">
        <x:v>0</x:v>
      </x:c>
      <x:c r="F12" s="11" t="str">
        <x:v>neutral</x:v>
      </x:c>
      <x:c r="G12" s="16" t="n">
        <x:v>0.9328225255012512</x:v>
      </x:c>
      <x:c r="H12" s="11" t="n">
        <x:v>0</x:v>
      </x:c>
      <x:c r="I12" s="11" t="str">
        <x:v>neutral</x:v>
      </x:c>
      <x:c r="J12" s="18" t="n">
        <x:v>0.76</x:v>
      </x:c>
      <x:c r="K12" s="11" t="str">
        <x:v>Varlık satışı haberi; fiyat/etki bilgisi olmadan nötr.</x:v>
      </x:c>
      <x:c r="L12" s="11" t="str">
        <x:f>IF(F12=I12,"same","different")</x:f>
        <x:v>same</x:v>
      </x:c>
      <x:c r="M12" s="11" t="str">
        <x:f>IF(L12="different","review","")</x:f>
      </x:c>
      <x:c r="N12" s="11" t="str"/>
    </x:row>
    <x:row r="13">
      <x:c r="A13" s="11" t="str">
        <x:v>REUTERS_ANN_01512</x:v>
      </x:c>
      <x:c r="B13" s="14" t="n">
        <x:v>39190</x:v>
      </x:c>
      <x:c r="C13" s="11" t="str">
        <x:v>uaw presses daimler to call off chrysler sale</x:v>
      </x:c>
      <x:c r="D13" s="11" t="str">
        <x:v>UAW, Daimler'e Chrysler satışını iptal etmesi için baskı yapıyor</x:v>
      </x:c>
      <x:c r="E13" s="11" t="n">
        <x:v>0</x:v>
      </x:c>
      <x:c r="F13" s="11" t="str">
        <x:v>neutral</x:v>
      </x:c>
      <x:c r="G13" s="16" t="n">
        <x:v>0.7967967987060547</x:v>
      </x:c>
      <x:c r="H13" s="11" t="n">
        <x:v>-1</x:v>
      </x:c>
      <x:c r="I13" s="11" t="str">
        <x:v>negative</x:v>
      </x:c>
      <x:c r="J13" s="18" t="n">
        <x:v>0.7</x:v>
      </x:c>
      <x:c r="K13" s="11" t="str">
        <x:v>Planlanan satışa sendika baskısı ve stratejik sürtüşme içeriyor.</x:v>
      </x:c>
      <x:c r="L13" s="11" t="str">
        <x:f>IF(F13=I13,"same","different")</x:f>
        <x:v>different</x:v>
      </x:c>
      <x:c r="M13" s="11" t="str">
        <x:f>IF(L13="different","review","")</x:f>
        <x:v>review</x:v>
      </x:c>
      <x:c r="N13" s="11" t="str"/>
    </x:row>
    <x:row r="14">
      <x:c r="A14" s="11" t="str">
        <x:v>REUTERS_ANN_01513</x:v>
      </x:c>
      <x:c r="B14" s="14" t="n">
        <x:v>39113</x:v>
      </x:c>
      <x:c r="C14" s="11" t="str">
        <x:v>yen reflects fundamentals, bears watching paulson</x:v>
      </x:c>
      <x:c r="D14" s="11" t="str">
        <x:v>Paulson: Yen temelleri yansıtıyor, izlenmeli</x:v>
      </x:c>
      <x:c r="E14" s="11" t="n">
        <x:v>-1</x:v>
      </x:c>
      <x:c r="F14" s="11" t="str">
        <x:v>negative</x:v>
      </x:c>
      <x:c r="G14" s="16" t="n">
        <x:v>0.9353115558624268</x:v>
      </x:c>
      <x:c r="H14" s="11" t="n">
        <x:v>0</x:v>
      </x:c>
      <x:c r="I14" s="11" t="str">
        <x:v>neutral</x:v>
      </x:c>
      <x:c r="J14" s="18" t="n">
        <x:v>0.62</x:v>
      </x:c>
      <x:c r="K14" s="11" t="str">
        <x:v>Politika yorumu; doğrudan olumlu/olumsuz şirket etkisi yok.</x:v>
      </x:c>
      <x:c r="L14" s="11" t="str">
        <x:f>IF(F14=I14,"same","different")</x:f>
        <x:v>different</x:v>
      </x:c>
      <x:c r="M14" s="11" t="str">
        <x:f>IF(L14="different","review","")</x:f>
        <x:v>review</x:v>
      </x:c>
      <x:c r="N14" s="11" t="str"/>
    </x:row>
    <x:row r="15">
      <x:c r="A15" s="11" t="str">
        <x:v>REUTERS_ANN_01514</x:v>
      </x:c>
      <x:c r="B15" s="14" t="n">
        <x:v>39190</x:v>
      </x:c>
      <x:c r="C15" s="11" t="str">
        <x:v>dow ends at record high</x:v>
      </x:c>
      <x:c r="D15" s="11" t="str">
        <x:v>Dow rekor yüksek seviyede kapandı</x:v>
      </x:c>
      <x:c r="E15" s="11" t="n">
        <x:v>1</x:v>
      </x:c>
      <x:c r="F15" s="11" t="str">
        <x:v>positive</x:v>
      </x:c>
      <x:c r="G15" s="16" t="n">
        <x:v>0.8178824186325073</x:v>
      </x:c>
      <x:c r="H15" s="11" t="n">
        <x:v>1</x:v>
      </x:c>
      <x:c r="I15" s="11" t="str">
        <x:v>positive</x:v>
      </x:c>
      <x:c r="J15" s="18" t="n">
        <x:v>0.95</x:v>
      </x:c>
      <x:c r="K15" s="11" t="str">
        <x:v>Endeks rekoru açık piyasa olumlu sinyali.</x:v>
      </x:c>
      <x:c r="L15" s="11" t="str">
        <x:f>IF(F15=I15,"same","different")</x:f>
        <x:v>same</x:v>
      </x:c>
      <x:c r="M15" s="11" t="str">
        <x:f>IF(L15="different","review","")</x:f>
      </x:c>
      <x:c r="N15" s="11" t="str"/>
    </x:row>
    <x:row r="16">
      <x:c r="A16" s="11" t="str">
        <x:v>REUTERS_ANN_01515</x:v>
      </x:c>
      <x:c r="B16" s="14" t="n">
        <x:v>39198</x:v>
      </x:c>
      <x:c r="C16" s="11" t="str">
        <x:v>sandisk posts quarterly loss, shares fall</x:v>
      </x:c>
      <x:c r="D16" s="11" t="str">
        <x:v>SanDisk çeyreklik zarar açıkladı, hisseleri düştü</x:v>
      </x:c>
      <x:c r="E16" s="11" t="n">
        <x:v>-1</x:v>
      </x:c>
      <x:c r="F16" s="11" t="str">
        <x:v>negative</x:v>
      </x:c>
      <x:c r="G16" s="16" t="n">
        <x:v>0.9735623002052308</x:v>
      </x:c>
      <x:c r="H16" s="11" t="n">
        <x:v>-1</x:v>
      </x:c>
      <x:c r="I16" s="11" t="str">
        <x:v>negative</x:v>
      </x:c>
      <x:c r="J16" s="18" t="n">
        <x:v>0.96</x:v>
      </x:c>
      <x:c r="K16" s="11" t="str">
        <x:v>Zarar ve hisse düşüşü açık olumsuz sinyal.</x:v>
      </x:c>
      <x:c r="L16" s="11" t="str">
        <x:f>IF(F16=I16,"same","different")</x:f>
        <x:v>same</x:v>
      </x:c>
      <x:c r="M16" s="11" t="str">
        <x:f>IF(L16="different","review","")</x:f>
      </x:c>
      <x:c r="N16" s="11" t="str"/>
    </x:row>
    <x:row r="17">
      <x:c r="A17" s="11" t="str">
        <x:v>REUTERS_ANN_01516</x:v>
      </x:c>
      <x:c r="B17" s="14" t="n">
        <x:v>39057</x:v>
      </x:c>
      <x:c r="C17" s="11" t="str">
        <x:v>icahn ends bid for reckson</x:v>
      </x:c>
      <x:c r="D17" s="11" t="str">
        <x:v>Icahn, Reckson için teklifini sonlandırdı</x:v>
      </x:c>
      <x:c r="E17" s="11" t="n">
        <x:v>-1</x:v>
      </x:c>
      <x:c r="F17" s="11" t="str">
        <x:v>negative</x:v>
      </x:c>
      <x:c r="G17" s="16" t="n">
        <x:v>0.9183800220489502</x:v>
      </x:c>
      <x:c r="H17" s="11" t="n">
        <x:v>-1</x:v>
      </x:c>
      <x:c r="I17" s="11" t="str">
        <x:v>negative</x:v>
      </x:c>
      <x:c r="J17" s="18" t="n">
        <x:v>0.82</x:v>
      </x:c>
      <x:c r="K17" s="11" t="str">
        <x:v>Satın alma beklentisinin bitmesi işlem primi açısından olumsuz.</x:v>
      </x:c>
      <x:c r="L17" s="11" t="str">
        <x:f>IF(F17=I17,"same","different")</x:f>
        <x:v>same</x:v>
      </x:c>
      <x:c r="M17" s="11" t="str">
        <x:f>IF(L17="different","review","")</x:f>
      </x:c>
      <x:c r="N17" s="11" t="str"/>
    </x:row>
    <x:row r="18">
      <x:c r="A18" s="11" t="str">
        <x:v>REUTERS_ANN_01517</x:v>
      </x:c>
      <x:c r="B18" s="14" t="n">
        <x:v>39177</x:v>
      </x:c>
      <x:c r="C18" s="11" t="str">
        <x:v>jj wins ruling in boston scientific patent case</x:v>
      </x:c>
      <x:c r="D18" s="11" t="str">
        <x:v>J&amp;J, Boston Scientific patent davasında karar kazandı</x:v>
      </x:c>
      <x:c r="E18" s="11" t="n">
        <x:v>-1</x:v>
      </x:c>
      <x:c r="F18" s="11" t="str">
        <x:v>negative</x:v>
      </x:c>
      <x:c r="G18" s="16" t="n">
        <x:v>0.4370712041854858</x:v>
      </x:c>
      <x:c r="H18" s="11" t="n">
        <x:v>1</x:v>
      </x:c>
      <x:c r="I18" s="11" t="str">
        <x:v>positive</x:v>
      </x:c>
      <x:c r="J18" s="18" t="n">
        <x:v>0.86</x:v>
      </x:c>
      <x:c r="K18" s="11" t="str">
        <x:v>Hukuki kazanım J&amp;J açısından olumlu.</x:v>
      </x:c>
      <x:c r="L18" s="11" t="str">
        <x:f>IF(F18=I18,"same","different")</x:f>
        <x:v>different</x:v>
      </x:c>
      <x:c r="M18" s="11" t="str">
        <x:f>IF(L18="different","review","")</x:f>
        <x:v>review</x:v>
      </x:c>
      <x:c r="N18" s="11" t="str"/>
    </x:row>
    <x:row r="19">
      <x:c r="A19" s="11" t="str">
        <x:v>REUTERS_ANN_01518</x:v>
      </x:c>
      <x:c r="B19" s="14" t="n">
        <x:v>39078</x:v>
      </x:c>
      <x:c r="C19" s="11" t="str">
        <x:v>update 6-russia warns europe of gas row with belarus</x:v>
      </x:c>
      <x:c r="D19" s="11" t="str">
        <x:v>Rusya, Belarus ile gaz anlaşmazlığı konusunda Avrupa'yı uyardı</x:v>
      </x:c>
      <x:c r="E19" s="11" t="n">
        <x:v>-1</x:v>
      </x:c>
      <x:c r="F19" s="11" t="str">
        <x:v>negative</x:v>
      </x:c>
      <x:c r="G19" s="16" t="n">
        <x:v>0.9626139998435974</x:v>
      </x:c>
      <x:c r="H19" s="11" t="n">
        <x:v>-1</x:v>
      </x:c>
      <x:c r="I19" s="11" t="str">
        <x:v>negative</x:v>
      </x:c>
      <x:c r="J19" s="18" t="n">
        <x:v>0.92</x:v>
      </x:c>
      <x:c r="K19" s="11" t="str">
        <x:v>Enerji arzı ve jeopolitik risk vurgusu olumsuz.</x:v>
      </x:c>
      <x:c r="L19" s="11" t="str">
        <x:f>IF(F19=I19,"same","different")</x:f>
        <x:v>same</x:v>
      </x:c>
      <x:c r="M19" s="11" t="str">
        <x:f>IF(L19="different","review","")</x:f>
      </x:c>
      <x:c r="N19" s="11" t="str"/>
    </x:row>
    <x:row r="20">
      <x:c r="A20" s="11" t="str">
        <x:v>REUTERS_ANN_01519</x:v>
      </x:c>
      <x:c r="B20" s="14" t="n">
        <x:v>39062</x:v>
      </x:c>
      <x:c r="C20" s="11" t="str">
        <x:v>ups says it is offering voluntary buyouts to 650 workers</x:v>
      </x:c>
      <x:c r="D20" s="11" t="str">
        <x:v>UPS, 650 çalışana gönüllü ayrılık paketi sunduğunu söyledi</x:v>
      </x:c>
      <x:c r="E20" s="11" t="n">
        <x:v>0</x:v>
      </x:c>
      <x:c r="F20" s="11" t="str">
        <x:v>neutral</x:v>
      </x:c>
      <x:c r="G20" s="16" t="n">
        <x:v>0.7788968682289124</x:v>
      </x:c>
      <x:c r="H20" s="11" t="n">
        <x:v>-1</x:v>
      </x:c>
      <x:c r="I20" s="11" t="str">
        <x:v>negative</x:v>
      </x:c>
      <x:c r="J20" s="18" t="n">
        <x:v>0.76</x:v>
      </x:c>
      <x:c r="K20" s="11" t="str">
        <x:v>İşgücü azaltımı/maliyet baskısı sinyali taşıyor.</x:v>
      </x:c>
      <x:c r="L20" s="11" t="str">
        <x:f>IF(F20=I20,"same","different")</x:f>
        <x:v>different</x:v>
      </x:c>
      <x:c r="M20" s="11" t="str">
        <x:f>IF(L20="different","review","")</x:f>
        <x:v>review</x:v>
      </x:c>
      <x:c r="N20" s="11" t="str"/>
    </x:row>
    <x:row r="21">
      <x:c r="A21" s="11" t="str">
        <x:v>REUTERS_ANN_01520</x:v>
      </x:c>
      <x:c r="B21" s="14" t="n">
        <x:v>39087</x:v>
      </x:c>
      <x:c r="C21" s="11" t="str">
        <x:v>northwest air says close to mesaba takeover</x:v>
      </x:c>
      <x:c r="D21" s="11" t="str">
        <x:v>Northwest Air, Mesaba'yı devralmaya yakın olduğunu söyledi</x:v>
      </x:c>
      <x:c r="E21" s="11" t="n">
        <x:v>0</x:v>
      </x:c>
      <x:c r="F21" s="11" t="str">
        <x:v>neutral</x:v>
      </x:c>
      <x:c r="G21" s="16" t="n">
        <x:v>0.5543741583824158</x:v>
      </x:c>
      <x:c r="H21" s="11" t="n">
        <x:v>0</x:v>
      </x:c>
      <x:c r="I21" s="11" t="str">
        <x:v>neutral</x:v>
      </x:c>
      <x:c r="J21" s="18" t="n">
        <x:v>0.64</x:v>
      </x:c>
      <x:c r="K21" s="11" t="str">
        <x:v>Satın alma süreci bilgisi; finansal etki net değil.</x:v>
      </x:c>
      <x:c r="L21" s="11" t="str">
        <x:f>IF(F21=I21,"same","different")</x:f>
        <x:v>same</x:v>
      </x:c>
      <x:c r="M21" s="11" t="str">
        <x:f>IF(L21="different","review","")</x:f>
      </x:c>
      <x:c r="N21" s="11" t="str"/>
    </x:row>
    <x:row r="22">
      <x:c r="A22" s="11" t="str">
        <x:v>REUTERS_ANN_01521</x:v>
      </x:c>
      <x:c r="B22" s="14" t="n">
        <x:v>39066</x:v>
      </x:c>
      <x:c r="C22" s="11" t="str">
        <x:v>bernanke says savings rates feed imbalances</x:v>
      </x:c>
      <x:c r="D22" s="11" t="str">
        <x:v>Bernanke, tasarruf oranlarının dengesizlikleri beslediğini söyledi</x:v>
      </x:c>
      <x:c r="E22" s="11" t="n">
        <x:v>0</x:v>
      </x:c>
      <x:c r="F22" s="11" t="str">
        <x:v>neutral</x:v>
      </x:c>
      <x:c r="G22" s="16" t="n">
        <x:v>0.5152375102043152</x:v>
      </x:c>
      <x:c r="H22" s="11" t="n">
        <x:v>0</x:v>
      </x:c>
      <x:c r="I22" s="11" t="str">
        <x:v>neutral</x:v>
      </x:c>
      <x:c r="J22" s="18" t="n">
        <x:v>0.62</x:v>
      </x:c>
      <x:c r="K22" s="11" t="str">
        <x:v>Makro yorum; haberin yönü doğrudan piyasa sinyali vermiyor.</x:v>
      </x:c>
      <x:c r="L22" s="11" t="str">
        <x:f>IF(F22=I22,"same","different")</x:f>
        <x:v>same</x:v>
      </x:c>
      <x:c r="M22" s="11" t="str">
        <x:f>IF(L22="different","review","")</x:f>
      </x:c>
      <x:c r="N22" s="11" t="str"/>
    </x:row>
    <x:row r="23">
      <x:c r="A23" s="11" t="str">
        <x:v>REUTERS_ANN_01522</x:v>
      </x:c>
      <x:c r="B23" s="14" t="n">
        <x:v>39100</x:v>
      </x:c>
      <x:c r="C23" s="11" t="str">
        <x:v>abbott to keep at least 2 diagnostics units source</x:v>
      </x:c>
      <x:c r="D23" s="11" t="str">
        <x:v>Kaynağa göre Abbott en az iki teşhis birimini elinde tutacak</x:v>
      </x:c>
      <x:c r="E23" s="11" t="n">
        <x:v>0</x:v>
      </x:c>
      <x:c r="F23" s="11" t="str">
        <x:v>neutral</x:v>
      </x:c>
      <x:c r="G23" s="16" t="n">
        <x:v>0.8891292214393616</x:v>
      </x:c>
      <x:c r="H23" s="11" t="n">
        <x:v>0</x:v>
      </x:c>
      <x:c r="I23" s="11" t="str">
        <x:v>neutral</x:v>
      </x:c>
      <x:c r="J23" s="18" t="n">
        <x:v>0.7</x:v>
      </x:c>
      <x:c r="K23" s="11" t="str">
        <x:v>Portföy kararı bilgisi; belirgin kazanç/kayıp etkisi yok.</x:v>
      </x:c>
      <x:c r="L23" s="11" t="str">
        <x:f>IF(F23=I23,"same","different")</x:f>
        <x:v>same</x:v>
      </x:c>
      <x:c r="M23" s="11" t="str">
        <x:f>IF(L23="different","review","")</x:f>
      </x:c>
      <x:c r="N23" s="11" t="str"/>
    </x:row>
    <x:row r="24">
      <x:c r="A24" s="11" t="str">
        <x:v>REUTERS_ANN_01523</x:v>
      </x:c>
      <x:c r="B24" s="14" t="n">
        <x:v>39087</x:v>
      </x:c>
      <x:c r="C24" s="11" t="str">
        <x:v>job growth, hourly earnings jump in december</x:v>
      </x:c>
      <x:c r="D24" s="11" t="str">
        <x:v>Aralık ayında istihdam artışı ve saatlik kazançlar yükseldi</x:v>
      </x:c>
      <x:c r="E24" s="11" t="n">
        <x:v>-1</x:v>
      </x:c>
      <x:c r="F24" s="11" t="str">
        <x:v>negative</x:v>
      </x:c>
      <x:c r="G24" s="16" t="n">
        <x:v>0.925972819328308</x:v>
      </x:c>
      <x:c r="H24" s="11" t="n">
        <x:v>1</x:v>
      </x:c>
      <x:c r="I24" s="11" t="str">
        <x:v>positive</x:v>
      </x:c>
      <x:c r="J24" s="18" t="n">
        <x:v>0.88</x:v>
      </x:c>
      <x:c r="K24" s="11" t="str">
        <x:v>Güçlü istihdam ve ücret artışı makro açıdan olumlu.</x:v>
      </x:c>
      <x:c r="L24" s="11" t="str">
        <x:f>IF(F24=I24,"same","different")</x:f>
        <x:v>different</x:v>
      </x:c>
      <x:c r="M24" s="11" t="str">
        <x:f>IF(L24="different","review","")</x:f>
        <x:v>review</x:v>
      </x:c>
      <x:c r="N24" s="11" t="str"/>
    </x:row>
    <x:row r="25">
      <x:c r="A25" s="11" t="str">
        <x:v>REUTERS_ANN_01524</x:v>
      </x:c>
      <x:c r="B25" s="14" t="n">
        <x:v>39079</x:v>
      </x:c>
      <x:c r="C25" s="11" t="str">
        <x:v>deltas comair, pilots union try to buy more time</x:v>
      </x:c>
      <x:c r="D25" s="11" t="str">
        <x:v>Delta'nın Comair birimi ve pilot sendikası daha fazla süre kazanmaya çalışıyor</x:v>
      </x:c>
      <x:c r="E25" s="11" t="n">
        <x:v>1</x:v>
      </x:c>
      <x:c r="F25" s="11" t="str">
        <x:v>positive</x:v>
      </x:c>
      <x:c r="G25" s="16" t="n">
        <x:v>0.7621386051177979</x:v>
      </x:c>
      <x:c r="H25" s="11" t="n">
        <x:v>0</x:v>
      </x:c>
      <x:c r="I25" s="11" t="str">
        <x:v>neutral</x:v>
      </x:c>
      <x:c r="J25" s="18" t="n">
        <x:v>0.65</x:v>
      </x:c>
      <x:c r="K25" s="11" t="str">
        <x:v>Müzakere süreci ve zaman kazanma haberi; yön belirsiz.</x:v>
      </x:c>
      <x:c r="L25" s="11" t="str">
        <x:f>IF(F25=I25,"same","different")</x:f>
        <x:v>different</x:v>
      </x:c>
      <x:c r="M25" s="11" t="str">
        <x:f>IF(L25="different","review","")</x:f>
        <x:v>review</x:v>
      </x:c>
      <x:c r="N25" s="11" t="str"/>
    </x:row>
    <x:row r="26">
      <x:c r="A26" s="11" t="str">
        <x:v>REUTERS_ANN_01525</x:v>
      </x:c>
      <x:c r="B26" s="14" t="n">
        <x:v>39199</x:v>
      </x:c>
      <x:c r="C26" s="11" t="str">
        <x:v>gm cuts work at 2 plants after talks fail wsj</x:v>
      </x:c>
      <x:c r="D26" s="11" t="str">
        <x:v>GM, görüşmeler başarısız olunca iki fabrikada çalışmayı azalttı</x:v>
      </x:c>
      <x:c r="E26" s="11" t="n">
        <x:v>-1</x:v>
      </x:c>
      <x:c r="F26" s="11" t="str">
        <x:v>negative</x:v>
      </x:c>
      <x:c r="G26" s="16" t="n">
        <x:v>0.9577794671058656</x:v>
      </x:c>
      <x:c r="H26" s="11" t="n">
        <x:v>-1</x:v>
      </x:c>
      <x:c r="I26" s="11" t="str">
        <x:v>negative</x:v>
      </x:c>
      <x:c r="J26" s="18" t="n">
        <x:v>0.92</x:v>
      </x:c>
      <x:c r="K26" s="11" t="str">
        <x:v>Üretim kesintisi ve başarısız görüşme olumsuz.</x:v>
      </x:c>
      <x:c r="L26" s="11" t="str">
        <x:f>IF(F26=I26,"same","different")</x:f>
        <x:v>same</x:v>
      </x:c>
      <x:c r="M26" s="11" t="str">
        <x:f>IF(L26="different","review","")</x:f>
      </x:c>
      <x:c r="N26" s="11" t="str"/>
    </x:row>
    <x:row r="27">
      <x:c r="A27" s="11" t="str">
        <x:v>REUTERS_ANN_01526</x:v>
      </x:c>
      <x:c r="B27" s="14" t="n">
        <x:v>39104</x:v>
      </x:c>
      <x:c r="C27" s="11" t="str">
        <x:v>judge refuses to block exit pay of ex-home depot ceo</x:v>
      </x:c>
      <x:c r="D27" s="11" t="str">
        <x:v>Hakim, eski Home Depot CEO'sunun çıkış ödemesini engellemeyi reddetti</x:v>
      </x:c>
      <x:c r="E27" s="11" t="n">
        <x:v>-1</x:v>
      </x:c>
      <x:c r="F27" s="11" t="str">
        <x:v>negative</x:v>
      </x:c>
      <x:c r="G27" s="16" t="n">
        <x:v>0.8129759430885315</x:v>
      </x:c>
      <x:c r="H27" s="11" t="n">
        <x:v>-1</x:v>
      </x:c>
      <x:c r="I27" s="11" t="str">
        <x:v>negative</x:v>
      </x:c>
      <x:c r="J27" s="18" t="n">
        <x:v>0.67</x:v>
      </x:c>
      <x:c r="K27" s="11" t="str">
        <x:v>Yönetişim ve yüksek ayrılış ödemesi tartışması olumsuz algı yaratabilir.</x:v>
      </x:c>
      <x:c r="L27" s="11" t="str">
        <x:f>IF(F27=I27,"same","different")</x:f>
        <x:v>same</x:v>
      </x:c>
      <x:c r="M27" s="11" t="str">
        <x:f>IF(L27="different","review","")</x:f>
      </x:c>
      <x:c r="N27" s="11" t="str"/>
    </x:row>
    <x:row r="28">
      <x:c r="A28" s="11" t="str">
        <x:v>REUTERS_ANN_01527</x:v>
      </x:c>
      <x:c r="B28" s="14" t="n">
        <x:v>39197</x:v>
      </x:c>
      <x:c r="C28" s="11" t="str">
        <x:v>praxair first-quarter earnings climb</x:v>
      </x:c>
      <x:c r="D28" s="11" t="str">
        <x:v>Praxair'in birinci çeyrek kârı yükseldi</x:v>
      </x:c>
      <x:c r="E28" s="11" t="n">
        <x:v>1</x:v>
      </x:c>
      <x:c r="F28" s="11" t="str">
        <x:v>positive</x:v>
      </x:c>
      <x:c r="G28" s="16" t="n">
        <x:v>0.9517750144004822</x:v>
      </x:c>
      <x:c r="H28" s="11" t="n">
        <x:v>1</x:v>
      </x:c>
      <x:c r="I28" s="11" t="str">
        <x:v>positive</x:v>
      </x:c>
      <x:c r="J28" s="18" t="n">
        <x:v>0.95</x:v>
      </x:c>
      <x:c r="K28" s="11" t="str">
        <x:v>Kâr artışı doğrudan olumlu.</x:v>
      </x:c>
      <x:c r="L28" s="11" t="str">
        <x:f>IF(F28=I28,"same","different")</x:f>
        <x:v>same</x:v>
      </x:c>
      <x:c r="M28" s="11" t="str">
        <x:f>IF(L28="different","review","")</x:f>
      </x:c>
      <x:c r="N28" s="11" t="str"/>
    </x:row>
    <x:row r="29">
      <x:c r="A29" s="11" t="str">
        <x:v>REUTERS_ANN_01528</x:v>
      </x:c>
      <x:c r="B29" s="14" t="n">
        <x:v>39136</x:v>
      </x:c>
      <x:c r="C29" s="11" t="str">
        <x:v>salmonella outbreak widens to 41 states</x:v>
      </x:c>
      <x:c r="D29" s="11" t="str">
        <x:v>Salmonella salgını 41 eyalete yayıldı</x:v>
      </x:c>
      <x:c r="E29" s="11" t="n">
        <x:v>-1</x:v>
      </x:c>
      <x:c r="F29" s="11" t="str">
        <x:v>negative</x:v>
      </x:c>
      <x:c r="G29" s="16" t="n">
        <x:v>0.8697676658630371</x:v>
      </x:c>
      <x:c r="H29" s="11" t="n">
        <x:v>-1</x:v>
      </x:c>
      <x:c r="I29" s="11" t="str">
        <x:v>negative</x:v>
      </x:c>
      <x:c r="J29" s="18" t="n">
        <x:v>0.93</x:v>
      </x:c>
      <x:c r="K29" s="11" t="str">
        <x:v>Sağlık/ürün güvenliği riski açık olumsuz.</x:v>
      </x:c>
      <x:c r="L29" s="11" t="str">
        <x:f>IF(F29=I29,"same","different")</x:f>
        <x:v>same</x:v>
      </x:c>
      <x:c r="M29" s="11" t="str">
        <x:f>IF(L29="different","review","")</x:f>
      </x:c>
      <x:c r="N29" s="11" t="str"/>
    </x:row>
    <x:row r="30">
      <x:c r="A30" s="11" t="str">
        <x:v>REUTERS_ANN_01529</x:v>
      </x:c>
      <x:c r="B30" s="14" t="n">
        <x:v>39022</x:v>
      </x:c>
      <x:c r="C30" s="11" t="str">
        <x:v>happy days for u.s. diners, survey finds</x:v>
      </x:c>
      <x:c r="D30" s="11" t="str">
        <x:v>Ankete göre ABD lokanta müşterileri için iyi günler yaşanıyor</x:v>
      </x:c>
      <x:c r="E30" s="11" t="n">
        <x:v>0</x:v>
      </x:c>
      <x:c r="F30" s="11" t="str">
        <x:v>neutral</x:v>
      </x:c>
      <x:c r="G30" s="16" t="n">
        <x:v>0.8613989353179932</x:v>
      </x:c>
      <x:c r="H30" s="11" t="n">
        <x:v>1</x:v>
      </x:c>
      <x:c r="I30" s="11" t="str">
        <x:v>positive</x:v>
      </x:c>
      <x:c r="J30" s="18" t="n">
        <x:v>0.72</x:v>
      </x:c>
      <x:c r="K30" s="11" t="str">
        <x:v>Tüketici/restaurant talebine dair olumlu algı.</x:v>
      </x:c>
      <x:c r="L30" s="11" t="str">
        <x:f>IF(F30=I30,"same","different")</x:f>
        <x:v>different</x:v>
      </x:c>
      <x:c r="M30" s="11" t="str">
        <x:f>IF(L30="different","review","")</x:f>
        <x:v>review</x:v>
      </x:c>
      <x:c r="N30" s="11" t="str"/>
    </x:row>
    <x:row r="31">
      <x:c r="A31" s="11" t="str">
        <x:v>REUTERS_ANN_01530</x:v>
      </x:c>
      <x:c r="B31" s="14" t="n">
        <x:v>39153</x:v>
      </x:c>
      <x:c r="C31" s="11" t="str">
        <x:v>philips drops stroboscopic backlight for flat tvs</x:v>
      </x:c>
      <x:c r="D31" s="11" t="str">
        <x:v>Philips düz ekran televizyonlar için stroboskopik arka aydınlatmadan vazgeçti</x:v>
      </x:c>
      <x:c r="E31" s="11" t="n">
        <x:v>-1</x:v>
      </x:c>
      <x:c r="F31" s="11" t="str">
        <x:v>negative</x:v>
      </x:c>
      <x:c r="G31" s="16" t="n">
        <x:v>0.4889657199382782</x:v>
      </x:c>
      <x:c r="H31" s="11" t="n">
        <x:v>-1</x:v>
      </x:c>
      <x:c r="I31" s="11" t="str">
        <x:v>negative</x:v>
      </x:c>
      <x:c r="J31" s="18" t="n">
        <x:v>0.7</x:v>
      </x:c>
      <x:c r="K31" s="11" t="str">
        <x:v>Ürün teknolojisinin bırakılması zayıf/olumsuz sinyal.</x:v>
      </x:c>
      <x:c r="L31" s="11" t="str">
        <x:f>IF(F31=I31,"same","different")</x:f>
        <x:v>same</x:v>
      </x:c>
      <x:c r="M31" s="11" t="str">
        <x:f>IF(L31="different","review","")</x:f>
      </x:c>
      <x:c r="N31" s="11" t="str"/>
    </x:row>
    <x:row r="32">
      <x:c r="A32" s="11" t="str">
        <x:v>REUTERS_ANN_01531</x:v>
      </x:c>
      <x:c r="B32" s="14" t="n">
        <x:v>39198</x:v>
      </x:c>
      <x:c r="C32" s="11" t="str">
        <x:v>sony to raise $2.5 bln in financial arm ipo paper</x:v>
      </x:c>
      <x:c r="D32" s="11" t="str">
        <x:v>Sony'nin finans birimi halka arzıyla 2,5 milyar dolar toplaması bekleniyor</x:v>
      </x:c>
      <x:c r="E32" s="11" t="n">
        <x:v>0</x:v>
      </x:c>
      <x:c r="F32" s="11" t="str">
        <x:v>neutral</x:v>
      </x:c>
      <x:c r="G32" s="16" t="n">
        <x:v>0.7181087136268616</x:v>
      </x:c>
      <x:c r="H32" s="11" t="n">
        <x:v>0</x:v>
      </x:c>
      <x:c r="I32" s="11" t="str">
        <x:v>neutral</x:v>
      </x:c>
      <x:c r="J32" s="18" t="n">
        <x:v>0.65</x:v>
      </x:c>
      <x:c r="K32" s="11" t="str">
        <x:v>Halka arz finansmanı haberi; net değer etkisi sınırlı.</x:v>
      </x:c>
      <x:c r="L32" s="11" t="str">
        <x:f>IF(F32=I32,"same","different")</x:f>
        <x:v>same</x:v>
      </x:c>
      <x:c r="M32" s="11" t="str">
        <x:f>IF(L32="different","review","")</x:f>
      </x:c>
      <x:c r="N32" s="11" t="str"/>
    </x:row>
    <x:row r="33">
      <x:c r="A33" s="11" t="str">
        <x:v>REUTERS_ANN_01532</x:v>
      </x:c>
      <x:c r="B33" s="14" t="n">
        <x:v>39121</x:v>
      </x:c>
      <x:c r="C33" s="11" t="str">
        <x:v>nasdaq up on cisco, oil curbs dow disney up late</x:v>
      </x:c>
      <x:c r="D33" s="11" t="str">
        <x:v>Nasdaq Cisco ile yükseldi; petrol Dow'u sınırladı, Disney geç saatlerde yükseldi</x:v>
      </x:c>
      <x:c r="E33" s="11" t="n">
        <x:v>1</x:v>
      </x:c>
      <x:c r="F33" s="11" t="str">
        <x:v>positive</x:v>
      </x:c>
      <x:c r="G33" s="16" t="n">
        <x:v>0.9363829493522644</x:v>
      </x:c>
      <x:c r="H33" s="11" t="n">
        <x:v>1</x:v>
      </x:c>
      <x:c r="I33" s="11" t="str">
        <x:v>positive</x:v>
      </x:c>
      <x:c r="J33" s="18" t="n">
        <x:v>0.74</x:v>
      </x:c>
      <x:c r="K33" s="11" t="str">
        <x:v>Teknoloji ve bazı hisselerde yükseliş baskın olumlu.</x:v>
      </x:c>
      <x:c r="L33" s="11" t="str">
        <x:f>IF(F33=I33,"same","different")</x:f>
        <x:v>same</x:v>
      </x:c>
      <x:c r="M33" s="11" t="str">
        <x:f>IF(L33="different","review","")</x:f>
      </x:c>
      <x:c r="N33" s="11" t="str"/>
    </x:row>
    <x:row r="34">
      <x:c r="A34" s="11" t="str">
        <x:v>REUTERS_ANN_01533</x:v>
      </x:c>
      <x:c r="B34" s="14" t="n">
        <x:v>39143</x:v>
      </x:c>
      <x:c r="C34" s="11" t="str">
        <x:v>gold slides 2 percent on stock losses</x:v>
      </x:c>
      <x:c r="D34" s="11" t="str">
        <x:v>Altın, hisse kayıplarıyla yüzde 2 geriledi</x:v>
      </x:c>
      <x:c r="E34" s="11" t="n">
        <x:v>-1</x:v>
      </x:c>
      <x:c r="F34" s="11" t="str">
        <x:v>negative</x:v>
      </x:c>
      <x:c r="G34" s="16" t="n">
        <x:v>0.9751613736152648</x:v>
      </x:c>
      <x:c r="H34" s="11" t="n">
        <x:v>-1</x:v>
      </x:c>
      <x:c r="I34" s="11" t="str">
        <x:v>negative</x:v>
      </x:c>
      <x:c r="J34" s="18" t="n">
        <x:v>0.94</x:v>
      </x:c>
      <x:c r="K34" s="11" t="str">
        <x:v>Emtia fiyatındaki sert düşüş olumsuz.</x:v>
      </x:c>
      <x:c r="L34" s="11" t="str">
        <x:f>IF(F34=I34,"same","different")</x:f>
        <x:v>same</x:v>
      </x:c>
      <x:c r="M34" s="11" t="str">
        <x:f>IF(L34="different","review","")</x:f>
      </x:c>
      <x:c r="N34" s="11" t="str"/>
    </x:row>
    <x:row r="35">
      <x:c r="A35" s="11" t="str">
        <x:v>REUTERS_ANN_01534</x:v>
      </x:c>
      <x:c r="B35" s="14" t="n">
        <x:v>39162</x:v>
      </x:c>
      <x:c r="C35" s="11" t="str">
        <x:v>sirius, xm to offer reduced price plan after deal</x:v>
      </x:c>
      <x:c r="D35" s="11" t="str">
        <x:v>Sirius ve XM birleşme sonrası daha düşük fiyatlı plan sunacak</x:v>
      </x:c>
      <x:c r="E35" s="11" t="n">
        <x:v>0</x:v>
      </x:c>
      <x:c r="F35" s="11" t="str">
        <x:v>neutral</x:v>
      </x:c>
      <x:c r="G35" s="16" t="n">
        <x:v>0.800346851348877</x:v>
      </x:c>
      <x:c r="H35" s="11" t="n">
        <x:v>0</x:v>
      </x:c>
      <x:c r="I35" s="11" t="str">
        <x:v>neutral</x:v>
      </x:c>
      <x:c r="J35" s="18" t="n">
        <x:v>0.68</x:v>
      </x:c>
      <x:c r="K35" s="11" t="str">
        <x:v>Birleşme sonrası fiyat planı bilgisi; etki yönü karışık.</x:v>
      </x:c>
      <x:c r="L35" s="11" t="str">
        <x:f>IF(F35=I35,"same","different")</x:f>
        <x:v>same</x:v>
      </x:c>
      <x:c r="M35" s="11" t="str">
        <x:f>IF(L35="different","review","")</x:f>
      </x:c>
      <x:c r="N35" s="11" t="str"/>
    </x:row>
    <x:row r="36">
      <x:c r="A36" s="11" t="str">
        <x:v>REUTERS_ANN_01535</x:v>
      </x:c>
      <x:c r="B36" s="14" t="n">
        <x:v>39090</x:v>
      </x:c>
      <x:c r="C36" s="11" t="str">
        <x:v>cvs sees closing caremark merger in 1st quarter</x:v>
      </x:c>
      <x:c r="D36" s="11" t="str">
        <x:v>CVS, Caremark birleşmesini ilk çeyrekte kapatmayı bekliyor</x:v>
      </x:c>
      <x:c r="E36" s="11" t="n">
        <x:v>0</x:v>
      </x:c>
      <x:c r="F36" s="11" t="str">
        <x:v>neutral</x:v>
      </x:c>
      <x:c r="G36" s="16" t="n">
        <x:v>0.5099565386772156</x:v>
      </x:c>
      <x:c r="H36" s="11" t="n">
        <x:v>1</x:v>
      </x:c>
      <x:c r="I36" s="11" t="str">
        <x:v>positive</x:v>
      </x:c>
      <x:c r="J36" s="18" t="n">
        <x:v>0.78</x:v>
      </x:c>
      <x:c r="K36" s="11" t="str">
        <x:v>Birleşmenin tamamlanma beklentisi stratejik olumlu sinyal.</x:v>
      </x:c>
      <x:c r="L36" s="11" t="str">
        <x:f>IF(F36=I36,"same","different")</x:f>
        <x:v>different</x:v>
      </x:c>
      <x:c r="M36" s="11" t="str">
        <x:f>IF(L36="different","review","")</x:f>
        <x:v>review</x:v>
      </x:c>
      <x:c r="N36" s="11" t="str"/>
    </x:row>
    <x:row r="37">
      <x:c r="A37" s="11" t="str">
        <x:v>REUTERS_ANN_01536</x:v>
      </x:c>
      <x:c r="B37" s="14" t="n">
        <x:v>39158</x:v>
      </x:c>
      <x:c r="C37" s="11" t="str">
        <x:v>investors to press congress on warming</x:v>
      </x:c>
      <x:c r="D37" s="11" t="str">
        <x:v>Yatırımcılar küresel ısınma konusunda Kongre'ye baskı yapacak</x:v>
      </x:c>
      <x:c r="E37" s="11" t="n">
        <x:v>0</x:v>
      </x:c>
      <x:c r="F37" s="11" t="str">
        <x:v>neutral</x:v>
      </x:c>
      <x:c r="G37" s="16" t="n">
        <x:v>0.8829870820045471</x:v>
      </x:c>
      <x:c r="H37" s="11" t="n">
        <x:v>0</x:v>
      </x:c>
      <x:c r="I37" s="11" t="str">
        <x:v>neutral</x:v>
      </x:c>
      <x:c r="J37" s="18" t="n">
        <x:v>0.68</x:v>
      </x:c>
      <x:c r="K37" s="11" t="str">
        <x:v>Politika/ESG baskısı haberi; finansal yön doğrudan değil.</x:v>
      </x:c>
      <x:c r="L37" s="11" t="str">
        <x:f>IF(F37=I37,"same","different")</x:f>
        <x:v>same</x:v>
      </x:c>
      <x:c r="M37" s="11" t="str">
        <x:f>IF(L37="different","review","")</x:f>
      </x:c>
      <x:c r="N37" s="11" t="str"/>
    </x:row>
    <x:row r="38">
      <x:c r="A38" s="11" t="str">
        <x:v>REUTERS_ANN_01537</x:v>
      </x:c>
      <x:c r="B38" s="14" t="n">
        <x:v>39051</x:v>
      </x:c>
      <x:c r="C38" s="11" t="str">
        <x:v>stocks flat midwest growth slows and oil rises</x:v>
      </x:c>
      <x:c r="D38" s="11" t="str">
        <x:v>Hisseler yatay; Midwest büyümesi yavaşladı ve petrol yükseldi</x:v>
      </x:c>
      <x:c r="E38" s="11" t="n">
        <x:v>1</x:v>
      </x:c>
      <x:c r="F38" s="11" t="str">
        <x:v>positive</x:v>
      </x:c>
      <x:c r="G38" s="16" t="n">
        <x:v>0.8964099884033203</x:v>
      </x:c>
      <x:c r="H38" s="11" t="n">
        <x:v>-1</x:v>
      </x:c>
      <x:c r="I38" s="11" t="str">
        <x:v>negative</x:v>
      </x:c>
      <x:c r="J38" s="18" t="n">
        <x:v>0.72</x:v>
      </x:c>
      <x:c r="K38" s="11" t="str">
        <x:v>Büyümede yavaşlama ve petrol artışı piyasa için baskı yaratıyor.</x:v>
      </x:c>
      <x:c r="L38" s="11" t="str">
        <x:f>IF(F38=I38,"same","different")</x:f>
        <x:v>different</x:v>
      </x:c>
      <x:c r="M38" s="11" t="str">
        <x:f>IF(L38="different","review","")</x:f>
        <x:v>review</x:v>
      </x:c>
      <x:c r="N38" s="11" t="str"/>
    </x:row>
    <x:row r="39">
      <x:c r="A39" s="11" t="str">
        <x:v>REUTERS_ANN_01538</x:v>
      </x:c>
      <x:c r="B39" s="14" t="n">
        <x:v>39164</x:v>
      </x:c>
      <x:c r="C39" s="11" t="str">
        <x:v>nissan says 775 u.s. factory workers take buyouts</x:v>
      </x:c>
      <x:c r="D39" s="11" t="str">
        <x:v>Nissan, 775 ABD fabrika çalışanının ayrılık paketini kabul ettiğini söyledi</x:v>
      </x:c>
      <x:c r="E39" s="11" t="n">
        <x:v>-1</x:v>
      </x:c>
      <x:c r="F39" s="11" t="str">
        <x:v>negative</x:v>
      </x:c>
      <x:c r="G39" s="16" t="n">
        <x:v>0.969642698764801</x:v>
      </x:c>
      <x:c r="H39" s="11" t="n">
        <x:v>-1</x:v>
      </x:c>
      <x:c r="I39" s="11" t="str">
        <x:v>negative</x:v>
      </x:c>
      <x:c r="J39" s="18" t="n">
        <x:v>0.86</x:v>
      </x:c>
      <x:c r="K39" s="11" t="str">
        <x:v>İşgücü azaltımı ve yeniden yapılandırma olumsuz.</x:v>
      </x:c>
      <x:c r="L39" s="11" t="str">
        <x:f>IF(F39=I39,"same","different")</x:f>
        <x:v>same</x:v>
      </x:c>
      <x:c r="M39" s="11" t="str">
        <x:f>IF(L39="different","review","")</x:f>
      </x:c>
      <x:c r="N39" s="11" t="str"/>
    </x:row>
    <x:row r="40">
      <x:c r="A40" s="11" t="str">
        <x:v>REUTERS_ANN_01539</x:v>
      </x:c>
      <x:c r="B40" s="14" t="n">
        <x:v>39079</x:v>
      </x:c>
      <x:c r="C40" s="11" t="str">
        <x:v>bg says to buy connecticut power plant</x:v>
      </x:c>
      <x:c r="D40" s="11" t="str">
        <x:v>BG, Connecticut'ta bir elektrik santrali satın alacağını söyledi</x:v>
      </x:c>
      <x:c r="E40" s="11" t="n">
        <x:v>1</x:v>
      </x:c>
      <x:c r="F40" s="11" t="str">
        <x:v>positive</x:v>
      </x:c>
      <x:c r="G40" s="16" t="n">
        <x:v>0.609035849571228</x:v>
      </x:c>
      <x:c r="H40" s="11" t="n">
        <x:v>1</x:v>
      </x:c>
      <x:c r="I40" s="11" t="str">
        <x:v>positive</x:v>
      </x:c>
      <x:c r="J40" s="18" t="n">
        <x:v>0.73</x:v>
      </x:c>
      <x:c r="K40" s="11" t="str">
        <x:v>Varlık alımı büyüme/kapasite artışı sinyali.</x:v>
      </x:c>
      <x:c r="L40" s="11" t="str">
        <x:f>IF(F40=I40,"same","different")</x:f>
        <x:v>same</x:v>
      </x:c>
      <x:c r="M40" s="11" t="str">
        <x:f>IF(L40="different","review","")</x:f>
      </x:c>
      <x:c r="N40" s="11" t="str"/>
    </x:row>
    <x:row r="41">
      <x:c r="A41" s="11" t="str">
        <x:v>REUTERS_ANN_01540</x:v>
      </x:c>
      <x:c r="B41" s="14" t="n">
        <x:v>39063</x:v>
      </x:c>
      <x:c r="C41" s="11" t="str">
        <x:v>best buy, nucor lead decline</x:v>
      </x:c>
      <x:c r="D41" s="11" t="str">
        <x:v>Best Buy ve Nucor düşüşe öncülük etti</x:v>
      </x:c>
      <x:c r="E41" s="11" t="n">
        <x:v>-1</x:v>
      </x:c>
      <x:c r="F41" s="11" t="str">
        <x:v>negative</x:v>
      </x:c>
      <x:c r="G41" s="16" t="n">
        <x:v>0.9728755950927734</x:v>
      </x:c>
      <x:c r="H41" s="11" t="n">
        <x:v>-1</x:v>
      </x:c>
      <x:c r="I41" s="11" t="str">
        <x:v>negative</x:v>
      </x:c>
      <x:c r="J41" s="18" t="n">
        <x:v>0.9</x:v>
      </x:c>
      <x:c r="K41" s="11" t="str">
        <x:v>Piyasa/hisse düşüşüne öncülük eden şirketler olumsuz.</x:v>
      </x:c>
      <x:c r="L41" s="11" t="str">
        <x:f>IF(F41=I41,"same","different")</x:f>
        <x:v>same</x:v>
      </x:c>
      <x:c r="M41" s="11" t="str">
        <x:f>IF(L41="different","review","")</x:f>
      </x:c>
      <x:c r="N41" s="11" t="str"/>
    </x:row>
    <x:row r="42">
      <x:c r="A42" s="11" t="str">
        <x:v>REUTERS_ANN_01541</x:v>
      </x:c>
      <x:c r="B42" s="14" t="n">
        <x:v>39126</x:v>
      </x:c>
      <x:c r="C42" s="11" t="str">
        <x:v>northrop names new cfo, names wesley bush as coo</x:v>
      </x:c>
      <x:c r="D42" s="11" t="str">
        <x:v>Northrop yeni CFO atadı, Wesley Bush'ı COO yaptı</x:v>
      </x:c>
      <x:c r="E42" s="11" t="n">
        <x:v>0</x:v>
      </x:c>
      <x:c r="F42" s="11" t="str">
        <x:v>neutral</x:v>
      </x:c>
      <x:c r="G42" s="16" t="n">
        <x:v>0.9027847051620485</x:v>
      </x:c>
      <x:c r="H42" s="11" t="n">
        <x:v>0</x:v>
      </x:c>
      <x:c r="I42" s="11" t="str">
        <x:v>neutral</x:v>
      </x:c>
      <x:c r="J42" s="18" t="n">
        <x:v>0.8</x:v>
      </x:c>
      <x:c r="K42" s="11" t="str">
        <x:v>Yönetim ataması haberi; belirgin finansal yön yok.</x:v>
      </x:c>
      <x:c r="L42" s="11" t="str">
        <x:f>IF(F42=I42,"same","different")</x:f>
        <x:v>same</x:v>
      </x:c>
      <x:c r="M42" s="11" t="str">
        <x:f>IF(L42="different","review","")</x:f>
      </x:c>
      <x:c r="N42" s="11" t="str"/>
    </x:row>
    <x:row r="43">
      <x:c r="A43" s="11" t="str">
        <x:v>REUTERS_ANN_01542</x:v>
      </x:c>
      <x:c r="B43" s="14" t="n">
        <x:v>39182</x:v>
      </x:c>
      <x:c r="C43" s="11" t="str">
        <x:v>d.r. horton orders down 37 pct, spring sales weak</x:v>
      </x:c>
      <x:c r="D43" s="11" t="str">
        <x:v>D.R. Horton siparişleri yüzde 37 düştü, bahar satışları zayıf</x:v>
      </x:c>
      <x:c r="E43" s="11" t="n">
        <x:v>-1</x:v>
      </x:c>
      <x:c r="F43" s="11" t="str">
        <x:v>negative</x:v>
      </x:c>
      <x:c r="G43" s="16" t="n">
        <x:v>0.973077118396759</x:v>
      </x:c>
      <x:c r="H43" s="11" t="n">
        <x:v>-1</x:v>
      </x:c>
      <x:c r="I43" s="11" t="str">
        <x:v>negative</x:v>
      </x:c>
      <x:c r="J43" s="18" t="n">
        <x:v>0.96</x:v>
      </x:c>
      <x:c r="K43" s="11" t="str">
        <x:v>Siparişlerde büyük düşüş ve zayıf satışlar açık olumsuz.</x:v>
      </x:c>
      <x:c r="L43" s="11" t="str">
        <x:f>IF(F43=I43,"same","different")</x:f>
        <x:v>same</x:v>
      </x:c>
      <x:c r="M43" s="11" t="str">
        <x:f>IF(L43="different","review","")</x:f>
      </x:c>
      <x:c r="N43" s="11" t="str"/>
    </x:row>
    <x:row r="44">
      <x:c r="A44" s="11" t="str">
        <x:v>REUTERS_ANN_01543</x:v>
      </x:c>
      <x:c r="B44" s="14" t="n">
        <x:v>39035</x:v>
      </x:c>
      <x:c r="C44" s="11" t="str">
        <x:v>vw brand chief considers resigning report</x:v>
      </x:c>
      <x:c r="D44" s="11" t="str">
        <x:v>VW marka yöneticisi istifayı değerlendiriyor</x:v>
      </x:c>
      <x:c r="E44" s="11" t="n">
        <x:v>-1</x:v>
      </x:c>
      <x:c r="F44" s="11" t="str">
        <x:v>negative</x:v>
      </x:c>
      <x:c r="G44" s="16" t="n">
        <x:v>0.7767170667648315</x:v>
      </x:c>
      <x:c r="H44" s="11" t="n">
        <x:v>-1</x:v>
      </x:c>
      <x:c r="I44" s="11" t="str">
        <x:v>negative</x:v>
      </x:c>
      <x:c r="J44" s="18" t="n">
        <x:v>0.76</x:v>
      </x:c>
      <x:c r="K44" s="11" t="str">
        <x:v>Üst yönetim belirsizliği olumsuz algı yaratır.</x:v>
      </x:c>
      <x:c r="L44" s="11" t="str">
        <x:f>IF(F44=I44,"same","different")</x:f>
        <x:v>same</x:v>
      </x:c>
      <x:c r="M44" s="11" t="str">
        <x:f>IF(L44="different","review","")</x:f>
      </x:c>
      <x:c r="N44" s="11" t="str"/>
    </x:row>
    <x:row r="45">
      <x:c r="A45" s="11" t="str">
        <x:v>REUTERS_ANN_01544</x:v>
      </x:c>
      <x:c r="B45" s="14" t="n">
        <x:v>39167</x:v>
      </x:c>
      <x:c r="C45" s="11" t="str">
        <x:v>asterisk marked conrad blacks payment witness</x:v>
      </x:c>
      <x:c r="D45" s="11" t="str">
        <x:v>Tanık, Conrad Black'in ödemesinin yıldız işaretiyle işaretlendiğini söyledi</x:v>
      </x:c>
      <x:c r="E45" s="11" t="n">
        <x:v>0</x:v>
      </x:c>
      <x:c r="F45" s="11" t="str">
        <x:v>neutral</x:v>
      </x:c>
      <x:c r="G45" s="16" t="n">
        <x:v>0.6831011772155762</x:v>
      </x:c>
      <x:c r="H45" s="11" t="n">
        <x:v>0</x:v>
      </x:c>
      <x:c r="I45" s="11" t="str">
        <x:v>neutral</x:v>
      </x:c>
      <x:c r="J45" s="18" t="n">
        <x:v>0.58</x:v>
      </x:c>
      <x:c r="K45" s="11" t="str">
        <x:v>Dava sürecindeki ayrıntı; piyasa yönü doğrudan değil.</x:v>
      </x:c>
      <x:c r="L45" s="11" t="str">
        <x:f>IF(F45=I45,"same","different")</x:f>
        <x:v>same</x:v>
      </x:c>
      <x:c r="M45" s="11" t="str">
        <x:f>IF(L45="different","review","")</x:f>
      </x:c>
      <x:c r="N45" s="11" t="str"/>
    </x:row>
    <x:row r="46">
      <x:c r="A46" s="11" t="str">
        <x:v>REUTERS_ANN_01545</x:v>
      </x:c>
      <x:c r="B46" s="14" t="n">
        <x:v>39141</x:v>
      </x:c>
      <x:c r="C46" s="11" t="str">
        <x:v>charter communications posts wider quarterly loss</x:v>
      </x:c>
      <x:c r="D46" s="11" t="str">
        <x:v>Charter Communications daha geniş çeyreklik zarar açıkladı</x:v>
      </x:c>
      <x:c r="E46" s="11" t="n">
        <x:v>-1</x:v>
      </x:c>
      <x:c r="F46" s="11" t="str">
        <x:v>negative</x:v>
      </x:c>
      <x:c r="G46" s="16" t="n">
        <x:v>0.851709246635437</x:v>
      </x:c>
      <x:c r="H46" s="11" t="n">
        <x:v>-1</x:v>
      </x:c>
      <x:c r="I46" s="11" t="str">
        <x:v>negative</x:v>
      </x:c>
      <x:c r="J46" s="18" t="n">
        <x:v>0.96</x:v>
      </x:c>
      <x:c r="K46" s="11" t="str">
        <x:v>Zararın büyümesi açık olumsuz.</x:v>
      </x:c>
      <x:c r="L46" s="11" t="str">
        <x:f>IF(F46=I46,"same","different")</x:f>
        <x:v>same</x:v>
      </x:c>
      <x:c r="M46" s="11" t="str">
        <x:f>IF(L46="different","review","")</x:f>
      </x:c>
      <x:c r="N46" s="11" t="str"/>
    </x:row>
    <x:row r="47">
      <x:c r="A47" s="11" t="str">
        <x:v>REUTERS_ANN_01546</x:v>
      </x:c>
      <x:c r="B47" s="14" t="n">
        <x:v>39184</x:v>
      </x:c>
      <x:c r="C47" s="11" t="str">
        <x:v>welch says clear new york times wont sell globe</x:v>
      </x:c>
      <x:c r="D47" s="11" t="str">
        <x:v>Welch, New York Times'ın Globe'u satmayacağının açık olduğunu söyledi</x:v>
      </x:c>
      <x:c r="E47" s="11" t="n">
        <x:v>0</x:v>
      </x:c>
      <x:c r="F47" s="11" t="str">
        <x:v>neutral</x:v>
      </x:c>
      <x:c r="G47" s="16" t="n">
        <x:v>0.9351604580879213</x:v>
      </x:c>
      <x:c r="H47" s="11" t="n">
        <x:v>0</x:v>
      </x:c>
      <x:c r="I47" s="11" t="str">
        <x:v>neutral</x:v>
      </x:c>
      <x:c r="J47" s="18" t="n">
        <x:v>0.7</x:v>
      </x:c>
      <x:c r="K47" s="11" t="str">
        <x:v>Satış ihtimaline dair açıklama; doğrudan performans sinyali yok.</x:v>
      </x:c>
      <x:c r="L47" s="11" t="str">
        <x:f>IF(F47=I47,"same","different")</x:f>
        <x:v>same</x:v>
      </x:c>
      <x:c r="M47" s="11" t="str">
        <x:f>IF(L47="different","review","")</x:f>
      </x:c>
      <x:c r="N47" s="11" t="str"/>
    </x:row>
    <x:row r="48">
      <x:c r="A48" s="11" t="str">
        <x:v>REUTERS_ANN_01547</x:v>
      </x:c>
      <x:c r="B48" s="14" t="n">
        <x:v>39059</x:v>
      </x:c>
      <x:c r="C48" s="11" t="str">
        <x:v>yum shares fall after downgrade</x:v>
      </x:c>
      <x:c r="D48" s="11" t="str">
        <x:v>Yum hisseleri not indirimi sonrası düştü</x:v>
      </x:c>
      <x:c r="E48" s="11" t="n">
        <x:v>-1</x:v>
      </x:c>
      <x:c r="F48" s="11" t="str">
        <x:v>negative</x:v>
      </x:c>
      <x:c r="G48" s="16" t="n">
        <x:v>0.9727043509483336</x:v>
      </x:c>
      <x:c r="H48" s="11" t="n">
        <x:v>-1</x:v>
      </x:c>
      <x:c r="I48" s="11" t="str">
        <x:v>negative</x:v>
      </x:c>
      <x:c r="J48" s="18" t="n">
        <x:v>0.94</x:v>
      </x:c>
      <x:c r="K48" s="11" t="str">
        <x:v>Not indirimi ve hisse düşüşü olumsuz.</x:v>
      </x:c>
      <x:c r="L48" s="11" t="str">
        <x:f>IF(F48=I48,"same","different")</x:f>
        <x:v>same</x:v>
      </x:c>
      <x:c r="M48" s="11" t="str">
        <x:f>IF(L48="different","review","")</x:f>
      </x:c>
      <x:c r="N48" s="11" t="str"/>
    </x:row>
    <x:row r="49">
      <x:c r="A49" s="11" t="str">
        <x:v>REUTERS_ANN_01548</x:v>
      </x:c>
      <x:c r="B49" s="14" t="n">
        <x:v>39061</x:v>
      </x:c>
      <x:c r="C49" s="11" t="str">
        <x:v>gannett may sell uk unit newsquest paper</x:v>
      </x:c>
      <x:c r="D49" s="11" t="str">
        <x:v>Gannett'in İngiltere birimi Newsquest'i satabileceği bildirildi</x:v>
      </x:c>
      <x:c r="E49" s="11" t="n">
        <x:v>-1</x:v>
      </x:c>
      <x:c r="F49" s="11" t="str">
        <x:v>negative</x:v>
      </x:c>
      <x:c r="G49" s="16" t="n">
        <x:v>0.7654173970222473</x:v>
      </x:c>
      <x:c r="H49" s="11" t="n">
        <x:v>0</x:v>
      </x:c>
      <x:c r="I49" s="11" t="str">
        <x:v>neutral</x:v>
      </x:c>
      <x:c r="J49" s="18" t="n">
        <x:v>0.65</x:v>
      </x:c>
      <x:c r="K49" s="11" t="str">
        <x:v>Olası varlık satışı haberi; yön belirsiz.</x:v>
      </x:c>
      <x:c r="L49" s="11" t="str">
        <x:f>IF(F49=I49,"same","different")</x:f>
        <x:v>different</x:v>
      </x:c>
      <x:c r="M49" s="11" t="str">
        <x:f>IF(L49="different","review","")</x:f>
        <x:v>review</x:v>
      </x:c>
      <x:c r="N49" s="11" t="str"/>
    </x:row>
    <x:row r="50">
      <x:c r="A50" s="11" t="str">
        <x:v>REUTERS_ANN_01549</x:v>
      </x:c>
      <x:c r="B50" s="14" t="n">
        <x:v>39099</x:v>
      </x:c>
      <x:c r="C50" s="11" t="str">
        <x:v>ex-cendant chairman gets over 12 years in prison</x:v>
      </x:c>
      <x:c r="D50" s="11" t="str">
        <x:v>Eski Cendant başkanına 12 yıldan fazla hapis cezası verildi</x:v>
      </x:c>
      <x:c r="E50" s="11" t="n">
        <x:v>-1</x:v>
      </x:c>
      <x:c r="F50" s="11" t="str">
        <x:v>negative</x:v>
      </x:c>
      <x:c r="G50" s="16" t="n">
        <x:v>0.8842149376869202</x:v>
      </x:c>
      <x:c r="H50" s="11" t="n">
        <x:v>-1</x:v>
      </x:c>
      <x:c r="I50" s="11" t="str">
        <x:v>negative</x:v>
      </x:c>
      <x:c r="J50" s="18" t="n">
        <x:v>0.93</x:v>
      </x:c>
      <x:c r="K50" s="11" t="str">
        <x:v>Hukuki/itibar riski olumsuz.</x:v>
      </x:c>
      <x:c r="L50" s="11" t="str">
        <x:f>IF(F50=I50,"same","different")</x:f>
        <x:v>same</x:v>
      </x:c>
      <x:c r="M50" s="11" t="str">
        <x:f>IF(L50="different","review","")</x:f>
      </x:c>
      <x:c r="N50" s="11" t="str"/>
    </x:row>
    <x:row r="51">
      <x:c r="A51" s="11" t="str">
        <x:v>REUTERS_ANN_01550</x:v>
      </x:c>
      <x:c r="B51" s="14" t="n">
        <x:v>39091</x:v>
      </x:c>
      <x:c r="C51" s="11" t="str">
        <x:v>radios stern registers to sell $83 mln in stock</x:v>
      </x:c>
      <x:c r="D51" s="11" t="str">
        <x:v>Radyo sunucusu Stern, 83 milyon dolarlık hisse satışı için kayıt yaptırdı</x:v>
      </x:c>
      <x:c r="E51" s="11" t="n">
        <x:v>0</x:v>
      </x:c>
      <x:c r="F51" s="11" t="str">
        <x:v>neutral</x:v>
      </x:c>
      <x:c r="G51" s="16" t="n">
        <x:v>0.9263190031051636</x:v>
      </x:c>
      <x:c r="H51" s="11" t="n">
        <x:v>0</x:v>
      </x:c>
      <x:c r="I51" s="11" t="str">
        <x:v>neutral</x:v>
      </x:c>
      <x:c r="J51" s="18" t="n">
        <x:v>0.62</x:v>
      </x:c>
      <x:c r="K51" s="11" t="str">
        <x:v>Hisse satış kaydı bilgisi; otomatik olarak güçlü negatif sinyal değil.</x:v>
      </x:c>
      <x:c r="L51" s="11" t="str">
        <x:f>IF(F51=I51,"same","different")</x:f>
        <x:v>same</x:v>
      </x:c>
      <x:c r="M51" s="11" t="str">
        <x:f>IF(L51="different","review","")</x:f>
      </x:c>
      <x:c r="N51" s="11" t="str"/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723d7c062e4e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20" t="str">
        <x:v>REUTERS ANNOTATION BATCH</x:v>
      </x:c>
      <x:c r="B1" s="20" t="str">
        <x:v>031</x:v>
      </x:c>
    </x:row>
    <x:row r="2">
      <x:c r="A2" s="11" t="str">
        <x:v>Rows</x:v>
      </x:c>
      <x:c r="B2" s="11" t="str">
        <x:v>1500 - 1549</x:v>
      </x:c>
    </x:row>
    <x:row r="3">
      <x:c r="A3" s="11" t="str">
        <x:v>Total rows</x:v>
      </x:c>
      <x:c r="B3" s="11" t="n">
        <x:f>COUNTA(annotations!A2:A51)</x:f>
        <x:v>50</x:v>
      </x:c>
    </x:row>
    <x:row r="4">
      <x:c r="A4" s="11" t="str"/>
      <x:c r="B4" s="11" t="str"/>
    </x:row>
    <x:row r="5">
      <x:c r="A5" s="10" t="str">
        <x:v>ChatGPT label</x:v>
      </x:c>
      <x:c r="B5" s="10" t="str">
        <x:v>Count</x:v>
      </x:c>
    </x:row>
    <x:row r="6">
      <x:c r="A6" s="11" t="str">
        <x:v>positive</x:v>
      </x:c>
      <x:c r="B6" s="11" t="n">
        <x:f>COUNTIF(annotations!I2:I51,"positive")</x:f>
        <x:v>10</x:v>
      </x:c>
    </x:row>
    <x:row r="7">
      <x:c r="A7" s="11" t="str">
        <x:v>neutral</x:v>
      </x:c>
      <x:c r="B7" s="11" t="n">
        <x:f>COUNTIF(annotations!I2:I51,"neutral")</x:f>
        <x:v>19</x:v>
      </x:c>
    </x:row>
    <x:row r="8">
      <x:c r="A8" s="11" t="str">
        <x:v>negative</x:v>
      </x:c>
      <x:c r="B8" s="11" t="n">
        <x:f>COUNTIF(annotations!I2:I51,"negative")</x:f>
        <x:v>21</x:v>
      </x:c>
    </x:row>
    <x:row r="9">
      <x:c r="A9" s="11" t="str"/>
      <x:c r="B9" s="11" t="str"/>
    </x:row>
    <x:row r="10">
      <x:c r="A10" s="10" t="str">
        <x:v>FinBERT comparison</x:v>
      </x:c>
      <x:c r="B10" s="10" t="str">
        <x:v>Count</x:v>
      </x:c>
    </x:row>
    <x:row r="11">
      <x:c r="A11" s="11" t="str">
        <x:v>same</x:v>
      </x:c>
      <x:c r="B11" s="11" t="n">
        <x:f>COUNTIF(annotations!L2:L51,"same")</x:f>
        <x:v>37</x:v>
      </x:c>
    </x:row>
    <x:row r="12">
      <x:c r="A12" s="11" t="str">
        <x:v>different</x:v>
      </x:c>
      <x:c r="B12" s="11" t="n">
        <x:f>COUNTIF(annotations!L2:L51,"different")</x:f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chatgpt_label</x:v>
      </x:c>
      <x:c r="B2" s="11" t="str">
        <x:v>Assistant-assigned final sentiment label based on the financial/pmarket implication of the headline.</x:v>
      </x:c>
    </x:row>
    <x:row r="3">
      <x:c r="A3" s="11" t="str">
        <x:v>chatgpt_confidence</x:v>
      </x:c>
      <x:c r="B3" s="11" t="str">
        <x:v>0-1 confidence for the final label. Lower values mark ambiguous or mixed headlines.</x:v>
      </x:c>
    </x:row>
    <x:row r="4">
      <x:c r="A4" s="11" t="str">
        <x:v>chatgpt_reason_tr</x:v>
      </x:c>
      <x:c r="B4" s="11" t="str">
        <x:v>Short Turkish reason explaining the label decision.</x:v>
      </x:c>
    </x:row>
    <x:row r="5">
      <x:c r="A5" s="11" t="str">
        <x:v>finbert_comparison</x:v>
      </x:c>
      <x:c r="B5" s="11" t="str">
        <x:v>same if FinBERT label matches ChatGPT label, otherwise different.</x:v>
      </x:c>
    </x:row>
    <x:row r="6">
      <x:c r="A6" s="11" t="str">
        <x:v>review_flag</x:v>
      </x:c>
      <x:c r="B6" s="11" t="str">
        <x:v>review is marked when FinBERT and ChatGPT labels differ.</x:v>
      </x:c>
    </x:row>
    <x:row r="7">
      <x:c r="A7" s="11" t="str">
        <x:v>labeling rule</x:v>
      </x:c>
      <x:c r="B7" s="11" t="str">
        <x:v>Company earnings/profit/revenue growth or record market closes are generally positive; losses, legal/regulatory problems, recalls, layoffs, weak sales, or market declines are generally negative; corporate actions without clear value signal are neutral.</x:v>
      </x:c>
    </x:row>
  </x:sheetData>
  <x:pageMargins left="0.7" right="0.7" top="0.75" bottom="0.75" header="0.3" footer="0.3"/>
</x:worksheet>
</file>