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49be47730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c369dbf69000437e"/>
    <x:sheet xmlns:r="http://schemas.openxmlformats.org/officeDocument/2006/relationships" name="Summary" sheetId="2" r:id="R16ee99429eee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374151"/>
      </x:font>
      <x:fill>
        <x:patternFill patternType="solid">
          <x:bgColor rgb="F3F4F6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color rgb="075985"/>
      </x:font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a37c141734314" /><Relationship Type="http://schemas.openxmlformats.org/officeDocument/2006/relationships/theme" Target="/xl/theme/theme1.xml" Id="R70c79b56b5ce4553" /><Relationship Type="http://schemas.openxmlformats.org/officeDocument/2006/relationships/sharedStrings" Target="/xl/sharedStrings.xml" Id="Ra30aa7d7849b4a19" /><Relationship Type="http://schemas.openxmlformats.org/officeDocument/2006/relationships/worksheet" Target="/xl/worksheets/sheet1.xml" Id="Rc369dbf69000437e" /><Relationship Type="http://schemas.openxmlformats.org/officeDocument/2006/relationships/worksheet" Target="/xl/worksheets/sheet2.xml" Id="R16ee99429eee46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f26abc261647e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'Summary'!$D$3:$D$5</c:f>
              <c:strCache>
                <c:ptCount val="0"/>
              </c:strCache>
            </c:strRef>
          </c:cat>
          <c:val>
            <c:numRef>
              <c:f>'Summary'!$E$3:$E$5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f26abc261647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utersBatch006Table" displayName="ReutersBatch006Table" ref="A1:M51" headerRowCount="1">
  <x:tableColumns count="13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label"/>
    <x:tableColumn id="9" name="chatgpt_score"/>
    <x:tableColumn id="10" name="chatgpt_confidence"/>
    <x:tableColumn id="11" name="chatgpt_reason_tr"/>
    <x:tableColumn id="12" name="finbert_match"/>
    <x:tableColumn id="13" name="review_note_t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1f51788ce24e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1457e7d25c241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42" hidden="0" customWidth="1"/>
    <x:col min="7" max="7" width="46" hidden="0" customWidth="1"/>
    <x:col min="8" max="8" width="14" hidden="0" customWidth="1"/>
    <x:col min="9" max="9" width="12" hidden="0" customWidth="1"/>
    <x:col min="10" max="10" width="16" hidden="0" customWidth="1"/>
    <x:col min="11" max="11" width="55" hidden="0" customWidth="1"/>
    <x:col min="12" max="12" width="14" hidden="0" customWidth="1"/>
    <x:col min="13" max="13" width="48" hidden="0" customWidth="1"/>
  </x:cols>
  <x:sheetData>
    <x:row r="1" ht="28" customHeight="1">
      <x:c r="A1" s="20" t="str">
        <x:v>annotation_id</x:v>
      </x:c>
      <x:c r="B1" s="20" t="str">
        <x:v>date</x:v>
      </x:c>
      <x:c r="C1" s="20" t="str">
        <x:v>finbert_score</x:v>
      </x:c>
      <x:c r="D1" s="20" t="str">
        <x:v>finbert_label</x:v>
      </x:c>
      <x:c r="E1" s="20" t="str">
        <x:v>finbert_confidence</x:v>
      </x:c>
      <x:c r="F1" s="20" t="str">
        <x:v>text_en</x:v>
      </x:c>
      <x:c r="G1" s="20" t="str">
        <x:v>text_tr</x:v>
      </x:c>
      <x:c r="H1" s="20" t="str">
        <x:v>chatgpt_label</x:v>
      </x:c>
      <x:c r="I1" s="20" t="str">
        <x:v>chatgpt_score</x:v>
      </x:c>
      <x:c r="J1" s="20" t="str">
        <x:v>chatgpt_confidence</x:v>
      </x:c>
      <x:c r="K1" s="20" t="str">
        <x:v>chatgpt_reason_tr</x:v>
      </x:c>
      <x:c r="L1" s="20" t="str">
        <x:v>finbert_match</x:v>
      </x:c>
      <x:c r="M1" s="20" t="str">
        <x:v>review_note_tr</x:v>
      </x:c>
    </x:row>
    <x:row r="2" ht="54" customHeight="1">
      <x:c r="A2" s="21" t="str">
        <x:v>REUTERS_ANN_00251</x:v>
      </x:c>
      <x:c r="B2" s="22" t="n">
        <x:v>39063</x:v>
      </x:c>
      <x:c r="C2" s="21" t="n">
        <x:v>1</x:v>
      </x:c>
      <x:c r="D2" s="21" t="str">
        <x:v>positive</x:v>
      </x:c>
      <x:c r="E2" s="23" t="n">
        <x:v>0.9057769775390624</x:v>
      </x:c>
      <x:c r="F2" s="21" t="str">
        <x:v>goldman profit almost doubles, but investors wary</x:v>
      </x:c>
      <x:c r="G2" s="21" t="str">
        <x:v>Goldman'ın kârı neredeyse ikiye katlandı, ancak yatırımcılar temkinli</x:v>
      </x:c>
      <x:c r="H2" s="21" t="str">
        <x:v>positive</x:v>
      </x:c>
      <x:c r="I2" s="21" t="n">
        <x:f>IF(H2="negative",-1,IF(H2="neutral",0,IF(H2="positive",1,"")))</x:f>
        <x:v>1</x:v>
      </x:c>
      <x:c r="J2" s="24" t="n">
        <x:v>0.78</x:v>
      </x:c>
      <x:c r="K2" s="21" t="str">
        <x:v>Kârın neredeyse ikiye katlanması güçlü olumlu sinyal; yatırımcı temkini etkiyi biraz zayıflatıyor.</x:v>
      </x:c>
      <x:c r="L2" s="21" t="str">
        <x:f>IF(D2=H2,"same","different")</x:f>
        <x:v>same</x:v>
      </x:c>
      <x:c r="M2" s="21" t="str">
        <x:v>FinBERT etiketi ChatGPT etiketiyle aynı.</x:v>
      </x:c>
    </x:row>
    <x:row r="3" ht="54" customHeight="1">
      <x:c r="A3" s="21" t="str">
        <x:v>REUTERS_ANN_00252</x:v>
      </x:c>
      <x:c r="B3" s="22" t="n">
        <x:v>39121</x:v>
      </x:c>
      <x:c r="C3" s="21" t="n">
        <x:v>1</x:v>
      </x:c>
      <x:c r="D3" s="21" t="str">
        <x:v>positive</x:v>
      </x:c>
      <x:c r="E3" s="23" t="n">
        <x:v>0.9507898688316344</x:v>
      </x:c>
      <x:c r="F3" s="21" t="str">
        <x:v>morgan stanley upgrades china mobile to overweight</x:v>
      </x:c>
      <x:c r="G3" s="21" t="str">
        <x:v>Morgan Stanley, China Mobile için notunu “overweight” seviyesine yükseltti</x:v>
      </x:c>
      <x:c r="H3" s="21" t="str">
        <x:v>positive</x:v>
      </x:c>
      <x:c r="I3" s="21" t="n">
        <x:f>IF(H3="negative",-1,IF(H3="neutral",0,IF(H3="positive",1,"")))</x:f>
        <x:v>1</x:v>
      </x:c>
      <x:c r="J3" s="24" t="n">
        <x:v>0.92</x:v>
      </x:c>
      <x:c r="K3" s="21" t="str">
        <x:v>Analist not artışı ve overweight tavsiyesi hisse açısından olumlu beklenti gösteriyor.</x:v>
      </x:c>
      <x:c r="L3" s="21" t="str">
        <x:f>IF(D3=H3,"same","different")</x:f>
        <x:v>same</x:v>
      </x:c>
      <x:c r="M3" s="21" t="str">
        <x:v>FinBERT etiketi ChatGPT etiketiyle aynı.</x:v>
      </x:c>
    </x:row>
    <x:row r="4" ht="54" customHeight="1">
      <x:c r="A4" s="21" t="str">
        <x:v>REUTERS_ANN_00253</x:v>
      </x:c>
      <x:c r="B4" s="22" t="n">
        <x:v>39115</x:v>
      </x:c>
      <x:c r="C4" s="21" t="n">
        <x:v>-1</x:v>
      </x:c>
      <x:c r="D4" s="21" t="str">
        <x:v>negative</x:v>
      </x:c>
      <x:c r="E4" s="23" t="n">
        <x:v>0.6212666630744934</x:v>
      </x:c>
      <x:c r="F4" s="21" t="str">
        <x:v>ex-coke aide found guilty in trade secrets case</x:v>
      </x:c>
      <x:c r="G4" s="21" t="str">
        <x:v>Eski Coca-Cola çalışanı ticari sırlar davasında suçlu bulundu</x:v>
      </x:c>
      <x:c r="H4" s="21" t="str">
        <x:v>negative</x:v>
      </x:c>
      <x:c r="I4" s="21" t="n">
        <x:f>IF(H4="negative",-1,IF(H4="neutral",0,IF(H4="positive",1,"")))</x:f>
        <x:v>-1</x:v>
      </x:c>
      <x:c r="J4" s="24" t="n">
        <x:v>0.84</x:v>
      </x:c>
      <x:c r="K4" s="21" t="str">
        <x:v>Suçlu bulunma ve ticari sır davası şirket/itibar açısından olumsuz hukuki haber.</x:v>
      </x:c>
      <x:c r="L4" s="21" t="str">
        <x:f>IF(D4=H4,"same","different")</x:f>
        <x:v>same</x:v>
      </x:c>
      <x:c r="M4" s="21" t="str">
        <x:v>FinBERT etiketi ChatGPT etiketiyle aynı.</x:v>
      </x:c>
    </x:row>
    <x:row r="5" ht="54" customHeight="1">
      <x:c r="A5" s="21" t="str">
        <x:v>REUTERS_ANN_00254</x:v>
      </x:c>
      <x:c r="B5" s="22" t="n">
        <x:v>39037</x:v>
      </x:c>
      <x:c r="C5" s="21" t="n">
        <x:v>-1</x:v>
      </x:c>
      <x:c r="D5" s="21" t="str">
        <x:v>negative</x:v>
      </x:c>
      <x:c r="E5" s="23" t="n">
        <x:v>0.8284701108932495</x:v>
      </x:c>
      <x:c r="F5" s="21" t="str">
        <x:v>consumer prices fall, industrial output soft</x:v>
      </x:c>
      <x:c r="G5" s="21" t="str">
        <x:v>Tüketici fiyatları düştü, sanayi üretimi zayıf kaldı</x:v>
      </x:c>
      <x:c r="H5" s="21" t="str">
        <x:v>negative</x:v>
      </x:c>
      <x:c r="I5" s="21" t="n">
        <x:f>IF(H5="negative",-1,IF(H5="neutral",0,IF(H5="positive",1,"")))</x:f>
        <x:v>-1</x:v>
      </x:c>
      <x:c r="J5" s="24" t="n">
        <x:v>0.7</x:v>
      </x:c>
      <x:c r="K5" s="21" t="str">
        <x:v>Sanayi üretiminin zayıf olması büyüme görünümü açısından olumsuz; fiyat düşüşü tek başına olumlu sinyal değil.</x:v>
      </x:c>
      <x:c r="L5" s="21" t="str">
        <x:f>IF(D5=H5,"same","different")</x:f>
        <x:v>same</x:v>
      </x:c>
      <x:c r="M5" s="21" t="str">
        <x:v>FinBERT etiketi ChatGPT etiketiyle aynı.</x:v>
      </x:c>
    </x:row>
    <x:row r="6" ht="54" customHeight="1">
      <x:c r="A6" s="21" t="str">
        <x:v>REUTERS_ANN_00255</x:v>
      </x:c>
      <x:c r="B6" s="22" t="n">
        <x:v>39128</x:v>
      </x:c>
      <x:c r="C6" s="21" t="n">
        <x:v>0</x:v>
      </x:c>
      <x:c r="D6" s="21" t="str">
        <x:v>neutral</x:v>
      </x:c>
      <x:c r="E6" s="23" t="n">
        <x:v>0.8940185904502869</x:v>
      </x:c>
      <x:c r="F6" s="21" t="str">
        <x:v>nyse euronext bids for outstanding euronext shares</x:v>
      </x:c>
      <x:c r="G6" s="21" t="str">
        <x:v>NYSE Euronext, kalan Euronext hisseleri için teklif verdi</x:v>
      </x:c>
      <x:c r="H6" s="21" t="str">
        <x:v>neutral</x:v>
      </x:c>
      <x:c r="I6" s="21" t="n">
        <x:f>IF(H6="negative",-1,IF(H6="neutral",0,IF(H6="positive",1,"")))</x:f>
        <x:v>0</x:v>
      </x:c>
      <x:c r="J6" s="24" t="n">
        <x:v>0.74</x:v>
      </x:c>
      <x:c r="K6" s="21" t="str">
        <x:v>Bu bir birleşme/devralma süreci duyurusu; değerleme veya piyasa etkisi net verilmemiş.</x:v>
      </x:c>
      <x:c r="L6" s="21" t="str">
        <x:f>IF(D6=H6,"same","different")</x:f>
        <x:v>same</x:v>
      </x:c>
      <x:c r="M6" s="21" t="str">
        <x:v>FinBERT etiketi ChatGPT etiketiyle aynı.</x:v>
      </x:c>
    </x:row>
    <x:row r="7" ht="54" customHeight="1">
      <x:c r="A7" s="21" t="str">
        <x:v>REUTERS_ANN_00256</x:v>
      </x:c>
      <x:c r="B7" s="22" t="n">
        <x:v>39063</x:v>
      </x:c>
      <x:c r="C7" s="21" t="n">
        <x:v>-1</x:v>
      </x:c>
      <x:c r="D7" s="21" t="str">
        <x:v>negative</x:v>
      </x:c>
      <x:c r="E7" s="23" t="n">
        <x:v>0.957706868648529</x:v>
      </x:c>
      <x:c r="F7" s="21" t="str">
        <x:v>slight softening in 1st-qtr job outlook manpower</x:v>
      </x:c>
      <x:c r="G7" s="21" t="str">
        <x:v>Manpower’a göre ilk çeyrek istihdam görünümünde hafif yumuşama var</x:v>
      </x:c>
      <x:c r="H7" s="21" t="str">
        <x:v>negative</x:v>
      </x:c>
      <x:c r="I7" s="21" t="n">
        <x:f>IF(H7="negative",-1,IF(H7="neutral",0,IF(H7="positive",1,"")))</x:f>
        <x:v>-1</x:v>
      </x:c>
      <x:c r="J7" s="24" t="n">
        <x:v>0.8</x:v>
      </x:c>
      <x:c r="K7" s="21" t="str">
        <x:v>İstihdam görünümündeki yumuşama ekonomik beklentiler için olumsuz sinyal.</x:v>
      </x:c>
      <x:c r="L7" s="21" t="str">
        <x:f>IF(D7=H7,"same","different")</x:f>
        <x:v>same</x:v>
      </x:c>
      <x:c r="M7" s="21" t="str">
        <x:v>FinBERT etiketi ChatGPT etiketiyle aynı.</x:v>
      </x:c>
    </x:row>
    <x:row r="8" ht="54" customHeight="1">
      <x:c r="A8" s="21" t="str">
        <x:v>REUTERS_ANN_00257</x:v>
      </x:c>
      <x:c r="B8" s="22" t="n">
        <x:v>39148</x:v>
      </x:c>
      <x:c r="C8" s="21" t="n">
        <x:v>1</x:v>
      </x:c>
      <x:c r="D8" s="21" t="str">
        <x:v>positive</x:v>
      </x:c>
      <x:c r="E8" s="23" t="n">
        <x:v>0.5039392709732056</x:v>
      </x:c>
      <x:c r="F8" s="21" t="str">
        <x:v>boeing, st engineering in $136 million conversion deal</x:v>
      </x:c>
      <x:c r="G8" s="21" t="str">
        <x:v>Boeing ve ST Engineering arasında 136 milyon dolarlık dönüşüm anlaşması yapıldı</x:v>
      </x:c>
      <x:c r="H8" s="21" t="str">
        <x:v>positive</x:v>
      </x:c>
      <x:c r="I8" s="21" t="n">
        <x:f>IF(H8="negative",-1,IF(H8="neutral",0,IF(H8="positive",1,"")))</x:f>
        <x:v>1</x:v>
      </x:c>
      <x:c r="J8" s="24" t="n">
        <x:v>0.72</x:v>
      </x:c>
      <x:c r="K8" s="21" t="str">
        <x:v>Yeni anlaşma ve gelir potansiyeli şirketler açısından olumlu iş akışı gösteriyor.</x:v>
      </x:c>
      <x:c r="L8" s="21" t="str">
        <x:f>IF(D8=H8,"same","different")</x:f>
        <x:v>same</x:v>
      </x:c>
      <x:c r="M8" s="21" t="str">
        <x:v>FinBERT etiketi ChatGPT etiketiyle aynı.</x:v>
      </x:c>
    </x:row>
    <x:row r="9" ht="54" customHeight="1">
      <x:c r="A9" s="21" t="str">
        <x:v>REUTERS_ANN_00258</x:v>
      </x:c>
      <x:c r="B9" s="22" t="n">
        <x:v>39048</x:v>
      </x:c>
      <x:c r="C9" s="21" t="n">
        <x:v>0</x:v>
      </x:c>
      <x:c r="D9" s="21" t="str">
        <x:v>neutral</x:v>
      </x:c>
      <x:c r="E9" s="23" t="n">
        <x:v>0.887564480304718</x:v>
      </x:c>
      <x:c r="F9" s="21" t="str">
        <x:v>execs face tough digital transition, diller says</x:v>
      </x:c>
      <x:c r="G9" s="21" t="str">
        <x:v>Diller’a göre yöneticiler zorlu dijital dönüşümle karşı karşıya</x:v>
      </x:c>
      <x:c r="H9" s="21" t="str">
        <x:v>negative</x:v>
      </x:c>
      <x:c r="I9" s="21" t="n">
        <x:f>IF(H9="negative",-1,IF(H9="neutral",0,IF(H9="positive",1,"")))</x:f>
        <x:v>-1</x:v>
      </x:c>
      <x:c r="J9" s="24" t="n">
        <x:v>0.65</x:v>
      </x:c>
      <x:c r="K9" s="21" t="str">
        <x:v>“Zorlu geçiş” ifadesi sektör/şirketler için baskı ve uyum riski ima ediyor.</x:v>
      </x:c>
      <x:c r="L9" s="21" t="str">
        <x:f>IF(D9=H9,"same","different")</x:f>
        <x:v>different</x:v>
      </x:c>
      <x:c r="M9" s="21" t="str">
        <x:v>Review: FinBERT=neutral, ChatGPT=negative. “Zorlu geçiş” ifadesi sektör/şirketler için baskı ve uyum riski ima ediyor.</x:v>
      </x:c>
    </x:row>
    <x:row r="10" ht="54" customHeight="1">
      <x:c r="A10" s="21" t="str">
        <x:v>REUTERS_ANN_00259</x:v>
      </x:c>
      <x:c r="B10" s="22" t="n">
        <x:v>39030</x:v>
      </x:c>
      <x:c r="C10" s="21" t="n">
        <x:v>-1</x:v>
      </x:c>
      <x:c r="D10" s="21" t="str">
        <x:v>negative</x:v>
      </x:c>
      <x:c r="E10" s="23" t="n">
        <x:v>0.9741379618644714</x:v>
      </x:c>
      <x:c r="F10" s="21" t="str">
        <x:v>stocks drop on drug worry, oil up aig up late</x:v>
      </x:c>
      <x:c r="G10" s="21" t="str">
        <x:v>Hisseler ilaç endişesiyle düştü; petrol yükseldi, AIG geç saatlerde yükseldi</x:v>
      </x:c>
      <x:c r="H10" s="21" t="str">
        <x:v>negative</x:v>
      </x:c>
      <x:c r="I10" s="21" t="n">
        <x:f>IF(H10="negative",-1,IF(H10="neutral",0,IF(H10="positive",1,"")))</x:f>
        <x:v>-1</x:v>
      </x:c>
      <x:c r="J10" s="24" t="n">
        <x:v>0.88</x:v>
      </x:c>
      <x:c r="K10" s="21" t="str">
        <x:v>Ana sinyal hisse düşüşü ve endişe; AIG’deki geç yükseliş genel olumsuzluğu dengelemiyor.</x:v>
      </x:c>
      <x:c r="L10" s="21" t="str">
        <x:f>IF(D10=H10,"same","different")</x:f>
        <x:v>same</x:v>
      </x:c>
      <x:c r="M10" s="21" t="str">
        <x:v>FinBERT etiketi ChatGPT etiketiyle aynı.</x:v>
      </x:c>
    </x:row>
    <x:row r="11" ht="54" customHeight="1">
      <x:c r="A11" s="21" t="str">
        <x:v>REUTERS_ANN_00260</x:v>
      </x:c>
      <x:c r="B11" s="22" t="n">
        <x:v>39208</x:v>
      </x:c>
      <x:c r="C11" s="21" t="n">
        <x:v>-1</x:v>
      </x:c>
      <x:c r="D11" s="21" t="str">
        <x:v>negative</x:v>
      </x:c>
      <x:c r="E11" s="23" t="n">
        <x:v>0.9095231890678406</x:v>
      </x:c>
      <x:c r="F11" s="21" t="str">
        <x:v>australias asic rejects qantas bidder application</x:v>
      </x:c>
      <x:c r="G11" s="21" t="str">
        <x:v>Avustralya düzenleyicisi ASIC, Qantas teklif sahibinin başvurusunu reddetti</x:v>
      </x:c>
      <x:c r="H11" s="21" t="str">
        <x:v>negative</x:v>
      </x:c>
      <x:c r="I11" s="21" t="n">
        <x:f>IF(H11="negative",-1,IF(H11="neutral",0,IF(H11="positive",1,"")))</x:f>
        <x:v>-1</x:v>
      </x:c>
      <x:c r="J11" s="24" t="n">
        <x:v>0.78</x:v>
      </x:c>
      <x:c r="K11" s="21" t="str">
        <x:v>Düzenleyici ret, devralma sürecinde engel ve belirsizlik yaratıyor.</x:v>
      </x:c>
      <x:c r="L11" s="21" t="str">
        <x:f>IF(D11=H11,"same","different")</x:f>
        <x:v>same</x:v>
      </x:c>
      <x:c r="M11" s="21" t="str">
        <x:v>FinBERT etiketi ChatGPT etiketiyle aynı.</x:v>
      </x:c>
    </x:row>
    <x:row r="12" ht="54" customHeight="1">
      <x:c r="A12" s="21" t="str">
        <x:v>REUTERS_ANN_00261</x:v>
      </x:c>
      <x:c r="B12" s="22" t="n">
        <x:v>39202</x:v>
      </x:c>
      <x:c r="C12" s="21" t="n">
        <x:v>-1</x:v>
      </x:c>
      <x:c r="D12" s="21" t="str">
        <x:v>negative</x:v>
      </x:c>
      <x:c r="E12" s="23" t="n">
        <x:v>0.9553518295288086</x:v>
      </x:c>
      <x:c r="F12" s="21" t="str">
        <x:v>indexes slip as investors sell off aprils stars</x:v>
      </x:c>
      <x:c r="G12" s="21" t="str">
        <x:v>Endeksler, yatırımcıların nisan ayının yıldızlarını satmasıyla geriledi</x:v>
      </x:c>
      <x:c r="H12" s="21" t="str">
        <x:v>negative</x:v>
      </x:c>
      <x:c r="I12" s="21" t="n">
        <x:f>IF(H12="negative",-1,IF(H12="neutral",0,IF(H12="positive",1,"")))</x:f>
        <x:v>-1</x:v>
      </x:c>
      <x:c r="J12" s="24" t="n">
        <x:v>0.86</x:v>
      </x:c>
      <x:c r="K12" s="21" t="str">
        <x:v>Endekslerde gerileme ve satış baskısı açık piyasa olumsuzluğu taşıyor.</x:v>
      </x:c>
      <x:c r="L12" s="21" t="str">
        <x:f>IF(D12=H12,"same","different")</x:f>
        <x:v>same</x:v>
      </x:c>
      <x:c r="M12" s="21" t="str">
        <x:v>FinBERT etiketi ChatGPT etiketiyle aynı.</x:v>
      </x:c>
    </x:row>
    <x:row r="13" ht="54" customHeight="1">
      <x:c r="A13" s="21" t="str">
        <x:v>REUTERS_ANN_00262</x:v>
      </x:c>
      <x:c r="B13" s="22" t="n">
        <x:v>39063</x:v>
      </x:c>
      <x:c r="C13" s="21" t="n">
        <x:v>0</x:v>
      </x:c>
      <x:c r="D13" s="21" t="str">
        <x:v>neutral</x:v>
      </x:c>
      <x:c r="E13" s="23" t="n">
        <x:v>0.7334262728691101</x:v>
      </x:c>
      <x:c r="F13" s="21" t="str">
        <x:v>qantas board rejects $8.6 billion takeover bid</x:v>
      </x:c>
      <x:c r="G13" s="21" t="str">
        <x:v>Qantas yönetim kurulu 8,6 milyar dolarlık devralma teklifini reddetti</x:v>
      </x:c>
      <x:c r="H13" s="21" t="str">
        <x:v>negative</x:v>
      </x:c>
      <x:c r="I13" s="21" t="n">
        <x:f>IF(H13="negative",-1,IF(H13="neutral",0,IF(H13="positive",1,"")))</x:f>
        <x:v>-1</x:v>
      </x:c>
      <x:c r="J13" s="24" t="n">
        <x:v>0.65</x:v>
      </x:c>
      <x:c r="K13" s="21" t="str">
        <x:v>Devralma teklifinin reddi işlem belirsizliği ve anlaşma riski yaratıyor.</x:v>
      </x:c>
      <x:c r="L13" s="21" t="str">
        <x:f>IF(D13=H13,"same","different")</x:f>
        <x:v>different</x:v>
      </x:c>
      <x:c r="M13" s="21" t="str">
        <x:v>Review: FinBERT=neutral, ChatGPT=negative. Devralma teklifinin reddi işlem belirsizliği ve anlaşma riski yaratıyor.</x:v>
      </x:c>
    </x:row>
    <x:row r="14" ht="54" customHeight="1">
      <x:c r="A14" s="21" t="str">
        <x:v>REUTERS_ANN_00263</x:v>
      </x:c>
      <x:c r="B14" s="22" t="n">
        <x:v>39115</x:v>
      </x:c>
      <x:c r="C14" s="21" t="n">
        <x:v>0</x:v>
      </x:c>
      <x:c r="D14" s="21" t="str">
        <x:v>neutral</x:v>
      </x:c>
      <x:c r="E14" s="23" t="n">
        <x:v>0.8685401082038879</x:v>
      </x:c>
      <x:c r="F14" s="21" t="str">
        <x:v>fed debates setting soft inflation target wsj</x:v>
      </x:c>
      <x:c r="G14" s="21" t="str">
        <x:v>Fed, yumuşak bir enflasyon hedefi belirlemeyi tartışıyor</x:v>
      </x:c>
      <x:c r="H14" s="21" t="str">
        <x:v>neutral</x:v>
      </x:c>
      <x:c r="I14" s="21" t="n">
        <x:f>IF(H14="negative",-1,IF(H14="neutral",0,IF(H14="positive",1,"")))</x:f>
        <x:v>0</x:v>
      </x:c>
      <x:c r="J14" s="24" t="n">
        <x:v>0.68</x:v>
      </x:c>
      <x:c r="K14" s="21" t="str">
        <x:v>Politika tartışması niteliğinde; doğrudan olumlu/olumsuz sonuç belirtilmiyor.</x:v>
      </x:c>
      <x:c r="L14" s="21" t="str">
        <x:f>IF(D14=H14,"same","different")</x:f>
        <x:v>same</x:v>
      </x:c>
      <x:c r="M14" s="21" t="str">
        <x:v>FinBERT etiketi ChatGPT etiketiyle aynı.</x:v>
      </x:c>
    </x:row>
    <x:row r="15" ht="54" customHeight="1">
      <x:c r="A15" s="21" t="str">
        <x:v>REUTERS_ANN_00264</x:v>
      </x:c>
      <x:c r="B15" s="22" t="n">
        <x:v>39071</x:v>
      </x:c>
      <x:c r="C15" s="21" t="n">
        <x:v>1</x:v>
      </x:c>
      <x:c r="D15" s="21" t="str">
        <x:v>positive</x:v>
      </x:c>
      <x:c r="E15" s="23" t="n">
        <x:v>0.8819646239280701</x:v>
      </x:c>
      <x:c r="F15" s="21" t="str">
        <x:v>stocks rally on thai turnaround, euro strong</x:v>
      </x:c>
      <x:c r="G15" s="21" t="str">
        <x:v>Hisseler Tayland’daki dönüş ve güçlü euroyla ralli yaptı</x:v>
      </x:c>
      <x:c r="H15" s="21" t="str">
        <x:v>positive</x:v>
      </x:c>
      <x:c r="I15" s="21" t="n">
        <x:f>IF(H15="negative",-1,IF(H15="neutral",0,IF(H15="positive",1,"")))</x:f>
        <x:v>1</x:v>
      </x:c>
      <x:c r="J15" s="24" t="n">
        <x:v>0.88</x:v>
      </x:c>
      <x:c r="K15" s="21" t="str">
        <x:v>Ralli ve güçlü piyasa hareketi açık olumlu piyasa sinyali.</x:v>
      </x:c>
      <x:c r="L15" s="21" t="str">
        <x:f>IF(D15=H15,"same","different")</x:f>
        <x:v>same</x:v>
      </x:c>
      <x:c r="M15" s="21" t="str">
        <x:v>FinBERT etiketi ChatGPT etiketiyle aynı.</x:v>
      </x:c>
    </x:row>
    <x:row r="16" ht="54" customHeight="1">
      <x:c r="A16" s="21" t="str">
        <x:v>REUTERS_ANN_00265</x:v>
      </x:c>
      <x:c r="B16" s="22" t="n">
        <x:v>39148</x:v>
      </x:c>
      <x:c r="C16" s="21" t="n">
        <x:v>-1</x:v>
      </x:c>
      <x:c r="D16" s="21" t="str">
        <x:v>negative</x:v>
      </x:c>
      <x:c r="E16" s="23" t="n">
        <x:v>0.9705743193626404</x:v>
      </x:c>
      <x:c r="F16" s="21" t="str">
        <x:v>private sector adds 57,000 jobs in feb survey</x:v>
      </x:c>
      <x:c r="G16" s="21" t="str">
        <x:v>Ankete göre özel sektör şubatta 57 bin istihdam ekledi</x:v>
      </x:c>
      <x:c r="H16" s="21" t="str">
        <x:v>positive</x:v>
      </x:c>
      <x:c r="I16" s="21" t="n">
        <x:f>IF(H16="negative",-1,IF(H16="neutral",0,IF(H16="positive",1,"")))</x:f>
        <x:v>1</x:v>
      </x:c>
      <x:c r="J16" s="24" t="n">
        <x:v>0.6</x:v>
      </x:c>
      <x:c r="K16" s="21" t="str">
        <x:v>İstihdam artışı genel olarak olumlu; beklenti bilgisi olmadığı için güven orta düzeyde.</x:v>
      </x:c>
      <x:c r="L16" s="21" t="str">
        <x:f>IF(D16=H16,"same","different")</x:f>
        <x:v>different</x:v>
      </x:c>
      <x:c r="M16" s="21" t="str">
        <x:v>Review: FinBERT=negative, ChatGPT=positive. İstihdam artışı genel olarak olumlu; beklenti bilgisi olmadığı için güven orta düzeyde.</x:v>
      </x:c>
    </x:row>
    <x:row r="17" ht="54" customHeight="1">
      <x:c r="A17" s="21" t="str">
        <x:v>REUTERS_ANN_00266</x:v>
      </x:c>
      <x:c r="B17" s="22" t="n">
        <x:v>39038</x:v>
      </x:c>
      <x:c r="C17" s="21" t="n">
        <x:v>-1</x:v>
      </x:c>
      <x:c r="D17" s="21" t="str">
        <x:v>negative</x:v>
      </x:c>
      <x:c r="E17" s="23" t="n">
        <x:v>0.9747672080993652</x:v>
      </x:c>
      <x:c r="F17" s="21" t="str">
        <x:v>gap quarterly profit down, cuts full-year view</x:v>
      </x:c>
      <x:c r="G17" s="21" t="str">
        <x:v>Gap’in çeyrek kârı düştü, şirket yıl sonu beklentisini düşürdü</x:v>
      </x:c>
      <x:c r="H17" s="21" t="str">
        <x:v>negative</x:v>
      </x:c>
      <x:c r="I17" s="21" t="n">
        <x:f>IF(H17="negative",-1,IF(H17="neutral",0,IF(H17="positive",1,"")))</x:f>
        <x:v>-1</x:v>
      </x:c>
      <x:c r="J17" s="24" t="n">
        <x:v>0.94</x:v>
      </x:c>
      <x:c r="K17" s="21" t="str">
        <x:v>Kâr düşüşü ve beklenti indirimi şirket açısından güçlü olumsuz sinyal.</x:v>
      </x:c>
      <x:c r="L17" s="21" t="str">
        <x:f>IF(D17=H17,"same","different")</x:f>
        <x:v>same</x:v>
      </x:c>
      <x:c r="M17" s="21" t="str">
        <x:v>FinBERT etiketi ChatGPT etiketiyle aynı.</x:v>
      </x:c>
    </x:row>
    <x:row r="18" ht="54" customHeight="1">
      <x:c r="A18" s="21" t="str">
        <x:v>REUTERS_ANN_00267</x:v>
      </x:c>
      <x:c r="B18" s="22" t="n">
        <x:v>39028</x:v>
      </x:c>
      <x:c r="C18" s="21" t="n">
        <x:v>0</x:v>
      </x:c>
      <x:c r="D18" s="21" t="str">
        <x:v>neutral</x:v>
      </x:c>
      <x:c r="E18" s="23" t="n">
        <x:v>0.7440922856330872</x:v>
      </x:c>
      <x:c r="F18" s="21" t="str">
        <x:v>microsoft to pay novell $348 million under linux pact</x:v>
      </x:c>
      <x:c r="G18" s="21" t="str">
        <x:v>Microsoft, Linux anlaşması kapsamında Novell’e 348 milyon dolar ödeyecek</x:v>
      </x:c>
      <x:c r="H18" s="21" t="str">
        <x:v>neutral</x:v>
      </x:c>
      <x:c r="I18" s="21" t="n">
        <x:f>IF(H18="negative",-1,IF(H18="neutral",0,IF(H18="positive",1,"")))</x:f>
        <x:v>0</x:v>
      </x:c>
      <x:c r="J18" s="24" t="n">
        <x:v>0.7</x:v>
      </x:c>
      <x:c r="K18" s="21" t="str">
        <x:v>Anlaşma ve ödeme bilgisi var; kârlılık/piyasa etkisi net değil.</x:v>
      </x:c>
      <x:c r="L18" s="21" t="str">
        <x:f>IF(D18=H18,"same","different")</x:f>
        <x:v>same</x:v>
      </x:c>
      <x:c r="M18" s="21" t="str">
        <x:v>FinBERT etiketi ChatGPT etiketiyle aynı.</x:v>
      </x:c>
    </x:row>
    <x:row r="19" ht="54" customHeight="1">
      <x:c r="A19" s="21" t="str">
        <x:v>REUTERS_ANN_00268</x:v>
      </x:c>
      <x:c r="B19" s="22" t="n">
        <x:v>39079</x:v>
      </x:c>
      <x:c r="C19" s="21" t="n">
        <x:v>0</x:v>
      </x:c>
      <x:c r="D19" s="21" t="str">
        <x:v>neutral</x:v>
      </x:c>
      <x:c r="E19" s="23" t="n">
        <x:v>0.7761369347572327</x:v>
      </x:c>
      <x:c r="F19" s="21" t="str">
        <x:v>goldman raises $6.5 bln for infrastructure fund</x:v>
      </x:c>
      <x:c r="G19" s="21" t="str">
        <x:v>Goldman, altyapı fonu için 6,5 milyar dolar topladı</x:v>
      </x:c>
      <x:c r="H19" s="21" t="str">
        <x:v>positive</x:v>
      </x:c>
      <x:c r="I19" s="21" t="n">
        <x:f>IF(H19="negative",-1,IF(H19="neutral",0,IF(H19="positive",1,"")))</x:f>
        <x:v>1</x:v>
      </x:c>
      <x:c r="J19" s="24" t="n">
        <x:v>0.72</x:v>
      </x:c>
      <x:c r="K19" s="21" t="str">
        <x:v>Büyük ölçekli fon toplama yatırım kapasitesi ve talep açısından olumlu.</x:v>
      </x:c>
      <x:c r="L19" s="21" t="str">
        <x:f>IF(D19=H19,"same","different")</x:f>
        <x:v>different</x:v>
      </x:c>
      <x:c r="M19" s="21" t="str">
        <x:v>Review: FinBERT=neutral, ChatGPT=positive. Büyük ölçekli fon toplama yatırım kapasitesi ve talep açısından olumlu.</x:v>
      </x:c>
    </x:row>
    <x:row r="20" ht="54" customHeight="1">
      <x:c r="A20" s="21" t="str">
        <x:v>REUTERS_ANN_00269</x:v>
      </x:c>
      <x:c r="B20" s="22" t="n">
        <x:v>39037</x:v>
      </x:c>
      <x:c r="C20" s="21" t="n">
        <x:v>0</x:v>
      </x:c>
      <x:c r="D20" s="21" t="str">
        <x:v>neutral</x:v>
      </x:c>
      <x:c r="E20" s="23" t="n">
        <x:v>0.8829692006111145</x:v>
      </x:c>
      <x:c r="F20" s="21" t="str">
        <x:v>milton friedman championed free-enterprise economics</x:v>
      </x:c>
      <x:c r="G20" s="21" t="str">
        <x:v>Milton Friedman serbest girişim ekonomisini savundu</x:v>
      </x:c>
      <x:c r="H20" s="21" t="str">
        <x:v>neutral</x:v>
      </x:c>
      <x:c r="I20" s="21" t="n">
        <x:f>IF(H20="negative",-1,IF(H20="neutral",0,IF(H20="positive",1,"")))</x:f>
        <x:v>0</x:v>
      </x:c>
      <x:c r="J20" s="24" t="n">
        <x:v>0.85</x:v>
      </x:c>
      <x:c r="K20" s="21" t="str">
        <x:v>Biyografik/yorum niteliğinde; doğrudan piyasa veya şirket sentimenti yok.</x:v>
      </x:c>
      <x:c r="L20" s="21" t="str">
        <x:f>IF(D20=H20,"same","different")</x:f>
        <x:v>same</x:v>
      </x:c>
      <x:c r="M20" s="21" t="str">
        <x:v>FinBERT etiketi ChatGPT etiketiyle aynı.</x:v>
      </x:c>
    </x:row>
    <x:row r="21" ht="54" customHeight="1">
      <x:c r="A21" s="21" t="str">
        <x:v>REUTERS_ANN_00270</x:v>
      </x:c>
      <x:c r="B21" s="22" t="n">
        <x:v>39051</x:v>
      </x:c>
      <x:c r="C21" s="21" t="n">
        <x:v>-1</x:v>
      </x:c>
      <x:c r="D21" s="21" t="str">
        <x:v>negative</x:v>
      </x:c>
      <x:c r="E21" s="23" t="n">
        <x:v>0.9650546312332152</x:v>
      </x:c>
      <x:c r="F21" s="21" t="str">
        <x:v>kerkorian to cut gm stake to 4.95 pct</x:v>
      </x:c>
      <x:c r="G21" s="21" t="str">
        <x:v>Kerkorian, GM’deki payını yüzde 4,95’e indirecek</x:v>
      </x:c>
      <x:c r="H21" s="21" t="str">
        <x:v>negative</x:v>
      </x:c>
      <x:c r="I21" s="21" t="n">
        <x:f>IF(H21="negative",-1,IF(H21="neutral",0,IF(H21="positive",1,"")))</x:f>
        <x:v>-1</x:v>
      </x:c>
      <x:c r="J21" s="24" t="n">
        <x:v>0.78</x:v>
      </x:c>
      <x:c r="K21" s="21" t="str">
        <x:v>Büyük yatırımcının pay azaltması GM için güven ve talep açısından olumsuz algılanabilir.</x:v>
      </x:c>
      <x:c r="L21" s="21" t="str">
        <x:f>IF(D21=H21,"same","different")</x:f>
        <x:v>same</x:v>
      </x:c>
      <x:c r="M21" s="21" t="str">
        <x:v>FinBERT etiketi ChatGPT etiketiyle aynı.</x:v>
      </x:c>
    </x:row>
    <x:row r="22" ht="54" customHeight="1">
      <x:c r="A22" s="21" t="str">
        <x:v>REUTERS_ANN_00271</x:v>
      </x:c>
      <x:c r="B22" s="22" t="n">
        <x:v>39072</x:v>
      </x:c>
      <x:c r="C22" s="21" t="n">
        <x:v>-1</x:v>
      </x:c>
      <x:c r="D22" s="21" t="str">
        <x:v>negative</x:v>
      </x:c>
      <x:c r="E22" s="23" t="n">
        <x:v>0.8454412817955017</x:v>
      </x:c>
      <x:c r="F22" s="21" t="str">
        <x:v>ford to slip to no. 3 spot in 2007 report</x:v>
      </x:c>
      <x:c r="G22" s="21" t="str">
        <x:v>Rapora göre Ford 2007’de üçüncü sıraya gerileyecek</x:v>
      </x:c>
      <x:c r="H22" s="21" t="str">
        <x:v>negative</x:v>
      </x:c>
      <x:c r="I22" s="21" t="n">
        <x:f>IF(H22="negative",-1,IF(H22="neutral",0,IF(H22="positive",1,"")))</x:f>
        <x:v>-1</x:v>
      </x:c>
      <x:c r="J22" s="24" t="n">
        <x:v>0.82</x:v>
      </x:c>
      <x:c r="K22" s="21" t="str">
        <x:v>Pazar sıralamasında gerileme şirket rekabet gücü açısından olumsuz.</x:v>
      </x:c>
      <x:c r="L22" s="21" t="str">
        <x:f>IF(D22=H22,"same","different")</x:f>
        <x:v>same</x:v>
      </x:c>
      <x:c r="M22" s="21" t="str">
        <x:v>FinBERT etiketi ChatGPT etiketiyle aynı.</x:v>
      </x:c>
    </x:row>
    <x:row r="23" ht="54" customHeight="1">
      <x:c r="A23" s="21" t="str">
        <x:v>REUTERS_ANN_00272</x:v>
      </x:c>
      <x:c r="B23" s="22" t="n">
        <x:v>39201</x:v>
      </x:c>
      <x:c r="C23" s="21" t="n">
        <x:v>-1</x:v>
      </x:c>
      <x:c r="D23" s="21" t="str">
        <x:v>negative</x:v>
      </x:c>
      <x:c r="E23" s="23" t="n">
        <x:v>0.565525233745575</x:v>
      </x:c>
      <x:c r="F23" s="21" t="str">
        <x:v>factbox key facts about t.italia and telefonica</x:v>
      </x:c>
      <x:c r="G23" s="21" t="str">
        <x:v>Factbox: Telecom Italia ve Telefonica hakkında temel bilgiler</x:v>
      </x:c>
      <x:c r="H23" s="21" t="str">
        <x:v>neutral</x:v>
      </x:c>
      <x:c r="I23" s="21" t="n">
        <x:f>IF(H23="negative",-1,IF(H23="neutral",0,IF(H23="positive",1,"")))</x:f>
        <x:v>0</x:v>
      </x:c>
      <x:c r="J23" s="24" t="n">
        <x:v>0.9</x:v>
      </x:c>
      <x:c r="K23" s="21" t="str">
        <x:v>Factbox/bilgi notu; başlıkta belirgin olumlu veya olumsuz olay yok.</x:v>
      </x:c>
      <x:c r="L23" s="21" t="str">
        <x:f>IF(D23=H23,"same","different")</x:f>
        <x:v>different</x:v>
      </x:c>
      <x:c r="M23" s="21" t="str">
        <x:v>Review: FinBERT=negative, ChatGPT=neutral. Factbox/bilgi notu; başlıkta belirgin olumlu veya olumsuz olay yok.</x:v>
      </x:c>
    </x:row>
    <x:row r="24" ht="54" customHeight="1">
      <x:c r="A24" s="21" t="str">
        <x:v>REUTERS_ANN_00273</x:v>
      </x:c>
      <x:c r="B24" s="22" t="n">
        <x:v>39120</x:v>
      </x:c>
      <x:c r="C24" s="21" t="n">
        <x:v>1</x:v>
      </x:c>
      <x:c r="D24" s="21" t="str">
        <x:v>positive</x:v>
      </x:c>
      <x:c r="E24" s="23" t="n">
        <x:v>0.7463517189025879</x:v>
      </x:c>
      <x:c r="F24" s="21" t="str">
        <x:v>china c.bank to control money, credit growth paper</x:v>
      </x:c>
      <x:c r="G24" s="21" t="str">
        <x:v>Çin merkez bankası para ve kredi büyümesini kontrol edecek</x:v>
      </x:c>
      <x:c r="H24" s="21" t="str">
        <x:v>neutral</x:v>
      </x:c>
      <x:c r="I24" s="21" t="n">
        <x:f>IF(H24="negative",-1,IF(H24="neutral",0,IF(H24="positive",1,"")))</x:f>
        <x:v>0</x:v>
      </x:c>
      <x:c r="J24" s="24" t="n">
        <x:v>0.55</x:v>
      </x:c>
      <x:c r="K24" s="21" t="str">
        <x:v>Sıkılaştırma ima edebilir ancak haber politika niyetini bildiriyor; yön net değil.</x:v>
      </x:c>
      <x:c r="L24" s="21" t="str">
        <x:f>IF(D24=H24,"same","different")</x:f>
        <x:v>different</x:v>
      </x:c>
      <x:c r="M24" s="21" t="str">
        <x:v>Review: FinBERT=positive, ChatGPT=neutral. Sıkılaştırma ima edebilir ancak haber politika niyetini bildiriyor; yön net değil.</x:v>
      </x:c>
    </x:row>
    <x:row r="25" ht="54" customHeight="1">
      <x:c r="A25" s="21" t="str">
        <x:v>REUTERS_ANN_00274</x:v>
      </x:c>
      <x:c r="B25" s="22" t="n">
        <x:v>39155</x:v>
      </x:c>
      <x:c r="C25" s="21" t="n">
        <x:v>-1</x:v>
      </x:c>
      <x:c r="D25" s="21" t="str">
        <x:v>negative</x:v>
      </x:c>
      <x:c r="E25" s="23" t="n">
        <x:v>0.6427497267723083</x:v>
      </x:c>
      <x:c r="F25" s="21" t="str">
        <x:v>hp investors meet, spy case against dunn dismissed</x:v>
      </x:c>
      <x:c r="G25" s="21" t="str">
        <x:v>HP yatırımcıları toplandı; Dunn’a karşı casusluk davası düşürüldü</x:v>
      </x:c>
      <x:c r="H25" s="21" t="str">
        <x:v>positive</x:v>
      </x:c>
      <x:c r="I25" s="21" t="n">
        <x:f>IF(H25="negative",-1,IF(H25="neutral",0,IF(H25="positive",1,"")))</x:f>
        <x:v>1</x:v>
      </x:c>
      <x:c r="J25" s="24" t="n">
        <x:v>0.62</x:v>
      </x:c>
      <x:c r="K25" s="21" t="str">
        <x:v>Davanın düşürülmesi hukuki riskin azalması açısından olumlu; ancak casusluk bağlamı nedeniyle güven orta.</x:v>
      </x:c>
      <x:c r="L25" s="21" t="str">
        <x:f>IF(D25=H25,"same","different")</x:f>
        <x:v>different</x:v>
      </x:c>
      <x:c r="M25" s="21" t="str">
        <x:v>Review: FinBERT=negative, ChatGPT=positive. Davanın düşürülmesi hukuki riskin azalması açısından olumlu; ancak casusluk bağlamı nedeniyle güven orta.</x:v>
      </x:c>
    </x:row>
    <x:row r="26" ht="54" customHeight="1">
      <x:c r="A26" s="21" t="str">
        <x:v>REUTERS_ANN_00275</x:v>
      </x:c>
      <x:c r="B26" s="22" t="n">
        <x:v>39038</x:v>
      </x:c>
      <x:c r="C26" s="21" t="n">
        <x:v>0</x:v>
      </x:c>
      <x:c r="D26" s="21" t="str">
        <x:v>neutral</x:v>
      </x:c>
      <x:c r="E26" s="23" t="n">
        <x:v>0.7795928716659546</x:v>
      </x:c>
      <x:c r="F26" s="21" t="str">
        <x:v>video gamers in full tilt ahead of console debuts</x:v>
      </x:c>
      <x:c r="G26" s="21" t="str">
        <x:v>Konsol çıkışları öncesinde video oyuncuları yoğun heyecan içinde</x:v>
      </x:c>
      <x:c r="H26" s="21" t="str">
        <x:v>neutral</x:v>
      </x:c>
      <x:c r="I26" s="21" t="n">
        <x:f>IF(H26="negative",-1,IF(H26="neutral",0,IF(H26="positive",1,"")))</x:f>
        <x:v>0</x:v>
      </x:c>
      <x:c r="J26" s="24" t="n">
        <x:v>0.7</x:v>
      </x:c>
      <x:c r="K26" s="21" t="str">
        <x:v>Tüketici ilgisi var ama şirket/finansal sonuç etkisi açık değil.</x:v>
      </x:c>
      <x:c r="L26" s="21" t="str">
        <x:f>IF(D26=H26,"same","different")</x:f>
        <x:v>same</x:v>
      </x:c>
      <x:c r="M26" s="21" t="str">
        <x:v>FinBERT etiketi ChatGPT etiketiyle aynı.</x:v>
      </x:c>
    </x:row>
    <x:row r="27" ht="54" customHeight="1">
      <x:c r="A27" s="21" t="str">
        <x:v>REUTERS_ANN_00276</x:v>
      </x:c>
      <x:c r="B27" s="22" t="n">
        <x:v>39169</x:v>
      </x:c>
      <x:c r="C27" s="21" t="n">
        <x:v>0</x:v>
      </x:c>
      <x:c r="D27" s="21" t="str">
        <x:v>neutral</x:v>
      </x:c>
      <x:c r="E27" s="23" t="n">
        <x:v>0.5015093684196472</x:v>
      </x:c>
      <x:c r="F27" s="21" t="str">
        <x:v>ambev to invest $2.4 billion in brazil over 5 years</x:v>
      </x:c>
      <x:c r="G27" s="21" t="str">
        <x:v>AmBev beş yılda Brezilya’ya 2,4 milyar dolar yatırım yapacak</x:v>
      </x:c>
      <x:c r="H27" s="21" t="str">
        <x:v>positive</x:v>
      </x:c>
      <x:c r="I27" s="21" t="n">
        <x:f>IF(H27="negative",-1,IF(H27="neutral",0,IF(H27="positive",1,"")))</x:f>
        <x:v>1</x:v>
      </x:c>
      <x:c r="J27" s="24" t="n">
        <x:v>0.78</x:v>
      </x:c>
      <x:c r="K27" s="21" t="str">
        <x:v>Büyük yatırım planı büyüme ve kapasite artışı sinyali verdiği için olumlu.</x:v>
      </x:c>
      <x:c r="L27" s="21" t="str">
        <x:f>IF(D27=H27,"same","different")</x:f>
        <x:v>different</x:v>
      </x:c>
      <x:c r="M27" s="21" t="str">
        <x:v>Review: FinBERT=neutral, ChatGPT=positive. Büyük yatırım planı büyüme ve kapasite artışı sinyali verdiği için olumlu.</x:v>
      </x:c>
    </x:row>
    <x:row r="28" ht="54" customHeight="1">
      <x:c r="A28" s="21" t="str">
        <x:v>REUTERS_ANN_00277</x:v>
      </x:c>
      <x:c r="B28" s="22" t="n">
        <x:v>39211</x:v>
      </x:c>
      <x:c r="C28" s="21" t="n">
        <x:v>-1</x:v>
      </x:c>
      <x:c r="D28" s="21" t="str">
        <x:v>negative</x:v>
      </x:c>
      <x:c r="E28" s="23" t="n">
        <x:v>0.9629127383232116</x:v>
      </x:c>
      <x:c r="F28" s="21" t="str">
        <x:v>fda seeks more data on cancer vaccine</x:v>
      </x:c>
      <x:c r="G28" s="21" t="str">
        <x:v>FDA kanser aşısı için daha fazla veri istedi</x:v>
      </x:c>
      <x:c r="H28" s="21" t="str">
        <x:v>negative</x:v>
      </x:c>
      <x:c r="I28" s="21" t="n">
        <x:f>IF(H28="negative",-1,IF(H28="neutral",0,IF(H28="positive",1,"")))</x:f>
        <x:v>-1</x:v>
      </x:c>
      <x:c r="J28" s="24" t="n">
        <x:v>0.88</x:v>
      </x:c>
      <x:c r="K28" s="21" t="str">
        <x:v>Düzenleyicinin ek veri istemesi onay sürecinde gecikme/belirsizlik yaratır.</x:v>
      </x:c>
      <x:c r="L28" s="21" t="str">
        <x:f>IF(D28=H28,"same","different")</x:f>
        <x:v>same</x:v>
      </x:c>
      <x:c r="M28" s="21" t="str">
        <x:v>FinBERT etiketi ChatGPT etiketiyle aynı.</x:v>
      </x:c>
    </x:row>
    <x:row r="29" ht="54" customHeight="1">
      <x:c r="A29" s="21" t="str">
        <x:v>REUTERS_ANN_00278</x:v>
      </x:c>
      <x:c r="B29" s="22" t="n">
        <x:v>39049</x:v>
      </x:c>
      <x:c r="C29" s="21" t="n">
        <x:v>0</x:v>
      </x:c>
      <x:c r="D29" s="21" t="str">
        <x:v>neutral</x:v>
      </x:c>
      <x:c r="E29" s="23" t="n">
        <x:v>0.6353188753128052</x:v>
      </x:c>
      <x:c r="F29" s="21" t="str">
        <x:v>exxon says no decision on appeal of alaska ruling</x:v>
      </x:c>
      <x:c r="G29" s="21" t="str">
        <x:v>Exxon, Alaska kararına itiraz konusunda henüz karar vermediğini söyledi</x:v>
      </x:c>
      <x:c r="H29" s="21" t="str">
        <x:v>neutral</x:v>
      </x:c>
      <x:c r="I29" s="21" t="n">
        <x:f>IF(H29="negative",-1,IF(H29="neutral",0,IF(H29="positive",1,"")))</x:f>
        <x:v>0</x:v>
      </x:c>
      <x:c r="J29" s="24" t="n">
        <x:v>0.72</x:v>
      </x:c>
      <x:c r="K29" s="21" t="str">
        <x:v>Hukuki süreçte karar verilmemiş; net olumlu/olumsuz sonuç yok.</x:v>
      </x:c>
      <x:c r="L29" s="21" t="str">
        <x:f>IF(D29=H29,"same","different")</x:f>
        <x:v>same</x:v>
      </x:c>
      <x:c r="M29" s="21" t="str">
        <x:v>FinBERT etiketi ChatGPT etiketiyle aynı.</x:v>
      </x:c>
    </x:row>
    <x:row r="30" ht="54" customHeight="1">
      <x:c r="A30" s="21" t="str">
        <x:v>REUTERS_ANN_00279</x:v>
      </x:c>
      <x:c r="B30" s="22" t="n">
        <x:v>39162</x:v>
      </x:c>
      <x:c r="C30" s="21" t="n">
        <x:v>1</x:v>
      </x:c>
      <x:c r="D30" s="21" t="str">
        <x:v>positive</x:v>
      </x:c>
      <x:c r="E30" s="23" t="n">
        <x:v>0.9302974939346312</x:v>
      </x:c>
      <x:c r="F30" s="21" t="str">
        <x:v>stocks end up on fed view</x:v>
      </x:c>
      <x:c r="G30" s="21" t="str">
        <x:v>Hisseler Fed değerlendirmesiyle günü yükselişle kapattı</x:v>
      </x:c>
      <x:c r="H30" s="21" t="str">
        <x:v>positive</x:v>
      </x:c>
      <x:c r="I30" s="21" t="n">
        <x:f>IF(H30="negative",-1,IF(H30="neutral",0,IF(H30="positive",1,"")))</x:f>
        <x:v>1</x:v>
      </x:c>
      <x:c r="J30" s="24" t="n">
        <x:v>0.88</x:v>
      </x:c>
      <x:c r="K30" s="21" t="str">
        <x:v>Hisselerin yükselişle kapanması açık piyasa olumlu sinyali.</x:v>
      </x:c>
      <x:c r="L30" s="21" t="str">
        <x:f>IF(D30=H30,"same","different")</x:f>
        <x:v>same</x:v>
      </x:c>
      <x:c r="M30" s="21" t="str">
        <x:v>FinBERT etiketi ChatGPT etiketiyle aynı.</x:v>
      </x:c>
    </x:row>
    <x:row r="31" ht="54" customHeight="1">
      <x:c r="A31" s="21" t="str">
        <x:v>REUTERS_ANN_00280</x:v>
      </x:c>
      <x:c r="B31" s="22" t="n">
        <x:v>39141</x:v>
      </x:c>
      <x:c r="C31" s="21" t="n">
        <x:v>-1</x:v>
      </x:c>
      <x:c r="D31" s="21" t="str">
        <x:v>negative</x:v>
      </x:c>
      <x:c r="E31" s="23" t="n">
        <x:v>0.9432697296142578</x:v>
      </x:c>
      <x:c r="F31" s="21" t="str">
        <x:v>factbox-biggest falls in the dow jones industrial average</x:v>
      </x:c>
      <x:c r="G31" s="21" t="str">
        <x:v>Factbox: Dow Jones sanayi endeksindeki en büyük düşüşler</x:v>
      </x:c>
      <x:c r="H31" s="21" t="str">
        <x:v>negative</x:v>
      </x:c>
      <x:c r="I31" s="21" t="n">
        <x:f>IF(H31="negative",-1,IF(H31="neutral",0,IF(H31="positive",1,"")))</x:f>
        <x:v>-1</x:v>
      </x:c>
      <x:c r="J31" s="24" t="n">
        <x:v>0.82</x:v>
      </x:c>
      <x:c r="K31" s="21" t="str">
        <x:v>Başlık büyük düşüşlere odaklanıyor; piyasa bağlamı olumsuz.</x:v>
      </x:c>
      <x:c r="L31" s="21" t="str">
        <x:f>IF(D31=H31,"same","different")</x:f>
        <x:v>same</x:v>
      </x:c>
      <x:c r="M31" s="21" t="str">
        <x:v>FinBERT etiketi ChatGPT etiketiyle aynı.</x:v>
      </x:c>
    </x:row>
    <x:row r="32" ht="54" customHeight="1">
      <x:c r="A32" s="21" t="str">
        <x:v>REUTERS_ANN_00281</x:v>
      </x:c>
      <x:c r="B32" s="22" t="n">
        <x:v>39147</x:v>
      </x:c>
      <x:c r="C32" s="21" t="n">
        <x:v>1</x:v>
      </x:c>
      <x:c r="D32" s="21" t="str">
        <x:v>positive</x:v>
      </x:c>
      <x:c r="E32" s="23" t="n">
        <x:v>0.6339453458786011</x:v>
      </x:c>
      <x:c r="F32" s="21" t="str">
        <x:v>bp reaches tentative settlement on ohio violations</x:v>
      </x:c>
      <x:c r="G32" s="21" t="str">
        <x:v>BP, Ohio ihlalleri konusunda geçici anlaşmaya vardı</x:v>
      </x:c>
      <x:c r="H32" s="21" t="str">
        <x:v>positive</x:v>
      </x:c>
      <x:c r="I32" s="21" t="n">
        <x:f>IF(H32="negative",-1,IF(H32="neutral",0,IF(H32="positive",1,"")))</x:f>
        <x:v>1</x:v>
      </x:c>
      <x:c r="J32" s="24" t="n">
        <x:v>0.6</x:v>
      </x:c>
      <x:c r="K32" s="21" t="str">
        <x:v>İhlal bağlamı olumsuz olsa da uzlaşma hukuki belirsizliği azaltabilir.</x:v>
      </x:c>
      <x:c r="L32" s="21" t="str">
        <x:f>IF(D32=H32,"same","different")</x:f>
        <x:v>same</x:v>
      </x:c>
      <x:c r="M32" s="21" t="str">
        <x:v>FinBERT etiketi ChatGPT etiketiyle aynı.</x:v>
      </x:c>
    </x:row>
    <x:row r="33" ht="54" customHeight="1">
      <x:c r="A33" s="21" t="str">
        <x:v>REUTERS_ANN_00282</x:v>
      </x:c>
      <x:c r="B33" s="22" t="n">
        <x:v>39014</x:v>
      </x:c>
      <x:c r="C33" s="21" t="n">
        <x:v>1</x:v>
      </x:c>
      <x:c r="D33" s="21" t="str">
        <x:v>positive</x:v>
      </x:c>
      <x:c r="E33" s="23" t="n">
        <x:v>0.618030309677124</x:v>
      </x:c>
      <x:c r="F33" s="21" t="str">
        <x:v>wal-mart ceo sees holiday season sales improvement</x:v>
      </x:c>
      <x:c r="G33" s="21" t="str">
        <x:v>Wal-Mart CEO’su tatil sezonu satışlarında iyileşme bekliyor</x:v>
      </x:c>
      <x:c r="H33" s="21" t="str">
        <x:v>positive</x:v>
      </x:c>
      <x:c r="I33" s="21" t="n">
        <x:f>IF(H33="negative",-1,IF(H33="neutral",0,IF(H33="positive",1,"")))</x:f>
        <x:v>1</x:v>
      </x:c>
      <x:c r="J33" s="24" t="n">
        <x:v>0.76</x:v>
      </x:c>
      <x:c r="K33" s="21" t="str">
        <x:v>Satış iyileşmesi beklentisi şirket geliri açısından olumlu.</x:v>
      </x:c>
      <x:c r="L33" s="21" t="str">
        <x:f>IF(D33=H33,"same","different")</x:f>
        <x:v>same</x:v>
      </x:c>
      <x:c r="M33" s="21" t="str">
        <x:v>FinBERT etiketi ChatGPT etiketiyle aynı.</x:v>
      </x:c>
    </x:row>
    <x:row r="34" ht="54" customHeight="1">
      <x:c r="A34" s="21" t="str">
        <x:v>REUTERS_ANN_00283</x:v>
      </x:c>
      <x:c r="B34" s="22" t="n">
        <x:v>39177</x:v>
      </x:c>
      <x:c r="C34" s="21" t="n">
        <x:v>-1</x:v>
      </x:c>
      <x:c r="D34" s="21" t="str">
        <x:v>negative</x:v>
      </x:c>
      <x:c r="E34" s="23" t="n">
        <x:v>0.8809066414833069</x:v>
      </x:c>
      <x:c r="F34" s="21" t="str">
        <x:v>monster ex-general counsel settles sec case</x:v>
      </x:c>
      <x:c r="G34" s="21" t="str">
        <x:v>Monster’ın eski baş hukuk müşaviri SEC davasında uzlaşmaya vardı</x:v>
      </x:c>
      <x:c r="H34" s="21" t="str">
        <x:v>negative</x:v>
      </x:c>
      <x:c r="I34" s="21" t="n">
        <x:f>IF(H34="negative",-1,IF(H34="neutral",0,IF(H34="positive",1,"")))</x:f>
        <x:v>-1</x:v>
      </x:c>
      <x:c r="J34" s="24" t="n">
        <x:v>0.75</x:v>
      </x:c>
      <x:c r="K34" s="21" t="str">
        <x:v>SEC davası ve hukuki uzlaşma itibar/regülasyon riski içeriyor.</x:v>
      </x:c>
      <x:c r="L34" s="21" t="str">
        <x:f>IF(D34=H34,"same","different")</x:f>
        <x:v>same</x:v>
      </x:c>
      <x:c r="M34" s="21" t="str">
        <x:v>FinBERT etiketi ChatGPT etiketiyle aynı.</x:v>
      </x:c>
    </x:row>
    <x:row r="35" ht="54" customHeight="1">
      <x:c r="A35" s="21" t="str">
        <x:v>REUTERS_ANN_00284</x:v>
      </x:c>
      <x:c r="B35" s="22" t="n">
        <x:v>39183</x:v>
      </x:c>
      <x:c r="C35" s="21" t="n">
        <x:v>-1</x:v>
      </x:c>
      <x:c r="D35" s="21" t="str">
        <x:v>negative</x:v>
      </x:c>
      <x:c r="E35" s="23" t="n">
        <x:v>0.8224284052848816</x:v>
      </x:c>
      <x:c r="F35" s="21" t="str">
        <x:v>ford recalls 527,000 suvs after engine fires</x:v>
      </x:c>
      <x:c r="G35" s="21" t="str">
        <x:v>Ford, motor yangınları sonrası 527 bin SUV’u geri çağırıyor</x:v>
      </x:c>
      <x:c r="H35" s="21" t="str">
        <x:v>negative</x:v>
      </x:c>
      <x:c r="I35" s="21" t="n">
        <x:f>IF(H35="negative",-1,IF(H35="neutral",0,IF(H35="positive",1,"")))</x:f>
        <x:v>-1</x:v>
      </x:c>
      <x:c r="J35" s="24" t="n">
        <x:v>0.94</x:v>
      </x:c>
      <x:c r="K35" s="21" t="str">
        <x:v>Yangın riski ve büyük geri çağırma şirket açısından güçlü olumsuz haber.</x:v>
      </x:c>
      <x:c r="L35" s="21" t="str">
        <x:f>IF(D35=H35,"same","different")</x:f>
        <x:v>same</x:v>
      </x:c>
      <x:c r="M35" s="21" t="str">
        <x:v>FinBERT etiketi ChatGPT etiketiyle aynı.</x:v>
      </x:c>
    </x:row>
    <x:row r="36" ht="54" customHeight="1">
      <x:c r="A36" s="21" t="str">
        <x:v>REUTERS_ANN_00285</x:v>
      </x:c>
      <x:c r="B36" s="22" t="n">
        <x:v>39056</x:v>
      </x:c>
      <x:c r="C36" s="21" t="n">
        <x:v>-1</x:v>
      </x:c>
      <x:c r="D36" s="21" t="str">
        <x:v>negative</x:v>
      </x:c>
      <x:c r="E36" s="23" t="n">
        <x:v>0.9757760167121888</x:v>
      </x:c>
      <x:c r="F36" s="21" t="str">
        <x:v>bankruptcies fall to 10-year low</x:v>
      </x:c>
      <x:c r="G36" s="21" t="str">
        <x:v>İflaslar 10 yılın en düşük seviyesine geriledi</x:v>
      </x:c>
      <x:c r="H36" s="21" t="str">
        <x:v>positive</x:v>
      </x:c>
      <x:c r="I36" s="21" t="n">
        <x:f>IF(H36="negative",-1,IF(H36="neutral",0,IF(H36="positive",1,"")))</x:f>
        <x:v>1</x:v>
      </x:c>
      <x:c r="J36" s="24" t="n">
        <x:v>0.86</x:v>
      </x:c>
      <x:c r="K36" s="21" t="str">
        <x:v>İflasların azalması kredi ve ekonomi sağlığı açısından olumlu.</x:v>
      </x:c>
      <x:c r="L36" s="21" t="str">
        <x:f>IF(D36=H36,"same","different")</x:f>
        <x:v>different</x:v>
      </x:c>
      <x:c r="M36" s="21" t="str">
        <x:v>Review: FinBERT=negative, ChatGPT=positive. İflasların azalması kredi ve ekonomi sağlığı açısından olumlu.</x:v>
      </x:c>
    </x:row>
    <x:row r="37" ht="54" customHeight="1">
      <x:c r="A37" s="21" t="str">
        <x:v>REUTERS_ANN_00286</x:v>
      </x:c>
      <x:c r="B37" s="22" t="n">
        <x:v>39170</x:v>
      </x:c>
      <x:c r="C37" s="21" t="n">
        <x:v>1</x:v>
      </x:c>
      <x:c r="D37" s="21" t="str">
        <x:v>positive</x:v>
      </x:c>
      <x:c r="E37" s="23" t="n">
        <x:v>0.6730337738990784</x:v>
      </x:c>
      <x:c r="F37" s="21" t="str">
        <x:v>hitachi shores up u.s. unit with $1 bln</x:v>
      </x:c>
      <x:c r="G37" s="21" t="str">
        <x:v>Hitachi, ABD birimini 1 milyar dolarla güçlendiriyor</x:v>
      </x:c>
      <x:c r="H37" s="21" t="str">
        <x:v>positive</x:v>
      </x:c>
      <x:c r="I37" s="21" t="n">
        <x:f>IF(H37="negative",-1,IF(H37="neutral",0,IF(H37="positive",1,"")))</x:f>
        <x:v>1</x:v>
      </x:c>
      <x:c r="J37" s="24" t="n">
        <x:v>0.7</x:v>
      </x:c>
      <x:c r="K37" s="21" t="str">
        <x:v>Birim destekleme ve sermaye aktarımı toparlanma/güçlendirme sinyali verir.</x:v>
      </x:c>
      <x:c r="L37" s="21" t="str">
        <x:f>IF(D37=H37,"same","different")</x:f>
        <x:v>same</x:v>
      </x:c>
      <x:c r="M37" s="21" t="str">
        <x:v>FinBERT etiketi ChatGPT etiketiyle aynı.</x:v>
      </x:c>
    </x:row>
    <x:row r="38" ht="54" customHeight="1">
      <x:c r="A38" s="21" t="str">
        <x:v>REUTERS_ANN_00287</x:v>
      </x:c>
      <x:c r="B38" s="22" t="n">
        <x:v>39148</x:v>
      </x:c>
      <x:c r="C38" s="21" t="n">
        <x:v>-1</x:v>
      </x:c>
      <x:c r="D38" s="21" t="str">
        <x:v>negative</x:v>
      </x:c>
      <x:c r="E38" s="23" t="n">
        <x:v>0.9699944257736206</x:v>
      </x:c>
      <x:c r="F38" s="21" t="str">
        <x:v>fed spies signs of slower growth</x:v>
      </x:c>
      <x:c r="G38" s="21" t="str">
        <x:v>Fed daha yavaş büyüme işaretleri görüyor</x:v>
      </x:c>
      <x:c r="H38" s="21" t="str">
        <x:v>negative</x:v>
      </x:c>
      <x:c r="I38" s="21" t="n">
        <x:f>IF(H38="negative",-1,IF(H38="neutral",0,IF(H38="positive",1,"")))</x:f>
        <x:v>-1</x:v>
      </x:c>
      <x:c r="J38" s="24" t="n">
        <x:v>0.86</x:v>
      </x:c>
      <x:c r="K38" s="21" t="str">
        <x:v>Yavaşlayan büyüme sinyali makro görünüm için olumsuz.</x:v>
      </x:c>
      <x:c r="L38" s="21" t="str">
        <x:f>IF(D38=H38,"same","different")</x:f>
        <x:v>same</x:v>
      </x:c>
      <x:c r="M38" s="21" t="str">
        <x:v>FinBERT etiketi ChatGPT etiketiyle aynı.</x:v>
      </x:c>
    </x:row>
    <x:row r="39" ht="54" customHeight="1">
      <x:c r="A39" s="21" t="str">
        <x:v>REUTERS_ANN_00288</x:v>
      </x:c>
      <x:c r="B39" s="22" t="n">
        <x:v>39127</x:v>
      </x:c>
      <x:c r="C39" s="21" t="n">
        <x:v>1</x:v>
      </x:c>
      <x:c r="D39" s="21" t="str">
        <x:v>positive</x:v>
      </x:c>
      <x:c r="E39" s="23" t="n">
        <x:v>0.9249178171157836</x:v>
      </x:c>
      <x:c r="F39" s="21" t="str">
        <x:v>dow ends at record on fed chiefs view and earnings</x:v>
      </x:c>
      <x:c r="G39" s="21" t="str">
        <x:v>Dow, Fed başkanının görüşü ve bilançolarla rekor seviyede kapandı</x:v>
      </x:c>
      <x:c r="H39" s="21" t="str">
        <x:v>positive</x:v>
      </x:c>
      <x:c r="I39" s="21" t="n">
        <x:f>IF(H39="negative",-1,IF(H39="neutral",0,IF(H39="positive",1,"")))</x:f>
        <x:v>1</x:v>
      </x:c>
      <x:c r="J39" s="24" t="n">
        <x:v>0.93</x:v>
      </x:c>
      <x:c r="K39" s="21" t="str">
        <x:v>Rekor kapanış ve destekleyici bilanço/Fed algısı güçlü olumlu piyasa sinyali.</x:v>
      </x:c>
      <x:c r="L39" s="21" t="str">
        <x:f>IF(D39=H39,"same","different")</x:f>
        <x:v>same</x:v>
      </x:c>
      <x:c r="M39" s="21" t="str">
        <x:v>FinBERT etiketi ChatGPT etiketiyle aynı.</x:v>
      </x:c>
    </x:row>
    <x:row r="40" ht="54" customHeight="1">
      <x:c r="A40" s="21" t="str">
        <x:v>REUTERS_ANN_00289</x:v>
      </x:c>
      <x:c r="B40" s="22" t="n">
        <x:v>39109</x:v>
      </x:c>
      <x:c r="C40" s="21" t="n">
        <x:v>0</x:v>
      </x:c>
      <x:c r="D40" s="21" t="str">
        <x:v>neutral</x:v>
      </x:c>
      <x:c r="E40" s="23" t="n">
        <x:v>0.8746799230575562</x:v>
      </x:c>
      <x:c r="F40" s="21" t="str">
        <x:v>rocker gabriel wants youtube for human rights</x:v>
      </x:c>
      <x:c r="G40" s="21" t="str">
        <x:v>Müzisyen Peter Gabriel insan hakları için YouTube benzeri bir platform istiyor</x:v>
      </x:c>
      <x:c r="H40" s="21" t="str">
        <x:v>neutral</x:v>
      </x:c>
      <x:c r="I40" s="21" t="n">
        <x:f>IF(H40="negative",-1,IF(H40="neutral",0,IF(H40="positive",1,"")))</x:f>
        <x:v>0</x:v>
      </x:c>
      <x:c r="J40" s="24" t="n">
        <x:v>0.86</x:v>
      </x:c>
      <x:c r="K40" s="21" t="str">
        <x:v>Finansal veya şirket performansı açısından doğrudan sentiment yok.</x:v>
      </x:c>
      <x:c r="L40" s="21" t="str">
        <x:f>IF(D40=H40,"same","different")</x:f>
        <x:v>same</x:v>
      </x:c>
      <x:c r="M40" s="21" t="str">
        <x:v>FinBERT etiketi ChatGPT etiketiyle aynı.</x:v>
      </x:c>
    </x:row>
    <x:row r="41" ht="54" customHeight="1">
      <x:c r="A41" s="21" t="str">
        <x:v>REUTERS_ANN_00290</x:v>
      </x:c>
      <x:c r="B41" s="22" t="n">
        <x:v>39177</x:v>
      </x:c>
      <x:c r="C41" s="21" t="n">
        <x:v>-1</x:v>
      </x:c>
      <x:c r="D41" s="21" t="str">
        <x:v>negative</x:v>
      </x:c>
      <x:c r="E41" s="23" t="n">
        <x:v>0.7981226444244385</x:v>
      </x:c>
      <x:c r="F41" s="21" t="str">
        <x:v>take-two says sec launches formal options probe</x:v>
      </x:c>
      <x:c r="G41" s="21" t="str">
        <x:v>Take-Two, SEC’in resmi opsiyon soruşturması başlattığını söyledi</x:v>
      </x:c>
      <x:c r="H41" s="21" t="str">
        <x:v>negative</x:v>
      </x:c>
      <x:c r="I41" s="21" t="n">
        <x:f>IF(H41="negative",-1,IF(H41="neutral",0,IF(H41="positive",1,"")))</x:f>
        <x:v>-1</x:v>
      </x:c>
      <x:c r="J41" s="24" t="n">
        <x:v>0.9</x:v>
      </x:c>
      <x:c r="K41" s="21" t="str">
        <x:v>Resmi SEC soruşturması hukuki ve itibar riski nedeniyle olumsuz.</x:v>
      </x:c>
      <x:c r="L41" s="21" t="str">
        <x:f>IF(D41=H41,"same","different")</x:f>
        <x:v>same</x:v>
      </x:c>
      <x:c r="M41" s="21" t="str">
        <x:v>FinBERT etiketi ChatGPT etiketiyle aynı.</x:v>
      </x:c>
    </x:row>
    <x:row r="42" ht="54" customHeight="1">
      <x:c r="A42" s="21" t="str">
        <x:v>REUTERS_ANN_00291</x:v>
      </x:c>
      <x:c r="B42" s="22" t="n">
        <x:v>39085</x:v>
      </x:c>
      <x:c r="C42" s="21" t="n">
        <x:v>-1</x:v>
      </x:c>
      <x:c r="D42" s="21" t="str">
        <x:v>negative</x:v>
      </x:c>
      <x:c r="E42" s="23" t="n">
        <x:v>0.9337206482887268</x:v>
      </x:c>
      <x:c r="F42" s="21" t="str">
        <x:v>morgan stanley sued by former exec for age bias</x:v>
      </x:c>
      <x:c r="G42" s="21" t="str">
        <x:v>Morgan Stanley, eski yöneticisi tarafından yaş ayrımcılığı nedeniyle dava edildi</x:v>
      </x:c>
      <x:c r="H42" s="21" t="str">
        <x:v>negative</x:v>
      </x:c>
      <x:c r="I42" s="21" t="n">
        <x:f>IF(H42="negative",-1,IF(H42="neutral",0,IF(H42="positive",1,"")))</x:f>
        <x:v>-1</x:v>
      </x:c>
      <x:c r="J42" s="24" t="n">
        <x:v>0.88</x:v>
      </x:c>
      <x:c r="K42" s="21" t="str">
        <x:v>Ayrımcılık davası hukuki/itibar riski taşır.</x:v>
      </x:c>
      <x:c r="L42" s="21" t="str">
        <x:f>IF(D42=H42,"same","different")</x:f>
        <x:v>same</x:v>
      </x:c>
      <x:c r="M42" s="21" t="str">
        <x:v>FinBERT etiketi ChatGPT etiketiyle aynı.</x:v>
      </x:c>
    </x:row>
    <x:row r="43" ht="54" customHeight="1">
      <x:c r="A43" s="21" t="str">
        <x:v>REUTERS_ANN_00292</x:v>
      </x:c>
      <x:c r="B43" s="22" t="n">
        <x:v>39020</x:v>
      </x:c>
      <x:c r="C43" s="21" t="n">
        <x:v>0</x:v>
      </x:c>
      <x:c r="D43" s="21" t="str">
        <x:v>neutral</x:v>
      </x:c>
      <x:c r="E43" s="23" t="n">
        <x:v>0.6959530711174011</x:v>
      </x:c>
      <x:c r="F43" s="21" t="str">
        <x:v>cemex says offer fully values australias rinker</x:v>
      </x:c>
      <x:c r="G43" s="21" t="str">
        <x:v>Cemex, teklifinin Avustralya’dan Rinker’i tamamen değerlediğini söyledi</x:v>
      </x:c>
      <x:c r="H43" s="21" t="str">
        <x:v>neutral</x:v>
      </x:c>
      <x:c r="I43" s="21" t="n">
        <x:f>IF(H43="negative",-1,IF(H43="neutral",0,IF(H43="positive",1,"")))</x:f>
        <x:v>0</x:v>
      </x:c>
      <x:c r="J43" s="24" t="n">
        <x:v>0.64</x:v>
      </x:c>
      <x:c r="K43" s="21" t="str">
        <x:v>Teklif değerlemesine ilişkin açıklama; piyasa etkisi veya sonuç net değil.</x:v>
      </x:c>
      <x:c r="L43" s="21" t="str">
        <x:f>IF(D43=H43,"same","different")</x:f>
        <x:v>same</x:v>
      </x:c>
      <x:c r="M43" s="21" t="str">
        <x:v>FinBERT etiketi ChatGPT etiketiyle aynı.</x:v>
      </x:c>
    </x:row>
    <x:row r="44" ht="54" customHeight="1">
      <x:c r="A44" s="21" t="str">
        <x:v>REUTERS_ANN_00293</x:v>
      </x:c>
      <x:c r="B44" s="22" t="n">
        <x:v>39059</x:v>
      </x:c>
      <x:c r="C44" s="21" t="n">
        <x:v>0</x:v>
      </x:c>
      <x:c r="D44" s="21" t="str">
        <x:v>neutral</x:v>
      </x:c>
      <x:c r="E44" s="23" t="n">
        <x:v>0.7183077931404114</x:v>
      </x:c>
      <x:c r="F44" s="21" t="str">
        <x:v>some delta creditors form separate group</x:v>
      </x:c>
      <x:c r="G44" s="21" t="str">
        <x:v>Bazı Delta alacaklıları ayrı bir grup oluşturdu</x:v>
      </x:c>
      <x:c r="H44" s="21" t="str">
        <x:v>neutral</x:v>
      </x:c>
      <x:c r="I44" s="21" t="n">
        <x:f>IF(H44="negative",-1,IF(H44="neutral",0,IF(H44="positive",1,"")))</x:f>
        <x:v>0</x:v>
      </x:c>
      <x:c r="J44" s="24" t="n">
        <x:v>0.66</x:v>
      </x:c>
      <x:c r="K44" s="21" t="str">
        <x:v>Yeniden yapılandırma sürecine dair örgütlenme bilgisi; yön net değil.</x:v>
      </x:c>
      <x:c r="L44" s="21" t="str">
        <x:f>IF(D44=H44,"same","different")</x:f>
        <x:v>same</x:v>
      </x:c>
      <x:c r="M44" s="21" t="str">
        <x:v>FinBERT etiketi ChatGPT etiketiyle aynı.</x:v>
      </x:c>
    </x:row>
    <x:row r="45" ht="54" customHeight="1">
      <x:c r="A45" s="21" t="str">
        <x:v>REUTERS_ANN_00294</x:v>
      </x:c>
      <x:c r="B45" s="22" t="n">
        <x:v>39036</x:v>
      </x:c>
      <x:c r="C45" s="21" t="n">
        <x:v>0</x:v>
      </x:c>
      <x:c r="D45" s="21" t="str">
        <x:v>neutral</x:v>
      </x:c>
      <x:c r="E45" s="23" t="n">
        <x:v>0.9332646131515504</x:v>
      </x:c>
      <x:c r="F45" s="21" t="str">
        <x:v>now online retailers black friday secrets</x:v>
      </x:c>
      <x:c r="G45" s="21" t="str">
        <x:v>Artık çevrimiçi perakendecilerin Black Friday sırları var</x:v>
      </x:c>
      <x:c r="H45" s="21" t="str">
        <x:v>neutral</x:v>
      </x:c>
      <x:c r="I45" s="21" t="n">
        <x:f>IF(H45="negative",-1,IF(H45="neutral",0,IF(H45="positive",1,"")))</x:f>
        <x:v>0</x:v>
      </x:c>
      <x:c r="J45" s="24" t="n">
        <x:v>0.8</x:v>
      </x:c>
      <x:c r="K45" s="21" t="str">
        <x:v>Bilgilendirici/analiz başlığı; doğrudan olumlu ya da olumsuz finansal sinyal yok.</x:v>
      </x:c>
      <x:c r="L45" s="21" t="str">
        <x:f>IF(D45=H45,"same","different")</x:f>
        <x:v>same</x:v>
      </x:c>
      <x:c r="M45" s="21" t="str">
        <x:v>FinBERT etiketi ChatGPT etiketiyle aynı.</x:v>
      </x:c>
    </x:row>
    <x:row r="46" ht="54" customHeight="1">
      <x:c r="A46" s="21" t="str">
        <x:v>REUTERS_ANN_00295</x:v>
      </x:c>
      <x:c r="B46" s="22" t="n">
        <x:v>39205</x:v>
      </x:c>
      <x:c r="C46" s="21" t="n">
        <x:v>0</x:v>
      </x:c>
      <x:c r="D46" s="21" t="str">
        <x:v>neutral</x:v>
      </x:c>
      <x:c r="E46" s="23" t="n">
        <x:v>0.6129177808761597</x:v>
      </x:c>
      <x:c r="F46" s="21" t="str">
        <x:v>rbs still plans lasalle bid by deadline -sources</x:v>
      </x:c>
      <x:c r="G46" s="21" t="str">
        <x:v>Kaynaklara göre RBS, LaSalle teklifini son tarihe kadar sürdürmeyi planlıyor</x:v>
      </x:c>
      <x:c r="H46" s="21" t="str">
        <x:v>neutral</x:v>
      </x:c>
      <x:c r="I46" s="21" t="n">
        <x:f>IF(H46="negative",-1,IF(H46="neutral",0,IF(H46="positive",1,"")))</x:f>
        <x:v>0</x:v>
      </x:c>
      <x:c r="J46" s="24" t="n">
        <x:v>0.68</x:v>
      </x:c>
      <x:c r="K46" s="21" t="str">
        <x:v>Devam eden teklif süreci var; tamamlanma veya finansal etki net değil.</x:v>
      </x:c>
      <x:c r="L46" s="21" t="str">
        <x:f>IF(D46=H46,"same","different")</x:f>
        <x:v>same</x:v>
      </x:c>
      <x:c r="M46" s="21" t="str">
        <x:v>FinBERT etiketi ChatGPT etiketiyle aynı.</x:v>
      </x:c>
    </x:row>
    <x:row r="47" ht="54" customHeight="1">
      <x:c r="A47" s="21" t="str">
        <x:v>REUTERS_ANN_00296</x:v>
      </x:c>
      <x:c r="B47" s="22" t="n">
        <x:v>39111</x:v>
      </x:c>
      <x:c r="C47" s="21" t="n">
        <x:v>-1</x:v>
      </x:c>
      <x:c r="D47" s="21" t="str">
        <x:v>negative</x:v>
      </x:c>
      <x:c r="E47" s="23" t="n">
        <x:v>0.9686781167984008</x:v>
      </x:c>
      <x:c r="F47" s="21" t="str">
        <x:v>sara lee to cut nearly 1,700 jobs, 3 pct of staff</x:v>
      </x:c>
      <x:c r="G47" s="21" t="str">
        <x:v>Sara Lee yaklaşık 1.700 kişiyi, yani çalışanlarının yüzde 3’ünü işten çıkaracak</x:v>
      </x:c>
      <x:c r="H47" s="21" t="str">
        <x:v>negative</x:v>
      </x:c>
      <x:c r="I47" s="21" t="n">
        <x:f>IF(H47="negative",-1,IF(H47="neutral",0,IF(H47="positive",1,"")))</x:f>
        <x:v>-1</x:v>
      </x:c>
      <x:c r="J47" s="24" t="n">
        <x:v>0.92</x:v>
      </x:c>
      <x:c r="K47" s="21" t="str">
        <x:v>İşten çıkarma operasyonel baskı ve maliyet kesintisi ihtiyacına işaret eder.</x:v>
      </x:c>
      <x:c r="L47" s="21" t="str">
        <x:f>IF(D47=H47,"same","different")</x:f>
        <x:v>same</x:v>
      </x:c>
      <x:c r="M47" s="21" t="str">
        <x:v>FinBERT etiketi ChatGPT etiketiyle aynı.</x:v>
      </x:c>
    </x:row>
    <x:row r="48" ht="54" customHeight="1">
      <x:c r="A48" s="21" t="str">
        <x:v>REUTERS_ANN_00297</x:v>
      </x:c>
      <x:c r="B48" s="22" t="n">
        <x:v>39107</x:v>
      </x:c>
      <x:c r="C48" s="21" t="n">
        <x:v>0</x:v>
      </x:c>
      <x:c r="D48" s="21" t="str">
        <x:v>neutral</x:v>
      </x:c>
      <x:c r="E48" s="23" t="n">
        <x:v>0.917816996574402</x:v>
      </x:c>
      <x:c r="F48" s="21" t="str">
        <x:v>gap not for sale, chief tells employees report</x:v>
      </x:c>
      <x:c r="G48" s="21" t="str">
        <x:v>Rapora göre Gap CEO’su çalışanlara şirketin satılık olmadığını söyledi</x:v>
      </x:c>
      <x:c r="H48" s="21" t="str">
        <x:v>neutral</x:v>
      </x:c>
      <x:c r="I48" s="21" t="n">
        <x:f>IF(H48="negative",-1,IF(H48="neutral",0,IF(H48="positive",1,"")))</x:f>
        <x:v>0</x:v>
      </x:c>
      <x:c r="J48" s="24" t="n">
        <x:v>0.72</x:v>
      </x:c>
      <x:c r="K48" s="21" t="str">
        <x:v>Satış iddialarına yanıt; belirgin finansal yön yok.</x:v>
      </x:c>
      <x:c r="L48" s="21" t="str">
        <x:f>IF(D48=H48,"same","different")</x:f>
        <x:v>same</x:v>
      </x:c>
      <x:c r="M48" s="21" t="str">
        <x:v>FinBERT etiketi ChatGPT etiketiyle aynı.</x:v>
      </x:c>
    </x:row>
    <x:row r="49" ht="54" customHeight="1">
      <x:c r="A49" s="21" t="str">
        <x:v>REUTERS_ANN_00298</x:v>
      </x:c>
      <x:c r="B49" s="22" t="n">
        <x:v>39208</x:v>
      </x:c>
      <x:c r="C49" s="21" t="n">
        <x:v>0</x:v>
      </x:c>
      <x:c r="D49" s="21" t="str">
        <x:v>neutral</x:v>
      </x:c>
      <x:c r="E49" s="23" t="n">
        <x:v>0.8756129145622253</x:v>
      </x:c>
      <x:c r="F49" s="21" t="str">
        <x:v>buffett wants to buy huge business</x:v>
      </x:c>
      <x:c r="G49" s="21" t="str">
        <x:v>Buffett büyük bir şirket satın almak istiyor</x:v>
      </x:c>
      <x:c r="H49" s="21" t="str">
        <x:v>positive</x:v>
      </x:c>
      <x:c r="I49" s="21" t="n">
        <x:f>IF(H49="negative",-1,IF(H49="neutral",0,IF(H49="positive",1,"")))</x:f>
        <x:v>1</x:v>
      </x:c>
      <x:c r="J49" s="24" t="n">
        <x:v>0.6</x:v>
      </x:c>
      <x:c r="K49" s="21" t="str">
        <x:v>Büyük satın alma isteği potansiyel yatırım ve büyüme iştahı gösterir; detay az olduğu için güven orta.</x:v>
      </x:c>
      <x:c r="L49" s="21" t="str">
        <x:f>IF(D49=H49,"same","different")</x:f>
        <x:v>different</x:v>
      </x:c>
      <x:c r="M49" s="21" t="str">
        <x:v>Review: FinBERT=neutral, ChatGPT=positive. Büyük satın alma isteği potansiyel yatırım ve büyüme iştahı gösterir; detay az olduğu için güven orta.</x:v>
      </x:c>
    </x:row>
    <x:row r="50" ht="54" customHeight="1">
      <x:c r="A50" s="21" t="str">
        <x:v>REUTERS_ANN_00299</x:v>
      </x:c>
      <x:c r="B50" s="22" t="n">
        <x:v>39182</x:v>
      </x:c>
      <x:c r="C50" s="21" t="n">
        <x:v>1</x:v>
      </x:c>
      <x:c r="D50" s="21" t="str">
        <x:v>positive</x:v>
      </x:c>
      <x:c r="E50" s="23" t="n">
        <x:v>0.6717403531074524</x:v>
      </x:c>
      <x:c r="F50" s="21" t="str">
        <x:v>bertelsmann buys rest of bookspan from time inc</x:v>
      </x:c>
      <x:c r="G50" s="21" t="str">
        <x:v>Bertelsmann, Bookspan’ın kalanını Time Inc.’den satın aldı</x:v>
      </x:c>
      <x:c r="H50" s="21" t="str">
        <x:v>positive</x:v>
      </x:c>
      <x:c r="I50" s="21" t="n">
        <x:f>IF(H50="negative",-1,IF(H50="neutral",0,IF(H50="positive",1,"")))</x:f>
        <x:v>1</x:v>
      </x:c>
      <x:c r="J50" s="24" t="n">
        <x:v>0.62</x:v>
      </x:c>
      <x:c r="K50" s="21" t="str">
        <x:v>Kalan payın satın alınması sahiplik ve stratejik kontrolü artırdığı için hafif olumlu.</x:v>
      </x:c>
      <x:c r="L50" s="21" t="str">
        <x:f>IF(D50=H50,"same","different")</x:f>
        <x:v>same</x:v>
      </x:c>
      <x:c r="M50" s="21" t="str">
        <x:v>FinBERT etiketi ChatGPT etiketiyle aynı.</x:v>
      </x:c>
    </x:row>
    <x:row r="51" ht="54" customHeight="1">
      <x:c r="A51" s="21" t="str">
        <x:v>REUTERS_ANN_00300</x:v>
      </x:c>
      <x:c r="B51" s="22" t="n">
        <x:v>39105</x:v>
      </x:c>
      <x:c r="C51" s="21" t="n">
        <x:v>-1</x:v>
      </x:c>
      <x:c r="D51" s="21" t="str">
        <x:v>negative</x:v>
      </x:c>
      <x:c r="E51" s="23" t="n">
        <x:v>0.973859429359436</x:v>
      </x:c>
      <x:c r="F51" s="21" t="str">
        <x:v>lg elec posts loss on screens, outlook tough</x:v>
      </x:c>
      <x:c r="G51" s="21" t="str">
        <x:v>LG Electronics ekran birimi nedeniyle zarar açıkladı, görünüm zorlu</x:v>
      </x:c>
      <x:c r="H51" s="21" t="str">
        <x:v>negative</x:v>
      </x:c>
      <x:c r="I51" s="21" t="n">
        <x:f>IF(H51="negative",-1,IF(H51="neutral",0,IF(H51="positive",1,"")))</x:f>
        <x:v>-1</x:v>
      </x:c>
      <x:c r="J51" s="24" t="n">
        <x:v>0.94</x:v>
      </x:c>
      <x:c r="K51" s="21" t="str">
        <x:v>Zarar açıklaması ve zorlu görünüm şirket açısından güçlü olumsuz sinyal.</x:v>
      </x:c>
      <x:c r="L51" s="21" t="str">
        <x:f>IF(D51=H51,"same","different")</x:f>
        <x:v>same</x:v>
      </x:c>
      <x:c r="M51" s="21" t="str">
        <x:v>FinBERT etiketi ChatGPT etiketiyle aynı.</x:v>
      </x:c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L2:L51">
    <x:cfRule type="expression" dxfId="3" priority="4">
      <x:formula>L2="different"</x:formula>
    </x:cfRule>
    <x:cfRule type="expression" dxfId="4" priority="5">
      <x:formula>L2="same"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1f51788ce24e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4" max="4" width="18" hidden="0" customWidth="1"/>
    <x:col min="5" max="5" width="18" hidden="0" customWidth="1"/>
  </x:cols>
  <x:sheetData>
    <x:row r="1">
      <x:c r="A1" s="42" t="str">
        <x:v>REUTERS ANNOTATION BATCH 006</x:v>
      </x:c>
      <x:c r="B1" s="42" t="str"/>
    </x:row>
    <x:row r="2">
      <x:c r="A2" s="21" t="str">
        <x:v>Rows</x:v>
      </x:c>
      <x:c r="B2" s="21" t="str">
        <x:v>250 - 299</x:v>
      </x:c>
      <x:c r="D2" s="5" t="str">
        <x:v>ChatGPT label</x:v>
      </x:c>
      <x:c r="E2" s="5" t="str">
        <x:v>Count</x:v>
      </x:c>
    </x:row>
    <x:row r="3">
      <x:c r="A3" s="43" t="str">
        <x:v>Total rows</x:v>
      </x:c>
      <x:c r="B3" s="21" t="n">
        <x:f>COUNTA(Annotations!A2:A51)</x:f>
        <x:v>50</x:v>
      </x:c>
      <x:c r="D3" t="str">
        <x:v>positive</x:v>
      </x:c>
      <x:c r="E3" t="n">
        <x:f>COUNTIF(Annotations!H:H,D3)</x:f>
        <x:v>16</x:v>
      </x:c>
    </x:row>
    <x:row r="4">
      <x:c r="A4" s="43" t="str">
        <x:v>ChatGPT positive</x:v>
      </x:c>
      <x:c r="B4" s="21" t="n">
        <x:f>COUNTIF(Annotations!H:H,"positive")</x:f>
        <x:v>16</x:v>
      </x:c>
      <x:c r="D4" t="str">
        <x:v>neutral</x:v>
      </x:c>
      <x:c r="E4" t="n">
        <x:f>COUNTIF(Annotations!H:H,D4)</x:f>
        <x:v>14</x:v>
      </x:c>
    </x:row>
    <x:row r="5">
      <x:c r="A5" s="43" t="str">
        <x:v>ChatGPT neutral</x:v>
      </x:c>
      <x:c r="B5" s="21" t="n">
        <x:f>COUNTIF(Annotations!H:H,"neutral")</x:f>
        <x:v>14</x:v>
      </x:c>
      <x:c r="D5" t="str">
        <x:v>negative</x:v>
      </x:c>
      <x:c r="E5" t="n">
        <x:f>COUNTIF(Annotations!H:H,D5)</x:f>
        <x:v>20</x:v>
      </x:c>
    </x:row>
    <x:row r="6">
      <x:c r="A6" s="43" t="str">
        <x:v>ChatGPT negative</x:v>
      </x:c>
      <x:c r="B6" s="21" t="n">
        <x:f>COUNTIF(Annotations!H:H,"negative")</x:f>
        <x:v>20</x:v>
      </x:c>
    </x:row>
    <x:row r="7">
      <x:c r="A7" s="43" t="str">
        <x:v>FinBERT same</x:v>
      </x:c>
      <x:c r="B7" s="21" t="n">
        <x:f>COUNTIF(Annotations!L:L,"same")</x:f>
        <x:v>40</x:v>
      </x:c>
    </x:row>
    <x:row r="8">
      <x:c r="A8" s="43" t="str">
        <x:v>FinBERT different</x:v>
      </x:c>
      <x:c r="B8" s="21" t="n">
        <x:f>COUNTIF(Annotations!L:L,"different")</x:f>
        <x:v>10</x:v>
      </x:c>
    </x:row>
    <x:row r="9">
      <x:c r="A9" s="21" t="str">
        <x:v>Source file</x:v>
      </x:c>
      <x:c r="B9" s="21" t="str">
        <x:v>Pasted text(43).txt / REUTERS ANNOTATION BATCH 006</x:v>
      </x:c>
    </x:row>
    <x:row r="10">
      <x:c r="A10" s="21" t="str">
        <x:v>Notes</x:v>
      </x:c>
      <x:c r="B10" s="21" t="str">
        <x:v>ChatGPT labels are manual headline-level financial sentiment annotations.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61457e7d25c24108"/>
</x:worksheet>
</file>