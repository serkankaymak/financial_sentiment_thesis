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aba079c3b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49c5f91999b470e"/>
    <x:sheet xmlns:r="http://schemas.openxmlformats.org/officeDocument/2006/relationships" name="summary" sheetId="2" r:id="R960c9dbf9c5a4bc4"/>
    <x:sheet xmlns:r="http://schemas.openxmlformats.org/officeDocument/2006/relationships" name="labeling_notes" sheetId="3" r:id="R1159a1e5e446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24dc601034626" /><Relationship Type="http://schemas.openxmlformats.org/officeDocument/2006/relationships/theme" Target="/xl/theme/theme1.xml" Id="Rb12104abafd34567" /><Relationship Type="http://schemas.openxmlformats.org/officeDocument/2006/relationships/sharedStrings" Target="/xl/sharedStrings.xml" Id="Rb9f970905dbd485e" /><Relationship Type="http://schemas.openxmlformats.org/officeDocument/2006/relationships/worksheet" Target="/xl/worksheets/sheet1.xml" Id="Rd49c5f91999b470e" /><Relationship Type="http://schemas.openxmlformats.org/officeDocument/2006/relationships/worksheet" Target="/xl/worksheets/sheet2.xml" Id="R960c9dbf9c5a4bc4" /><Relationship Type="http://schemas.openxmlformats.org/officeDocument/2006/relationships/worksheet" Target="/xl/worksheets/sheet3.xml" Id="R1159a1e5e446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31e93f91334d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ChatGPT Label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'summary'!$B$6:$B$8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31e93f91334d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utersBatch025Table" displayName="ReutersBatch025Table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finbert_match"/>
    <x:tableColumn id="12" name="review_needed"/>
    <x:tableColumn id="13" name="chatgpt_reason_t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622f91f76f47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462659272b400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48" hidden="0" customWidth="1"/>
    <x:col min="4" max="4" width="48" hidden="0" customWidth="1"/>
    <x:col min="5" max="5" width="12" hidden="0" customWidth="1"/>
    <x:col min="6" max="6" width="14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58" hidden="0" customWidth="1"/>
  </x:cols>
  <x:sheetData>
    <x:row r="1" ht="28" customHeight="1">
      <x:c r="A1" s="6" t="str">
        <x:v>annotation_id</x:v>
      </x:c>
      <x:c r="B1" s="6" t="str">
        <x:v>date</x:v>
      </x:c>
      <x:c r="C1" s="6" t="str">
        <x:v>text_en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chatgpt_score</x:v>
      </x:c>
      <x:c r="I1" s="6" t="str">
        <x:v>chatgpt_label</x:v>
      </x:c>
      <x:c r="J1" s="6" t="str">
        <x:v>chatgpt_confidence</x:v>
      </x:c>
      <x:c r="K1" s="6" t="str">
        <x:v>finbert_match</x:v>
      </x:c>
      <x:c r="L1" s="6" t="str">
        <x:v>review_needed</x:v>
      </x:c>
      <x:c r="M1" s="6" t="str">
        <x:v>chatgpt_reason_tr</x:v>
      </x:c>
    </x:row>
    <x:row r="2">
      <x:c r="A2" s="14" t="str">
        <x:v>REUTERS_ANN_01201</x:v>
      </x:c>
      <x:c r="B2" s="16" t="n">
        <x:v>39049</x:v>
      </x:c>
      <x:c r="C2" s="14" t="str">
        <x:v>gold falls 1 pct, focus on bernanke address</x:v>
      </x:c>
      <x:c r="D2" s="14" t="str">
        <x:v>Altın yüzde 1 düştü; odak Bernanke’nin konuşmasında.</x:v>
      </x:c>
      <x:c r="E2" s="14" t="n">
        <x:v>-1</x:v>
      </x:c>
      <x:c r="F2" s="14" t="str">
        <x:v>negative</x:v>
      </x:c>
      <x:c r="G2" s="18" t="n">
        <x:v>0.957942008972168</x:v>
      </x:c>
      <x:c r="H2" s="14" t="n">
        <x:v>-1</x:v>
      </x:c>
      <x:c r="I2" s="14" t="str">
        <x:v>negative</x:v>
      </x:c>
      <x:c r="J2" s="20" t="n">
        <x:v>0.91</x:v>
      </x:c>
      <x:c r="K2" s="14" t="str">
        <x:f>IF(F2=I2,"same","different")</x:f>
        <x:v>same</x:v>
      </x:c>
      <x:c r="L2" s="14" t="str">
        <x:f>IF(K2="different","review","")</x:f>
      </x:c>
      <x:c r="M2" s="14" t="str">
        <x:v>Altın fiyatındaki belirgin düşüş piyasa/emtia açısından olumsuz sinyal veriyor.</x:v>
      </x:c>
    </x:row>
    <x:row r="3">
      <x:c r="A3" s="14" t="str">
        <x:v>REUTERS_ANN_01202</x:v>
      </x:c>
      <x:c r="B3" s="16" t="n">
        <x:v>39063</x:v>
      </x:c>
      <x:c r="C3" s="14" t="str">
        <x:v>qantas takeover offer seen as early as wednesday</x:v>
      </x:c>
      <x:c r="D3" s="14" t="str">
        <x:v>Qantas için devralma teklifinin çarşamba kadar erken gelebileceği görülüyor.</x:v>
      </x:c>
      <x:c r="E3" s="14" t="n">
        <x:v>0</x:v>
      </x:c>
      <x:c r="F3" s="14" t="str">
        <x:v>neutral</x:v>
      </x:c>
      <x:c r="G3" s="18" t="n">
        <x:v>0.852144181728363</x:v>
      </x:c>
      <x:c r="H3" s="14" t="n">
        <x:v>0</x:v>
      </x:c>
      <x:c r="I3" s="14" t="str">
        <x:v>neutral</x:v>
      </x:c>
      <x:c r="J3" s="20" t="n">
        <x:v>0.72</x:v>
      </x:c>
      <x:c r="K3" s="14" t="str">
        <x:f>IF(F3=I3,"same","different")</x:f>
        <x:v>same</x:v>
      </x:c>
      <x:c r="L3" s="14" t="str">
        <x:f>IF(K3="different","review","")</x:f>
      </x:c>
      <x:c r="M3" s="14" t="str">
        <x:v>Teklif beklentisi var ancak kesinleşmiş finansal etki veya fiyat tepkisi belirtilmiyor.</x:v>
      </x:c>
    </x:row>
    <x:row r="4">
      <x:c r="A4" s="14" t="str">
        <x:v>REUTERS_ANN_01203</x:v>
      </x:c>
      <x:c r="B4" s="16" t="n">
        <x:v>39162</x:v>
      </x:c>
      <x:c r="C4" s="14" t="str">
        <x:v>morgan stanley wins reversal of $1.58 bln award</x:v>
      </x:c>
      <x:c r="D4" s="14" t="str">
        <x:v>Morgan Stanley, 1,58 milyar dolarlık tazminat kararının bozulmasını sağladı.</x:v>
      </x:c>
      <x:c r="E4" s="14" t="n">
        <x:v>1</x:v>
      </x:c>
      <x:c r="F4" s="14" t="str">
        <x:v>positive</x:v>
      </x:c>
      <x:c r="G4" s="18" t="n">
        <x:v>0.6443402767181396</x:v>
      </x:c>
      <x:c r="H4" s="14" t="n">
        <x:v>1</x:v>
      </x:c>
      <x:c r="I4" s="14" t="str">
        <x:v>positive</x:v>
      </x:c>
      <x:c r="J4" s="20" t="n">
        <x:v>0.9</x:v>
      </x:c>
      <x:c r="K4" s="14" t="str">
        <x:f>IF(F4=I4,"same","different")</x:f>
        <x:v>same</x:v>
      </x:c>
      <x:c r="L4" s="14" t="str">
        <x:f>IF(K4="different","review","")</x:f>
      </x:c>
      <x:c r="M4" s="14" t="str">
        <x:v>Büyük bir aleyhte kararın bozulması şirket için hukuki ve finansal açıdan olumlu.</x:v>
      </x:c>
    </x:row>
    <x:row r="5">
      <x:c r="A5" s="14" t="str">
        <x:v>REUTERS_ANN_01204</x:v>
      </x:c>
      <x:c r="B5" s="16" t="n">
        <x:v>39104</x:v>
      </x:c>
      <x:c r="C5" s="14" t="str">
        <x:v>hyundai motor seen down on firm won, weak sales</x:v>
      </x:c>
      <x:c r="D5" s="14" t="str">
        <x:v>Hyundai Motor’un güçlü won ve zayıf satışlar nedeniyle düşmesi bekleniyor.</x:v>
      </x:c>
      <x:c r="E5" s="14" t="n">
        <x:v>-1</x:v>
      </x:c>
      <x:c r="F5" s="14" t="str">
        <x:v>negative</x:v>
      </x:c>
      <x:c r="G5" s="18" t="n">
        <x:v>0.9649202823638916</x:v>
      </x:c>
      <x:c r="H5" s="14" t="n">
        <x:v>-1</x:v>
      </x:c>
      <x:c r="I5" s="14" t="str">
        <x:v>negative</x:v>
      </x:c>
      <x:c r="J5" s="20" t="n">
        <x:v>0.93</x:v>
      </x:c>
      <x:c r="K5" s="14" t="str">
        <x:f>IF(F5=I5,"same","different")</x:f>
        <x:v>same</x:v>
      </x:c>
      <x:c r="L5" s="14" t="str">
        <x:f>IF(K5="different","review","")</x:f>
      </x:c>
      <x:c r="M5" s="14" t="str">
        <x:v>Zayıf satış ve kur baskısı şirket hisseleri/kârlılığı için olumsuz.</x:v>
      </x:c>
    </x:row>
    <x:row r="6">
      <x:c r="A6" s="14" t="str">
        <x:v>REUTERS_ANN_01205</x:v>
      </x:c>
      <x:c r="B6" s="16" t="n">
        <x:v>39122</x:v>
      </x:c>
      <x:c r="C6" s="14" t="str">
        <x:v>factbox-u.s. fed policymakers recent comments</x:v>
      </x:c>
      <x:c r="D6" s="14" t="str">
        <x:v>Bilgi kutusu: ABD Fed politika yapıcılarının son yorumları.</x:v>
      </x:c>
      <x:c r="E6" s="14" t="n">
        <x:v>0</x:v>
      </x:c>
      <x:c r="F6" s="14" t="str">
        <x:v>neutral</x:v>
      </x:c>
      <x:c r="G6" s="18" t="n">
        <x:v>0.8782010674476624</x:v>
      </x:c>
      <x:c r="H6" s="14" t="n">
        <x:v>0</x:v>
      </x:c>
      <x:c r="I6" s="14" t="str">
        <x:v>neutral</x:v>
      </x:c>
      <x:c r="J6" s="20" t="n">
        <x:v>0.94</x:v>
      </x:c>
      <x:c r="K6" s="14" t="str">
        <x:f>IF(F6=I6,"same","different")</x:f>
        <x:v>same</x:v>
      </x:c>
      <x:c r="L6" s="14" t="str">
        <x:f>IF(K6="different","review","")</x:f>
      </x:c>
      <x:c r="M6" s="14" t="str">
        <x:v>Bilgi kutusu niteliğinde; doğrudan pozitif veya negatif şirket/piyasa sonucu yok.</x:v>
      </x:c>
    </x:row>
    <x:row r="7">
      <x:c r="A7" s="14" t="str">
        <x:v>REUTERS_ANN_01206</x:v>
      </x:c>
      <x:c r="B7" s="16" t="n">
        <x:v>39162</x:v>
      </x:c>
      <x:c r="C7" s="14" t="str">
        <x:v>colombia may seek chiquita execs on militia payoffs</x:v>
      </x:c>
      <x:c r="D7" s="14" t="str">
        <x:v>Kolombiya, milis ödemeleri nedeniyle Chiquita yöneticilerini isteyebilir.</x:v>
      </x:c>
      <x:c r="E7" s="14" t="n">
        <x:v>-1</x:v>
      </x:c>
      <x:c r="F7" s="14" t="str">
        <x:v>negative</x:v>
      </x:c>
      <x:c r="G7" s="18" t="n">
        <x:v>0.849930465221405</x:v>
      </x:c>
      <x:c r="H7" s="14" t="n">
        <x:v>-1</x:v>
      </x:c>
      <x:c r="I7" s="14" t="str">
        <x:v>negative</x:v>
      </x:c>
      <x:c r="J7" s="20" t="n">
        <x:v>0.88</x:v>
      </x:c>
      <x:c r="K7" s="14" t="str">
        <x:f>IF(F7=I7,"same","different")</x:f>
        <x:v>same</x:v>
      </x:c>
      <x:c r="L7" s="14" t="str">
        <x:f>IF(K7="different","review","")</x:f>
      </x:c>
      <x:c r="M7" s="14" t="str">
        <x:v>Olası hukuki işlem ve milis ödemesi iddiası şirket için risk ve itibar baskısı yaratıyor.</x:v>
      </x:c>
    </x:row>
    <x:row r="8">
      <x:c r="A8" s="14" t="str">
        <x:v>REUTERS_ANN_01207</x:v>
      </x:c>
      <x:c r="B8" s="16" t="n">
        <x:v>39081</x:v>
      </x:c>
      <x:c r="C8" s="14" t="str">
        <x:v>belarus says nears russian gas deal, gazprom denies</x:v>
      </x:c>
      <x:c r="D8" s="14" t="str">
        <x:v>Belarus, Rusya ile gaz anlaşmasına yaklaştığını söylerken Gazprom bunu reddetti.</x:v>
      </x:c>
      <x:c r="E8" s="14" t="n">
        <x:v>-1</x:v>
      </x:c>
      <x:c r="F8" s="14" t="str">
        <x:v>negative</x:v>
      </x:c>
      <x:c r="G8" s="18" t="n">
        <x:v>0.8826339840888977</x:v>
      </x:c>
      <x:c r="H8" s="14" t="n">
        <x:v>0</x:v>
      </x:c>
      <x:c r="I8" s="14" t="str">
        <x:v>neutral</x:v>
      </x:c>
      <x:c r="J8" s="20" t="n">
        <x:v>0.68</x:v>
      </x:c>
      <x:c r="K8" s="14" t="str">
        <x:f>IF(F8=I8,"same","different")</x:f>
        <x:v>different</x:v>
      </x:c>
      <x:c r="L8" s="14" t="str">
        <x:f>IF(K8="different","review","")</x:f>
        <x:v>review</x:v>
      </x:c>
      <x:c r="M8" s="14" t="str">
        <x:v>Anlaşma iddiası ve reddi birlikte belirsizlik yaratıyor; net finansal yön yok.</x:v>
      </x:c>
    </x:row>
    <x:row r="9">
      <x:c r="A9" s="14" t="str">
        <x:v>REUTERS_ANN_01208</x:v>
      </x:c>
      <x:c r="B9" s="16" t="n">
        <x:v>39163</x:v>
      </x:c>
      <x:c r="C9" s="14" t="str">
        <x:v>total chief remains in custody until friday</x:v>
      </x:c>
      <x:c r="D9" s="14" t="str">
        <x:v>Total’in başkanı cuma gününe kadar gözaltında kalacak.</x:v>
      </x:c>
      <x:c r="E9" s="14" t="n">
        <x:v>-1</x:v>
      </x:c>
      <x:c r="F9" s="14" t="str">
        <x:v>negative</x:v>
      </x:c>
      <x:c r="G9" s="18" t="n">
        <x:v>0.5876287221908569</x:v>
      </x:c>
      <x:c r="H9" s="14" t="n">
        <x:v>-1</x:v>
      </x:c>
      <x:c r="I9" s="14" t="str">
        <x:v>negative</x:v>
      </x:c>
      <x:c r="J9" s="20" t="n">
        <x:v>0.86</x:v>
      </x:c>
      <x:c r="K9" s="14" t="str">
        <x:f>IF(F9=I9,"same","different")</x:f>
        <x:v>same</x:v>
      </x:c>
      <x:c r="L9" s="14" t="str">
        <x:f>IF(K9="different","review","")</x:f>
      </x:c>
      <x:c r="M9" s="14" t="str">
        <x:v>Üst düzey yöneticinin gözaltında kalması şirket için hukuki ve itibar riski.</x:v>
      </x:c>
    </x:row>
    <x:row r="10">
      <x:c r="A10" s="14" t="str">
        <x:v>REUTERS_ANN_01209</x:v>
      </x:c>
      <x:c r="B10" s="16" t="n">
        <x:v>39094</x:v>
      </x:c>
      <x:c r="C10" s="14" t="str">
        <x:v>u.s. investigates options grant to apple ceo wsj</x:v>
      </x:c>
      <x:c r="D10" s="14" t="str">
        <x:v>ABD, Apple CEO’suna verilen opsiyon hibesini soruşturuyor.</x:v>
      </x:c>
      <x:c r="E10" s="14" t="n">
        <x:v>-1</x:v>
      </x:c>
      <x:c r="F10" s="14" t="str">
        <x:v>negative</x:v>
      </x:c>
      <x:c r="G10" s="18" t="n">
        <x:v>0.971019446849823</x:v>
      </x:c>
      <x:c r="H10" s="14" t="n">
        <x:v>-1</x:v>
      </x:c>
      <x:c r="I10" s="14" t="str">
        <x:v>negative</x:v>
      </x:c>
      <x:c r="J10" s="20" t="n">
        <x:v>0.93</x:v>
      </x:c>
      <x:c r="K10" s="14" t="str">
        <x:f>IF(F10=I10,"same","different")</x:f>
        <x:v>same</x:v>
      </x:c>
      <x:c r="L10" s="14" t="str">
        <x:f>IF(K10="different","review","")</x:f>
      </x:c>
      <x:c r="M10" s="14" t="str">
        <x:v>Soruşturma ve opsiyon skandalı ihtimali şirket yönetişimi açısından olumsuz.</x:v>
      </x:c>
    </x:row>
    <x:row r="11">
      <x:c r="A11" s="14" t="str">
        <x:v>REUTERS_ANN_01210</x:v>
      </x:c>
      <x:c r="B11" s="16" t="n">
        <x:v>39040</x:v>
      </x:c>
      <x:c r="C11" s="14" t="str">
        <x:v>g20 communique calls for inflation vigilance</x:v>
      </x:c>
      <x:c r="D11" s="14" t="str">
        <x:v>G20 bildirisi enflasyona karşı dikkatli olunması çağrısı yaptı.</x:v>
      </x:c>
      <x:c r="E11" s="14" t="n">
        <x:v>0</x:v>
      </x:c>
      <x:c r="F11" s="14" t="str">
        <x:v>neutral</x:v>
      </x:c>
      <x:c r="G11" s="18" t="n">
        <x:v>0.7614028453826904</x:v>
      </x:c>
      <x:c r="H11" s="14" t="n">
        <x:v>0</x:v>
      </x:c>
      <x:c r="I11" s="14" t="str">
        <x:v>neutral</x:v>
      </x:c>
      <x:c r="J11" s="20" t="n">
        <x:v>0.82</x:v>
      </x:c>
      <x:c r="K11" s="14" t="str">
        <x:f>IF(F11=I11,"same","different")</x:f>
        <x:v>same</x:v>
      </x:c>
      <x:c r="L11" s="14" t="str">
        <x:f>IF(K11="different","review","")</x:f>
      </x:c>
      <x:c r="M11" s="14" t="str">
        <x:v>Makro politika uyarısı; doğrudan tek yönlü piyasa etkisi net değil.</x:v>
      </x:c>
    </x:row>
    <x:row r="12">
      <x:c r="A12" s="14" t="str">
        <x:v>REUTERS_ANN_01211</x:v>
      </x:c>
      <x:c r="B12" s="16" t="n">
        <x:v>39168</x:v>
      </x:c>
      <x:c r="C12" s="14" t="str">
        <x:v>illinois jury reaches verdict in merck vioxx case</x:v>
      </x:c>
      <x:c r="D12" s="14" t="str">
        <x:v>Illinois jürisi Merck Vioxx davasında karara ulaştı.</x:v>
      </x:c>
      <x:c r="E12" s="14" t="n">
        <x:v>0</x:v>
      </x:c>
      <x:c r="F12" s="14" t="str">
        <x:v>neutral</x:v>
      </x:c>
      <x:c r="G12" s="18" t="n">
        <x:v>0.5075624585151672</x:v>
      </x:c>
      <x:c r="H12" s="14" t="n">
        <x:v>0</x:v>
      </x:c>
      <x:c r="I12" s="14" t="str">
        <x:v>neutral</x:v>
      </x:c>
      <x:c r="J12" s="20" t="n">
        <x:v>0.7</x:v>
      </x:c>
      <x:c r="K12" s="14" t="str">
        <x:f>IF(F12=I12,"same","different")</x:f>
        <x:v>same</x:v>
      </x:c>
      <x:c r="L12" s="14" t="str">
        <x:f>IF(K12="different","review","")</x:f>
      </x:c>
      <x:c r="M12" s="14" t="str">
        <x:v>Kararın sonucu başlıkta belirtilmediği için finansal yön belirsiz.</x:v>
      </x:c>
    </x:row>
    <x:row r="13">
      <x:c r="A13" s="14" t="str">
        <x:v>REUTERS_ANN_01212</x:v>
      </x:c>
      <x:c r="B13" s="16" t="n">
        <x:v>39153</x:v>
      </x:c>
      <x:c r="C13" s="14" t="str">
        <x:v>new century on bankruptcys doorstep</x:v>
      </x:c>
      <x:c r="D13" s="14" t="str">
        <x:v>New Century iflasın eşiğinde.</x:v>
      </x:c>
      <x:c r="E13" s="14" t="n">
        <x:v>-1</x:v>
      </x:c>
      <x:c r="F13" s="14" t="str">
        <x:v>negative</x:v>
      </x:c>
      <x:c r="G13" s="18" t="n">
        <x:v>0.964798092842102</x:v>
      </x:c>
      <x:c r="H13" s="14" t="n">
        <x:v>-1</x:v>
      </x:c>
      <x:c r="I13" s="14" t="str">
        <x:v>negative</x:v>
      </x:c>
      <x:c r="J13" s="20" t="n">
        <x:v>0.97</x:v>
      </x:c>
      <x:c r="K13" s="14" t="str">
        <x:f>IF(F13=I13,"same","different")</x:f>
        <x:v>same</x:v>
      </x:c>
      <x:c r="L13" s="14" t="str">
        <x:f>IF(K13="different","review","")</x:f>
      </x:c>
      <x:c r="M13" s="14" t="str">
        <x:v>İflas riski şirket ve kredi piyasası açısından açık biçimde olumsuz.</x:v>
      </x:c>
    </x:row>
    <x:row r="14">
      <x:c r="A14" s="14" t="str">
        <x:v>REUTERS_ANN_01213</x:v>
      </x:c>
      <x:c r="B14" s="16" t="n">
        <x:v>39139</x:v>
      </x:c>
      <x:c r="C14" s="14" t="str">
        <x:v>ceradyne profit doubles on armor sales, shares rise</x:v>
      </x:c>
      <x:c r="D14" s="14" t="str">
        <x:v>Ceradyne’in kârı zırh satışlarıyla ikiye katlandı, hisseler yükseldi.</x:v>
      </x:c>
      <x:c r="E14" s="14" t="n">
        <x:v>1</x:v>
      </x:c>
      <x:c r="F14" s="14" t="str">
        <x:v>positive</x:v>
      </x:c>
      <x:c r="G14" s="18" t="n">
        <x:v>0.9487298727035522</x:v>
      </x:c>
      <x:c r="H14" s="14" t="n">
        <x:v>1</x:v>
      </x:c>
      <x:c r="I14" s="14" t="str">
        <x:v>positive</x:v>
      </x:c>
      <x:c r="J14" s="20" t="n">
        <x:v>0.96</x:v>
      </x:c>
      <x:c r="K14" s="14" t="str">
        <x:f>IF(F14=I14,"same","different")</x:f>
        <x:v>same</x:v>
      </x:c>
      <x:c r="L14" s="14" t="str">
        <x:f>IF(K14="different","review","")</x:f>
      </x:c>
      <x:c r="M14" s="14" t="str">
        <x:v>Kârın ikiye katlanması ve hisse yükselişi güçlü olumlu sinyal.</x:v>
      </x:c>
    </x:row>
    <x:row r="15">
      <x:c r="A15" s="14" t="str">
        <x:v>REUTERS_ANN_01214</x:v>
      </x:c>
      <x:c r="B15" s="16" t="n">
        <x:v>39079</x:v>
      </x:c>
      <x:c r="C15" s="14" t="str">
        <x:v>general dynamics gets antitrust nod for snc deal</x:v>
      </x:c>
      <x:c r="D15" s="14" t="str">
        <x:v>General Dynamics, SNC anlaşması için antitröst onayı aldı.</x:v>
      </x:c>
      <x:c r="E15" s="14" t="n">
        <x:v>1</x:v>
      </x:c>
      <x:c r="F15" s="14" t="str">
        <x:v>positive</x:v>
      </x:c>
      <x:c r="G15" s="18" t="n">
        <x:v>0.5372093319892883</x:v>
      </x:c>
      <x:c r="H15" s="14" t="n">
        <x:v>1</x:v>
      </x:c>
      <x:c r="I15" s="14" t="str">
        <x:v>positive</x:v>
      </x:c>
      <x:c r="J15" s="20" t="n">
        <x:v>0.86</x:v>
      </x:c>
      <x:c r="K15" s="14" t="str">
        <x:f>IF(F15=I15,"same","different")</x:f>
        <x:v>same</x:v>
      </x:c>
      <x:c r="L15" s="14" t="str">
        <x:f>IF(K15="different","review","")</x:f>
      </x:c>
      <x:c r="M15" s="14" t="str">
        <x:v>Düzenleyici onay anlaşmanın ilerlemesini sağladığı için olumlu.</x:v>
      </x:c>
    </x:row>
    <x:row r="16">
      <x:c r="A16" s="14" t="str">
        <x:v>REUTERS_ANN_01215</x:v>
      </x:c>
      <x:c r="B16" s="16" t="n">
        <x:v>39135</x:v>
      </x:c>
      <x:c r="C16" s="14" t="str">
        <x:v>officemax posts profit vs. loss</x:v>
      </x:c>
      <x:c r="D16" s="14" t="str">
        <x:v>OfficeMax zarar yerine kâr açıkladı.</x:v>
      </x:c>
      <x:c r="E16" s="14" t="n">
        <x:v>1</x:v>
      </x:c>
      <x:c r="F16" s="14" t="str">
        <x:v>positive</x:v>
      </x:c>
      <x:c r="G16" s="18" t="n">
        <x:v>0.9091015458106996</x:v>
      </x:c>
      <x:c r="H16" s="14" t="n">
        <x:v>1</x:v>
      </x:c>
      <x:c r="I16" s="14" t="str">
        <x:v>positive</x:v>
      </x:c>
      <x:c r="J16" s="20" t="n">
        <x:v>0.94</x:v>
      </x:c>
      <x:c r="K16" s="14" t="str">
        <x:f>IF(F16=I16,"same","different")</x:f>
        <x:v>same</x:v>
      </x:c>
      <x:c r="L16" s="14" t="str">
        <x:f>IF(K16="different","review","")</x:f>
      </x:c>
      <x:c r="M16" s="14" t="str">
        <x:v>Zarardan kâra geçiş şirket performansı açısından olumlu.</x:v>
      </x:c>
    </x:row>
    <x:row r="17">
      <x:c r="A17" s="14" t="str">
        <x:v>REUTERS_ANN_01216</x:v>
      </x:c>
      <x:c r="B17" s="16" t="n">
        <x:v>39196</x:v>
      </x:c>
      <x:c r="C17" s="14" t="str">
        <x:v>vf corp. earnings top estimates, shares rise</x:v>
      </x:c>
      <x:c r="D17" s="14" t="str">
        <x:v>VF Corp’un kârı beklentileri aştı, hisseler yükseldi.</x:v>
      </x:c>
      <x:c r="E17" s="14" t="n">
        <x:v>1</x:v>
      </x:c>
      <x:c r="F17" s="14" t="str">
        <x:v>positive</x:v>
      </x:c>
      <x:c r="G17" s="18" t="n">
        <x:v>0.9523712396621704</x:v>
      </x:c>
      <x:c r="H17" s="14" t="n">
        <x:v>1</x:v>
      </x:c>
      <x:c r="I17" s="14" t="str">
        <x:v>positive</x:v>
      </x:c>
      <x:c r="J17" s="20" t="n">
        <x:v>0.96</x:v>
      </x:c>
      <x:c r="K17" s="14" t="str">
        <x:f>IF(F17=I17,"same","different")</x:f>
        <x:v>same</x:v>
      </x:c>
      <x:c r="L17" s="14" t="str">
        <x:f>IF(K17="different","review","")</x:f>
      </x:c>
      <x:c r="M17" s="14" t="str">
        <x:v>Beklenti üstü kâr ve hisse yükselişi güçlü olumlu sinyal.</x:v>
      </x:c>
    </x:row>
    <x:row r="18">
      <x:c r="A18" s="14" t="str">
        <x:v>REUTERS_ANN_01217</x:v>
      </x:c>
      <x:c r="B18" s="16" t="n">
        <x:v>39164</x:v>
      </x:c>
      <x:c r="C18" s="14" t="str">
        <x:v>td banknorth to cut 400 jobs, shut 24 branches</x:v>
      </x:c>
      <x:c r="D18" s="14" t="str">
        <x:v>TD Banknorth 400 kişiyi işten çıkaracak ve 24 şubeyi kapatacak.</x:v>
      </x:c>
      <x:c r="E18" s="14" t="n">
        <x:v>-1</x:v>
      </x:c>
      <x:c r="F18" s="14" t="str">
        <x:v>negative</x:v>
      </x:c>
      <x:c r="G18" s="18" t="n">
        <x:v>0.9694626331329346</x:v>
      </x:c>
      <x:c r="H18" s="14" t="n">
        <x:v>-1</x:v>
      </x:c>
      <x:c r="I18" s="14" t="str">
        <x:v>negative</x:v>
      </x:c>
      <x:c r="J18" s="20" t="n">
        <x:v>0.94</x:v>
      </x:c>
      <x:c r="K18" s="14" t="str">
        <x:f>IF(F18=I18,"same","different")</x:f>
        <x:v>same</x:v>
      </x:c>
      <x:c r="L18" s="14" t="str">
        <x:f>IF(K18="different","review","")</x:f>
      </x:c>
      <x:c r="M18" s="14" t="str">
        <x:v>İşten çıkarma ve şube kapatma yeniden yapılandırma baskısı ve maliyet sorunu gösteriyor.</x:v>
      </x:c>
    </x:row>
    <x:row r="19">
      <x:c r="A19" s="14" t="str">
        <x:v>REUTERS_ANN_01218</x:v>
      </x:c>
      <x:c r="B19" s="16" t="n">
        <x:v>39065</x:v>
      </x:c>
      <x:c r="C19" s="14" t="str">
        <x:v>costco quarterly profit up</x:v>
      </x:c>
      <x:c r="D19" s="14" t="str">
        <x:v>Costco’nun çeyreklik kârı arttı.</x:v>
      </x:c>
      <x:c r="E19" s="14" t="n">
        <x:v>1</x:v>
      </x:c>
      <x:c r="F19" s="14" t="str">
        <x:v>positive</x:v>
      </x:c>
      <x:c r="G19" s="18" t="n">
        <x:v>0.8789304494857788</x:v>
      </x:c>
      <x:c r="H19" s="14" t="n">
        <x:v>1</x:v>
      </x:c>
      <x:c r="I19" s="14" t="str">
        <x:v>positive</x:v>
      </x:c>
      <x:c r="J19" s="20" t="n">
        <x:v>0.95</x:v>
      </x:c>
      <x:c r="K19" s="14" t="str">
        <x:f>IF(F19=I19,"same","different")</x:f>
        <x:v>same</x:v>
      </x:c>
      <x:c r="L19" s="14" t="str">
        <x:f>IF(K19="different","review","")</x:f>
      </x:c>
      <x:c r="M19" s="14" t="str">
        <x:v>Kâr artışı doğrudan olumlu finansal performans sinyali.</x:v>
      </x:c>
    </x:row>
    <x:row r="20">
      <x:c r="A20" s="14" t="str">
        <x:v>REUTERS_ANN_01219</x:v>
      </x:c>
      <x:c r="B20" s="16" t="n">
        <x:v>39097</x:v>
      </x:c>
      <x:c r="C20" s="14" t="str">
        <x:v>aol deal for swedish online ad firm is opposed</x:v>
      </x:c>
      <x:c r="D20" s="14" t="str">
        <x:v>AOL’un İsveçli çevrim içi reklam şirketi için yaptığı anlaşmaya karşı çıkılıyor.</x:v>
      </x:c>
      <x:c r="E20" s="14" t="n">
        <x:v>-1</x:v>
      </x:c>
      <x:c r="F20" s="14" t="str">
        <x:v>negative</x:v>
      </x:c>
      <x:c r="G20" s="18" t="n">
        <x:v>0.9142370820045472</x:v>
      </x:c>
      <x:c r="H20" s="14" t="n">
        <x:v>-1</x:v>
      </x:c>
      <x:c r="I20" s="14" t="str">
        <x:v>negative</x:v>
      </x:c>
      <x:c r="J20" s="20" t="n">
        <x:v>0.82</x:v>
      </x:c>
      <x:c r="K20" s="14" t="str">
        <x:f>IF(F20=I20,"same","different")</x:f>
        <x:v>same</x:v>
      </x:c>
      <x:c r="L20" s="14" t="str">
        <x:f>IF(K20="different","review","")</x:f>
      </x:c>
      <x:c r="M20" s="14" t="str">
        <x:v>Anlaşmaya muhalefet işlem riskini artırıyor; bu nedenle olumsuz.</x:v>
      </x:c>
    </x:row>
    <x:row r="21">
      <x:c r="A21" s="14" t="str">
        <x:v>REUTERS_ANN_01220</x:v>
      </x:c>
      <x:c r="B21" s="16" t="n">
        <x:v>39162</x:v>
      </x:c>
      <x:c r="C21" s="14" t="str">
        <x:v>barclays, abn talks advance, some disposals seen</x:v>
      </x:c>
      <x:c r="D21" s="14" t="str">
        <x:v>Barclays ve ABN görüşmeleri ilerliyor; bazı satışlar bekleniyor.</x:v>
      </x:c>
      <x:c r="E21" s="14" t="n">
        <x:v>1</x:v>
      </x:c>
      <x:c r="F21" s="14" t="str">
        <x:v>positive</x:v>
      </x:c>
      <x:c r="G21" s="18" t="n">
        <x:v>0.9468181133270264</x:v>
      </x:c>
      <x:c r="H21" s="14" t="n">
        <x:v>1</x:v>
      </x:c>
      <x:c r="I21" s="14" t="str">
        <x:v>positive</x:v>
      </x:c>
      <x:c r="J21" s="20" t="n">
        <x:v>0.77</x:v>
      </x:c>
      <x:c r="K21" s="14" t="str">
        <x:f>IF(F21=I21,"same","different")</x:f>
        <x:v>same</x:v>
      </x:c>
      <x:c r="L21" s="14" t="str">
        <x:f>IF(K21="different","review","")</x:f>
      </x:c>
      <x:c r="M21" s="14" t="str">
        <x:v>Birleşme görüşmelerinin ilerlemesi işlem gerçekleşme olasılığını artırıyor; hafif olumlu.</x:v>
      </x:c>
    </x:row>
    <x:row r="22">
      <x:c r="A22" s="14" t="str">
        <x:v>REUTERS_ANN_01221</x:v>
      </x:c>
      <x:c r="B22" s="16" t="n">
        <x:v>39092</x:v>
      </x:c>
      <x:c r="C22" s="14" t="str">
        <x:v>alcoa execs see strong 2007 aluminum demand</x:v>
      </x:c>
      <x:c r="D22" s="14" t="str">
        <x:v>Alcoa yöneticileri 2007’de güçlü alüminyum talebi bekliyor.</x:v>
      </x:c>
      <x:c r="E22" s="14" t="n">
        <x:v>1</x:v>
      </x:c>
      <x:c r="F22" s="14" t="str">
        <x:v>positive</x:v>
      </x:c>
      <x:c r="G22" s="18" t="n">
        <x:v>0.9405147433280944</x:v>
      </x:c>
      <x:c r="H22" s="14" t="n">
        <x:v>1</x:v>
      </x:c>
      <x:c r="I22" s="14" t="str">
        <x:v>positive</x:v>
      </x:c>
      <x:c r="J22" s="20" t="n">
        <x:v>0.92</x:v>
      </x:c>
      <x:c r="K22" s="14" t="str">
        <x:f>IF(F22=I22,"same","different")</x:f>
        <x:v>same</x:v>
      </x:c>
      <x:c r="L22" s="14" t="str">
        <x:f>IF(K22="different","review","")</x:f>
      </x:c>
      <x:c r="M22" s="14" t="str">
        <x:v>Güçlü talep beklentisi sektör ve şirket gelirleri için olumlu.</x:v>
      </x:c>
    </x:row>
    <x:row r="23">
      <x:c r="A23" s="14" t="str">
        <x:v>REUTERS_ANN_01222</x:v>
      </x:c>
      <x:c r="B23" s="16" t="n">
        <x:v>39181</x:v>
      </x:c>
      <x:c r="C23" s="14" t="str">
        <x:v>qualcomm says upaid systems drops patent suits</x:v>
      </x:c>
      <x:c r="D23" s="14" t="str">
        <x:v>Qualcomm, Upaid Systems’ın patent davalarını düşürdüğünü söyledi.</x:v>
      </x:c>
      <x:c r="E23" s="14" t="n">
        <x:v>0</x:v>
      </x:c>
      <x:c r="F23" s="14" t="str">
        <x:v>neutral</x:v>
      </x:c>
      <x:c r="G23" s="18" t="n">
        <x:v>0.6463558673858643</x:v>
      </x:c>
      <x:c r="H23" s="14" t="n">
        <x:v>1</x:v>
      </x:c>
      <x:c r="I23" s="14" t="str">
        <x:v>positive</x:v>
      </x:c>
      <x:c r="J23" s="20" t="n">
        <x:v>0.87</x:v>
      </x:c>
      <x:c r="K23" s="14" t="str">
        <x:f>IF(F23=I23,"same","different")</x:f>
        <x:v>different</x:v>
      </x:c>
      <x:c r="L23" s="14" t="str">
        <x:f>IF(K23="different","review","")</x:f>
        <x:v>review</x:v>
      </x:c>
      <x:c r="M23" s="14" t="str">
        <x:v>Patent davalarının düşmesi hukuki riskin azalması anlamına gelir.</x:v>
      </x:c>
    </x:row>
    <x:row r="24">
      <x:c r="A24" s="14" t="str">
        <x:v>REUTERS_ANN_01223</x:v>
      </x:c>
      <x:c r="B24" s="16" t="n">
        <x:v>39177</x:v>
      </x:c>
      <x:c r="C24" s="14" t="str">
        <x:v>wall street rises with bid for chrysler</x:v>
      </x:c>
      <x:c r="D24" s="14" t="str">
        <x:v>Wall Street, Chrysler için gelen teklif ile yükseldi.</x:v>
      </x:c>
      <x:c r="E24" s="14" t="n">
        <x:v>1</x:v>
      </x:c>
      <x:c r="F24" s="14" t="str">
        <x:v>positive</x:v>
      </x:c>
      <x:c r="G24" s="18" t="n">
        <x:v>0.9301652908325196</x:v>
      </x:c>
      <x:c r="H24" s="14" t="n">
        <x:v>1</x:v>
      </x:c>
      <x:c r="I24" s="14" t="str">
        <x:v>positive</x:v>
      </x:c>
      <x:c r="J24" s="20" t="n">
        <x:v>0.93</x:v>
      </x:c>
      <x:c r="K24" s="14" t="str">
        <x:f>IF(F24=I24,"same","different")</x:f>
        <x:v>same</x:v>
      </x:c>
      <x:c r="L24" s="14" t="str">
        <x:f>IF(K24="different","review","")</x:f>
      </x:c>
      <x:c r="M24" s="14" t="str">
        <x:v>Piyasanın yükselmesi ve satın alma teklifi olumlu yatırımcı tepkisi gösteriyor.</x:v>
      </x:c>
    </x:row>
    <x:row r="25">
      <x:c r="A25" s="14" t="str">
        <x:v>REUTERS_ANN_01224</x:v>
      </x:c>
      <x:c r="B25" s="16" t="n">
        <x:v>39140</x:v>
      </x:c>
      <x:c r="C25" s="14" t="str">
        <x:v>housing improves but durable orders fall</x:v>
      </x:c>
      <x:c r="D25" s="14" t="str">
        <x:v>Konut piyasası iyileşti ancak dayanıklı mal siparişleri düştü.</x:v>
      </x:c>
      <x:c r="E25" s="14" t="n">
        <x:v>-1</x:v>
      </x:c>
      <x:c r="F25" s="14" t="str">
        <x:v>negative</x:v>
      </x:c>
      <x:c r="G25" s="18" t="n">
        <x:v>0.9196388125419616</x:v>
      </x:c>
      <x:c r="H25" s="14" t="n">
        <x:v>0</x:v>
      </x:c>
      <x:c r="I25" s="14" t="str">
        <x:v>neutral</x:v>
      </x:c>
      <x:c r="J25" s="20" t="n">
        <x:v>0.78</x:v>
      </x:c>
      <x:c r="K25" s="14" t="str">
        <x:f>IF(F25=I25,"same","different")</x:f>
        <x:v>different</x:v>
      </x:c>
      <x:c r="L25" s="14" t="str">
        <x:f>IF(K25="different","review","")</x:f>
        <x:v>review</x:v>
      </x:c>
      <x:c r="M25" s="14" t="str">
        <x:v>Olumlu ve olumsuz makro sinyaller birlikte geldiği için net yön karışık.</x:v>
      </x:c>
    </x:row>
    <x:row r="26">
      <x:c r="A26" s="14" t="str">
        <x:v>REUTERS_ANN_01225</x:v>
      </x:c>
      <x:c r="B26" s="16" t="n">
        <x:v>39191</x:v>
      </x:c>
      <x:c r="C26" s="14" t="str">
        <x:v>classified ad sales lower newspaper results</x:v>
      </x:c>
      <x:c r="D26" s="14" t="str">
        <x:v>Gazetelerin sonuçlarında sınıflandırılmış ilan satışları daha düşük çıktı.</x:v>
      </x:c>
      <x:c r="E26" s="14" t="n">
        <x:v>-1</x:v>
      </x:c>
      <x:c r="F26" s="14" t="str">
        <x:v>negative</x:v>
      </x:c>
      <x:c r="G26" s="18" t="n">
        <x:v>0.9751082062721252</x:v>
      </x:c>
      <x:c r="H26" s="14" t="n">
        <x:v>-1</x:v>
      </x:c>
      <x:c r="I26" s="14" t="str">
        <x:v>negative</x:v>
      </x:c>
      <x:c r="J26" s="20" t="n">
        <x:v>0.91</x:v>
      </x:c>
      <x:c r="K26" s="14" t="str">
        <x:f>IF(F26=I26,"same","different")</x:f>
        <x:v>same</x:v>
      </x:c>
      <x:c r="L26" s="14" t="str">
        <x:f>IF(K26="different","review","")</x:f>
      </x:c>
      <x:c r="M26" s="14" t="str">
        <x:v>Gelir kalemindeki düşüş medya şirketleri için olumsuz.</x:v>
      </x:c>
    </x:row>
    <x:row r="27">
      <x:c r="A27" s="14" t="str">
        <x:v>REUTERS_ANN_01226</x:v>
      </x:c>
      <x:c r="B27" s="16" t="n">
        <x:v>39176</x:v>
      </x:c>
      <x:c r="C27" s="14" t="str">
        <x:v>daimlerchrysler supervisory board names bischoff chairman</x:v>
      </x:c>
      <x:c r="D27" s="14" t="str">
        <x:v>DaimlerChrysler denetim kurulu Bischoff’u başkan olarak atadı.</x:v>
      </x:c>
      <x:c r="E27" s="14" t="n">
        <x:v>0</x:v>
      </x:c>
      <x:c r="F27" s="14" t="str">
        <x:v>neutral</x:v>
      </x:c>
      <x:c r="G27" s="18" t="n">
        <x:v>0.8279792666435242</x:v>
      </x:c>
      <x:c r="H27" s="14" t="n">
        <x:v>0</x:v>
      </x:c>
      <x:c r="I27" s="14" t="str">
        <x:v>neutral</x:v>
      </x:c>
      <x:c r="J27" s="20" t="n">
        <x:v>0.87</x:v>
      </x:c>
      <x:c r="K27" s="14" t="str">
        <x:f>IF(F27=I27,"same","different")</x:f>
        <x:v>same</x:v>
      </x:c>
      <x:c r="L27" s="14" t="str">
        <x:f>IF(K27="different","review","")</x:f>
      </x:c>
      <x:c r="M27" s="14" t="str">
        <x:v>Yönetim ataması haberidir; doğrudan finansal etki belirtilmiyor.</x:v>
      </x:c>
    </x:row>
    <x:row r="28">
      <x:c r="A28" s="14" t="str">
        <x:v>REUTERS_ANN_01227</x:v>
      </x:c>
      <x:c r="B28" s="16" t="n">
        <x:v>39066</x:v>
      </x:c>
      <x:c r="C28" s="14" t="str">
        <x:v>google, baidu eye online video business in china</x:v>
      </x:c>
      <x:c r="D28" s="14" t="str">
        <x:v>Google ve Baidu Çin’de çevrim içi video işini değerlendiriyor.</x:v>
      </x:c>
      <x:c r="E28" s="14" t="n">
        <x:v>1</x:v>
      </x:c>
      <x:c r="F28" s="14" t="str">
        <x:v>positive</x:v>
      </x:c>
      <x:c r="G28" s="18" t="n">
        <x:v>0.890034556388855</x:v>
      </x:c>
      <x:c r="H28" s="14" t="n">
        <x:v>1</x:v>
      </x:c>
      <x:c r="I28" s="14" t="str">
        <x:v>positive</x:v>
      </x:c>
      <x:c r="J28" s="20" t="n">
        <x:v>0.74</x:v>
      </x:c>
      <x:c r="K28" s="14" t="str">
        <x:f>IF(F28=I28,"same","different")</x:f>
        <x:v>same</x:v>
      </x:c>
      <x:c r="L28" s="14" t="str">
        <x:f>IF(K28="different","review","")</x:f>
      </x:c>
      <x:c r="M28" s="14" t="str">
        <x:v>Yeni iş alanı ve büyüme fırsatı potansiyeli nedeniyle hafif olumlu.</x:v>
      </x:c>
    </x:row>
    <x:row r="29">
      <x:c r="A29" s="14" t="str">
        <x:v>REUTERS_ANN_01228</x:v>
      </x:c>
      <x:c r="B29" s="16" t="n">
        <x:v>39175</x:v>
      </x:c>
      <x:c r="C29" s="14" t="str">
        <x:v>marshall ilsley to split into two public firms</x:v>
      </x:c>
      <x:c r="D29" s="14" t="str">
        <x:v>Marshall &amp; Ilsley iki halka açık şirkete bölünecek.</x:v>
      </x:c>
      <x:c r="E29" s="14" t="n">
        <x:v>0</x:v>
      </x:c>
      <x:c r="F29" s="14" t="str">
        <x:v>neutral</x:v>
      </x:c>
      <x:c r="G29" s="18" t="n">
        <x:v>0.8886155486106873</x:v>
      </x:c>
      <x:c r="H29" s="14" t="n">
        <x:v>0</x:v>
      </x:c>
      <x:c r="I29" s="14" t="str">
        <x:v>neutral</x:v>
      </x:c>
      <x:c r="J29" s="20" t="n">
        <x:v>0.78</x:v>
      </x:c>
      <x:c r="K29" s="14" t="str">
        <x:f>IF(F29=I29,"same","different")</x:f>
        <x:v>same</x:v>
      </x:c>
      <x:c r="L29" s="14" t="str">
        <x:f>IF(K29="different","review","")</x:f>
      </x:c>
      <x:c r="M29" s="14" t="str">
        <x:v>Kurumsal bölünme bilgisi var; başlık net değer etkisi belirtmiyor.</x:v>
      </x:c>
    </x:row>
    <x:row r="30">
      <x:c r="A30" s="14" t="str">
        <x:v>REUTERS_ANN_01229</x:v>
      </x:c>
      <x:c r="B30" s="16" t="n">
        <x:v>39155</x:v>
      </x:c>
      <x:c r="C30" s="14" t="str">
        <x:v>indexes end higher as investors seek bargains</x:v>
      </x:c>
      <x:c r="D30" s="14" t="str">
        <x:v>Endeksler, yatırımcıların ucuz fırsat aramasıyla günü yükselişle kapattı.</x:v>
      </x:c>
      <x:c r="E30" s="14" t="n">
        <x:v>1</x:v>
      </x:c>
      <x:c r="F30" s="14" t="str">
        <x:v>positive</x:v>
      </x:c>
      <x:c r="G30" s="18" t="n">
        <x:v>0.9077559113502502</x:v>
      </x:c>
      <x:c r="H30" s="14" t="n">
        <x:v>1</x:v>
      </x:c>
      <x:c r="I30" s="14" t="str">
        <x:v>positive</x:v>
      </x:c>
      <x:c r="J30" s="20" t="n">
        <x:v>0.93</x:v>
      </x:c>
      <x:c r="K30" s="14" t="str">
        <x:f>IF(F30=I30,"same","different")</x:f>
        <x:v>same</x:v>
      </x:c>
      <x:c r="L30" s="14" t="str">
        <x:f>IF(K30="different","review","")</x:f>
      </x:c>
      <x:c r="M30" s="14" t="str">
        <x:v>Endekslerin yükselmesi doğrudan olumlu piyasa sinyali.</x:v>
      </x:c>
    </x:row>
    <x:row r="31">
      <x:c r="A31" s="14" t="str">
        <x:v>REUTERS_ANN_01230</x:v>
      </x:c>
      <x:c r="B31" s="16" t="n">
        <x:v>39014</x:v>
      </x:c>
      <x:c r="C31" s="14" t="str">
        <x:v>options scandal hits 153 companies us study</x:v>
      </x:c>
      <x:c r="D31" s="14" t="str">
        <x:v>Opsiyon skandalı ABD araştırmasına göre 153 şirketi etkiledi.</x:v>
      </x:c>
      <x:c r="E31" s="14" t="n">
        <x:v>-1</x:v>
      </x:c>
      <x:c r="F31" s="14" t="str">
        <x:v>negative</x:v>
      </x:c>
      <x:c r="G31" s="18" t="n">
        <x:v>0.963741660118103</x:v>
      </x:c>
      <x:c r="H31" s="14" t="n">
        <x:v>-1</x:v>
      </x:c>
      <x:c r="I31" s="14" t="str">
        <x:v>negative</x:v>
      </x:c>
      <x:c r="J31" s="20" t="n">
        <x:v>0.96</x:v>
      </x:c>
      <x:c r="K31" s="14" t="str">
        <x:f>IF(F31=I31,"same","different")</x:f>
        <x:v>same</x:v>
      </x:c>
      <x:c r="L31" s="14" t="str">
        <x:f>IF(K31="different","review","")</x:f>
      </x:c>
      <x:c r="M31" s="14" t="str">
        <x:v>Geniş çaplı skandal yönetişim ve hukuki risk açısından olumsuz.</x:v>
      </x:c>
    </x:row>
    <x:row r="32">
      <x:c r="A32" s="14" t="str">
        <x:v>REUTERS_ANN_01231</x:v>
      </x:c>
      <x:c r="B32" s="16" t="n">
        <x:v>39030</x:v>
      </x:c>
      <x:c r="C32" s="14" t="str">
        <x:v>adidas cuts 2007 outlook due to reebok</x:v>
      </x:c>
      <x:c r="D32" s="14" t="str">
        <x:v>Adidas, Reebok nedeniyle 2007 görünümünü düşürdü.</x:v>
      </x:c>
      <x:c r="E32" s="14" t="n">
        <x:v>-1</x:v>
      </x:c>
      <x:c r="F32" s="14" t="str">
        <x:v>negative</x:v>
      </x:c>
      <x:c r="G32" s="18" t="n">
        <x:v>0.974489152431488</x:v>
      </x:c>
      <x:c r="H32" s="14" t="n">
        <x:v>-1</x:v>
      </x:c>
      <x:c r="I32" s="14" t="str">
        <x:v>negative</x:v>
      </x:c>
      <x:c r="J32" s="20" t="n">
        <x:v>0.95</x:v>
      </x:c>
      <x:c r="K32" s="14" t="str">
        <x:f>IF(F32=I32,"same","different")</x:f>
        <x:v>same</x:v>
      </x:c>
      <x:c r="L32" s="14" t="str">
        <x:f>IF(K32="different","review","")</x:f>
      </x:c>
      <x:c r="M32" s="14" t="str">
        <x:v>Görünüm indirimi şirket beklentileri için açık olumsuz sinyal.</x:v>
      </x:c>
    </x:row>
    <x:row r="33">
      <x:c r="A33" s="14" t="str">
        <x:v>REUTERS_ANN_01232</x:v>
      </x:c>
      <x:c r="B33" s="16" t="n">
        <x:v>39093</x:v>
      </x:c>
      <x:c r="C33" s="14" t="str">
        <x:v>softbank, credit saison to issue credit cards</x:v>
      </x:c>
      <x:c r="D33" s="14" t="str">
        <x:v>Softbank ve Credit Saison kredi kartı çıkaracak.</x:v>
      </x:c>
      <x:c r="E33" s="14" t="n">
        <x:v>0</x:v>
      </x:c>
      <x:c r="F33" s="14" t="str">
        <x:v>neutral</x:v>
      </x:c>
      <x:c r="G33" s="18" t="n">
        <x:v>0.5465477705001831</x:v>
      </x:c>
      <x:c r="H33" s="14" t="n">
        <x:v>1</x:v>
      </x:c>
      <x:c r="I33" s="14" t="str">
        <x:v>positive</x:v>
      </x:c>
      <x:c r="J33" s="20" t="n">
        <x:v>0.69</x:v>
      </x:c>
      <x:c r="K33" s="14" t="str">
        <x:f>IF(F33=I33,"same","different")</x:f>
        <x:v>different</x:v>
      </x:c>
      <x:c r="L33" s="14" t="str">
        <x:f>IF(K33="different","review","")</x:f>
        <x:v>review</x:v>
      </x:c>
      <x:c r="M33" s="14" t="str">
        <x:v>Yeni ürün/ortaklık gelir potansiyeli taşır; ancak etki sınırlı ve belirsiz.</x:v>
      </x:c>
    </x:row>
    <x:row r="34">
      <x:c r="A34" s="14" t="str">
        <x:v>REUTERS_ANN_01233</x:v>
      </x:c>
      <x:c r="B34" s="16" t="n">
        <x:v>39080</x:v>
      </x:c>
      <x:c r="C34" s="14" t="str">
        <x:v>delta loses $49 million in november</x:v>
      </x:c>
      <x:c r="D34" s="14" t="str">
        <x:v>Delta kasım ayında 49 milyon dolar zarar etti.</x:v>
      </x:c>
      <x:c r="E34" s="14" t="n">
        <x:v>-1</x:v>
      </x:c>
      <x:c r="F34" s="14" t="str">
        <x:v>negative</x:v>
      </x:c>
      <x:c r="G34" s="18" t="n">
        <x:v>0.9595219492912292</x:v>
      </x:c>
      <x:c r="H34" s="14" t="n">
        <x:v>-1</x:v>
      </x:c>
      <x:c r="I34" s="14" t="str">
        <x:v>negative</x:v>
      </x:c>
      <x:c r="J34" s="20" t="n">
        <x:v>0.94</x:v>
      </x:c>
      <x:c r="K34" s="14" t="str">
        <x:f>IF(F34=I34,"same","different")</x:f>
        <x:v>same</x:v>
      </x:c>
      <x:c r="L34" s="14" t="str">
        <x:f>IF(K34="different","review","")</x:f>
      </x:c>
      <x:c r="M34" s="14" t="str">
        <x:v>Zarar açıklanması şirket finansalları açısından olumsuz.</x:v>
      </x:c>
    </x:row>
    <x:row r="35">
      <x:c r="A35" s="14" t="str">
        <x:v>REUTERS_ANN_01234</x:v>
      </x:c>
      <x:c r="B35" s="16" t="n">
        <x:v>39049</x:v>
      </x:c>
      <x:c r="C35" s="14" t="str">
        <x:v>universal music sees settlement with myspace</x:v>
      </x:c>
      <x:c r="D35" s="14" t="str">
        <x:v>Universal Music, MySpace ile uzlaşma bekliyor.</x:v>
      </x:c>
      <x:c r="E35" s="14" t="n">
        <x:v>-1</x:v>
      </x:c>
      <x:c r="F35" s="14" t="str">
        <x:v>negative</x:v>
      </x:c>
      <x:c r="G35" s="18" t="n">
        <x:v>0.7609447836875916</x:v>
      </x:c>
      <x:c r="H35" s="14" t="n">
        <x:v>1</x:v>
      </x:c>
      <x:c r="I35" s="14" t="str">
        <x:v>positive</x:v>
      </x:c>
      <x:c r="J35" s="20" t="n">
        <x:v>0.7</x:v>
      </x:c>
      <x:c r="K35" s="14" t="str">
        <x:f>IF(F35=I35,"same","different")</x:f>
        <x:v>different</x:v>
      </x:c>
      <x:c r="L35" s="14" t="str">
        <x:f>IF(K35="different","review","")</x:f>
        <x:v>review</x:v>
      </x:c>
      <x:c r="M35" s="14" t="str">
        <x:v>Uzlaşma beklentisi hukuki belirsizliği azaltabileceği için hafif olumlu.</x:v>
      </x:c>
    </x:row>
    <x:row r="36">
      <x:c r="A36" s="14" t="str">
        <x:v>REUTERS_ANN_01235</x:v>
      </x:c>
      <x:c r="B36" s="16" t="n">
        <x:v>39118</x:v>
      </x:c>
      <x:c r="C36" s="14" t="str">
        <x:v>chrysler plans to cut 10,000 jobs report</x:v>
      </x:c>
      <x:c r="D36" s="14" t="str">
        <x:v>Chrysler’in 10.000 kişilik işten çıkarma planladığı bildirildi.</x:v>
      </x:c>
      <x:c r="E36" s="14" t="n">
        <x:v>1</x:v>
      </x:c>
      <x:c r="F36" s="14" t="str">
        <x:v>positive</x:v>
      </x:c>
      <x:c r="G36" s="18" t="n">
        <x:v>0.5032284259796143</x:v>
      </x:c>
      <x:c r="H36" s="14" t="n">
        <x:v>-1</x:v>
      </x:c>
      <x:c r="I36" s="14" t="str">
        <x:v>negative</x:v>
      </x:c>
      <x:c r="J36" s="20" t="n">
        <x:v>0.95</x:v>
      </x:c>
      <x:c r="K36" s="14" t="str">
        <x:f>IF(F36=I36,"same","different")</x:f>
        <x:v>different</x:v>
      </x:c>
      <x:c r="L36" s="14" t="str">
        <x:f>IF(K36="different","review","")</x:f>
        <x:v>review</x:v>
      </x:c>
      <x:c r="M36" s="14" t="str">
        <x:v>Büyük ölçekli işten çıkarma maliyet ve operasyonel baskı göstergesidir.</x:v>
      </x:c>
    </x:row>
    <x:row r="37">
      <x:c r="A37" s="14" t="str">
        <x:v>REUTERS_ANN_01236</x:v>
      </x:c>
      <x:c r="B37" s="16" t="n">
        <x:v>39181</x:v>
      </x:c>
      <x:c r="C37" s="14" t="str">
        <x:v>great-west lifeco to buy u.s. health administrator</x:v>
      </x:c>
      <x:c r="D37" s="14" t="str">
        <x:v>Great-West Lifeco, ABD’li bir sağlık yöneticisi şirketini satın alacak.</x:v>
      </x:c>
      <x:c r="E37" s="14" t="n">
        <x:v>0</x:v>
      </x:c>
      <x:c r="F37" s="14" t="str">
        <x:v>neutral</x:v>
      </x:c>
      <x:c r="G37" s="18" t="n">
        <x:v>0.8925789594650269</x:v>
      </x:c>
      <x:c r="H37" s="14" t="n">
        <x:v>1</x:v>
      </x:c>
      <x:c r="I37" s="14" t="str">
        <x:v>positive</x:v>
      </x:c>
      <x:c r="J37" s="20" t="n">
        <x:v>0.72</x:v>
      </x:c>
      <x:c r="K37" s="14" t="str">
        <x:f>IF(F37=I37,"same","different")</x:f>
        <x:v>different</x:v>
      </x:c>
      <x:c r="L37" s="14" t="str">
        <x:f>IF(K37="different","review","")</x:f>
        <x:v>review</x:v>
      </x:c>
      <x:c r="M37" s="14" t="str">
        <x:v>Satın alma büyüme/stratejik genişleme sinyali taşıdığı için hafif olumlu.</x:v>
      </x:c>
    </x:row>
    <x:row r="38">
      <x:c r="A38" s="14" t="str">
        <x:v>REUTERS_ANN_01237</x:v>
      </x:c>
      <x:c r="B38" s="16" t="n">
        <x:v>39066</x:v>
      </x:c>
      <x:c r="C38" s="14" t="str">
        <x:v>us panel backs limiting sanofi antibiotic uses</x:v>
      </x:c>
      <x:c r="D38" s="14" t="str">
        <x:v>ABD paneli Sanofi antibiyotiğinin kullanımının sınırlandırılmasını destekledi.</x:v>
      </x:c>
      <x:c r="E38" s="14" t="n">
        <x:v>-1</x:v>
      </x:c>
      <x:c r="F38" s="14" t="str">
        <x:v>negative</x:v>
      </x:c>
      <x:c r="G38" s="18" t="n">
        <x:v>0.7690046429634094</x:v>
      </x:c>
      <x:c r="H38" s="14" t="n">
        <x:v>-1</x:v>
      </x:c>
      <x:c r="I38" s="14" t="str">
        <x:v>negative</x:v>
      </x:c>
      <x:c r="J38" s="20" t="n">
        <x:v>0.88</x:v>
      </x:c>
      <x:c r="K38" s="14" t="str">
        <x:f>IF(F38=I38,"same","different")</x:f>
        <x:v>same</x:v>
      </x:c>
      <x:c r="L38" s="14" t="str">
        <x:f>IF(K38="different","review","")</x:f>
      </x:c>
      <x:c r="M38" s="14" t="str">
        <x:v>Ürün kullanımının sınırlandırılması satış potansiyeli ve düzenleyici görünüm için olumsuz.</x:v>
      </x:c>
    </x:row>
    <x:row r="39">
      <x:c r="A39" s="14" t="str">
        <x:v>REUTERS_ANN_01238</x:v>
      </x:c>
      <x:c r="B39" s="16" t="n">
        <x:v>39142</x:v>
      </x:c>
      <x:c r="C39" s="14" t="str">
        <x:v>mcdonalds selling lattes and cappuccinos wsj</x:v>
      </x:c>
      <x:c r="D39" s="14" t="str">
        <x:v>McDonald’s latte ve cappuccino satmaya başlıyor.</x:v>
      </x:c>
      <x:c r="E39" s="14" t="n">
        <x:v>1</x:v>
      </x:c>
      <x:c r="F39" s="14" t="str">
        <x:v>positive</x:v>
      </x:c>
      <x:c r="G39" s="18" t="n">
        <x:v>0.6493284106254578</x:v>
      </x:c>
      <x:c r="H39" s="14" t="n">
        <x:v>1</x:v>
      </x:c>
      <x:c r="I39" s="14" t="str">
        <x:v>positive</x:v>
      </x:c>
      <x:c r="J39" s="20" t="n">
        <x:v>0.73</x:v>
      </x:c>
      <x:c r="K39" s="14" t="str">
        <x:f>IF(F39=I39,"same","different")</x:f>
        <x:v>same</x:v>
      </x:c>
      <x:c r="L39" s="14" t="str">
        <x:f>IF(K39="different","review","")</x:f>
      </x:c>
      <x:c r="M39" s="14" t="str">
        <x:v>Yeni ürün kategorisi gelir çeşitlendirmesi ve büyüme fırsatı sunuyor.</x:v>
      </x:c>
    </x:row>
    <x:row r="40">
      <x:c r="A40" s="14" t="str">
        <x:v>REUTERS_ANN_01239</x:v>
      </x:c>
      <x:c r="B40" s="16" t="n">
        <x:v>39042</x:v>
      </x:c>
      <x:c r="C40" s="14" t="str">
        <x:v>probe finds cephalon used questionable tactics wsj</x:v>
      </x:c>
      <x:c r="D40" s="14" t="str">
        <x:v>Soruşturma, Cephalon’un tartışmalı taktikler kullandığını ortaya koydu.</x:v>
      </x:c>
      <x:c r="E40" s="14" t="n">
        <x:v>-1</x:v>
      </x:c>
      <x:c r="F40" s="14" t="str">
        <x:v>negative</x:v>
      </x:c>
      <x:c r="G40" s="18" t="n">
        <x:v>0.5916665196418762</x:v>
      </x:c>
      <x:c r="H40" s="14" t="n">
        <x:v>-1</x:v>
      </x:c>
      <x:c r="I40" s="14" t="str">
        <x:v>negative</x:v>
      </x:c>
      <x:c r="J40" s="20" t="n">
        <x:v>0.86</x:v>
      </x:c>
      <x:c r="K40" s="14" t="str">
        <x:f>IF(F40=I40,"same","different")</x:f>
        <x:v>same</x:v>
      </x:c>
      <x:c r="L40" s="14" t="str">
        <x:f>IF(K40="different","review","")</x:f>
      </x:c>
      <x:c r="M40" s="14" t="str">
        <x:v>Soruşturma ve uygunsuz taktik iddiası hukuki/itibar riski yaratıyor.</x:v>
      </x:c>
    </x:row>
    <x:row r="41">
      <x:c r="A41" s="14" t="str">
        <x:v>REUTERS_ANN_01240</x:v>
      </x:c>
      <x:c r="B41" s="16" t="n">
        <x:v>39143</x:v>
      </x:c>
      <x:c r="C41" s="14" t="str">
        <x:v>sanyo to share battery recall cost with lenovo</x:v>
      </x:c>
      <x:c r="D41" s="14" t="str">
        <x:v>Sanyo, pil geri çağırma maliyetini Lenovo ile paylaşacak.</x:v>
      </x:c>
      <x:c r="E41" s="14" t="n">
        <x:v>-1</x:v>
      </x:c>
      <x:c r="F41" s="14" t="str">
        <x:v>negative</x:v>
      </x:c>
      <x:c r="G41" s="18" t="n">
        <x:v>0.9687285423278807</x:v>
      </x:c>
      <x:c r="H41" s="14" t="n">
        <x:v>-1</x:v>
      </x:c>
      <x:c r="I41" s="14" t="str">
        <x:v>negative</x:v>
      </x:c>
      <x:c r="J41" s="20" t="n">
        <x:v>0.88</x:v>
      </x:c>
      <x:c r="K41" s="14" t="str">
        <x:f>IF(F41=I41,"same","different")</x:f>
        <x:v>same</x:v>
      </x:c>
      <x:c r="L41" s="14" t="str">
        <x:f>IF(K41="different","review","")</x:f>
      </x:c>
      <x:c r="M41" s="14" t="str">
        <x:v>Geri çağırma maliyeti ve ürün sorunu finansal açıdan olumsuz.</x:v>
      </x:c>
    </x:row>
    <x:row r="42">
      <x:c r="A42" s="14" t="str">
        <x:v>REUTERS_ANN_01241</x:v>
      </x:c>
      <x:c r="B42" s="16" t="n">
        <x:v>39023</x:v>
      </x:c>
      <x:c r="C42" s="14" t="str">
        <x:v>update 2-higher prices, production lift barrick profit</x:v>
      </x:c>
      <x:c r="D42" s="14" t="str">
        <x:v>Yüksek fiyatlar ve üretim Barrick’in kârını artırdı.</x:v>
      </x:c>
      <x:c r="E42" s="14" t="n">
        <x:v>1</x:v>
      </x:c>
      <x:c r="F42" s="14" t="str">
        <x:v>positive</x:v>
      </x:c>
      <x:c r="G42" s="18" t="n">
        <x:v>0.9442023634910583</x:v>
      </x:c>
      <x:c r="H42" s="14" t="n">
        <x:v>1</x:v>
      </x:c>
      <x:c r="I42" s="14" t="str">
        <x:v>positive</x:v>
      </x:c>
      <x:c r="J42" s="20" t="n">
        <x:v>0.94</x:v>
      </x:c>
      <x:c r="K42" s="14" t="str">
        <x:f>IF(F42=I42,"same","different")</x:f>
        <x:v>same</x:v>
      </x:c>
      <x:c r="L42" s="14" t="str">
        <x:f>IF(K42="different","review","")</x:f>
      </x:c>
      <x:c r="M42" s="14" t="str">
        <x:v>Kâr artışı ve destekleyici fiyat/üretim açık olumlu performans sinyali.</x:v>
      </x:c>
    </x:row>
    <x:row r="43">
      <x:c r="A43" s="14" t="str">
        <x:v>REUTERS_ANN_01242</x:v>
      </x:c>
      <x:c r="B43" s="16" t="n">
        <x:v>39055</x:v>
      </x:c>
      <x:c r="C43" s="14" t="str">
        <x:v>ex-kbr employee sentenced for iraq kickbacks</x:v>
      </x:c>
      <x:c r="D43" s="14" t="str">
        <x:v>Eski KBR çalışanı Irak rüşvetleri nedeniyle ceza aldı.</x:v>
      </x:c>
      <x:c r="E43" s="14" t="n">
        <x:v>-1</x:v>
      </x:c>
      <x:c r="F43" s="14" t="str">
        <x:v>negative</x:v>
      </x:c>
      <x:c r="G43" s="18" t="n">
        <x:v>0.7779391407966614</x:v>
      </x:c>
      <x:c r="H43" s="14" t="n">
        <x:v>-1</x:v>
      </x:c>
      <x:c r="I43" s="14" t="str">
        <x:v>negative</x:v>
      </x:c>
      <x:c r="J43" s="20" t="n">
        <x:v>0.91</x:v>
      </x:c>
      <x:c r="K43" s="14" t="str">
        <x:f>IF(F43=I43,"same","different")</x:f>
        <x:v>same</x:v>
      </x:c>
      <x:c r="L43" s="14" t="str">
        <x:f>IF(K43="different","review","")</x:f>
      </x:c>
      <x:c r="M43" s="14" t="str">
        <x:v>Rüşvet davası ve ceza şirket/bağlantılı taraflar için itibar ve hukuki risk taşır.</x:v>
      </x:c>
    </x:row>
    <x:row r="44">
      <x:c r="A44" s="14" t="str">
        <x:v>REUTERS_ANN_01243</x:v>
      </x:c>
      <x:c r="B44" s="16" t="n">
        <x:v>39042</x:v>
      </x:c>
      <x:c r="C44" s="14" t="str">
        <x:v>stocks end up in light trade</x:v>
      </x:c>
      <x:c r="D44" s="14" t="str">
        <x:v>Hisseler düşük hacimli işlemde yükselişle kapandı.</x:v>
      </x:c>
      <x:c r="E44" s="14" t="n">
        <x:v>1</x:v>
      </x:c>
      <x:c r="F44" s="14" t="str">
        <x:v>positive</x:v>
      </x:c>
      <x:c r="G44" s="18" t="n">
        <x:v>0.7737606167793274</x:v>
      </x:c>
      <x:c r="H44" s="14" t="n">
        <x:v>1</x:v>
      </x:c>
      <x:c r="I44" s="14" t="str">
        <x:v>positive</x:v>
      </x:c>
      <x:c r="J44" s="20" t="n">
        <x:v>0.88</x:v>
      </x:c>
      <x:c r="K44" s="14" t="str">
        <x:f>IF(F44=I44,"same","different")</x:f>
        <x:v>same</x:v>
      </x:c>
      <x:c r="L44" s="14" t="str">
        <x:f>IF(K44="different","review","")</x:f>
      </x:c>
      <x:c r="M44" s="14" t="str">
        <x:v>Piyasa kapanışının yukarı olması olumlu sinyal.</x:v>
      </x:c>
    </x:row>
    <x:row r="45">
      <x:c r="A45" s="14" t="str">
        <x:v>REUTERS_ANN_01244</x:v>
      </x:c>
      <x:c r="B45" s="16" t="n">
        <x:v>39170</x:v>
      </x:c>
      <x:c r="C45" s="14" t="str">
        <x:v>jpmorgan wins dismissal of enron class-action case</x:v>
      </x:c>
      <x:c r="D45" s="14" t="str">
        <x:v>JPMorgan, Enron toplu dava dosyasının reddini kazandı.</x:v>
      </x:c>
      <x:c r="E45" s="14" t="n">
        <x:v>-1</x:v>
      </x:c>
      <x:c r="F45" s="14" t="str">
        <x:v>negative</x:v>
      </x:c>
      <x:c r="G45" s="18" t="n">
        <x:v>0.8339935541152954</x:v>
      </x:c>
      <x:c r="H45" s="14" t="n">
        <x:v>1</x:v>
      </x:c>
      <x:c r="I45" s="14" t="str">
        <x:v>positive</x:v>
      </x:c>
      <x:c r="J45" s="20" t="n">
        <x:v>0.9</x:v>
      </x:c>
      <x:c r="K45" s="14" t="str">
        <x:f>IF(F45=I45,"same","different")</x:f>
        <x:v>different</x:v>
      </x:c>
      <x:c r="L45" s="14" t="str">
        <x:f>IF(K45="different","review","")</x:f>
        <x:v>review</x:v>
      </x:c>
      <x:c r="M45" s="14" t="str">
        <x:v>Dava riskinin azalması JPMorgan açısından olumlu.</x:v>
      </x:c>
    </x:row>
    <x:row r="46">
      <x:c r="A46" s="14" t="str">
        <x:v>REUTERS_ANN_01245</x:v>
      </x:c>
      <x:c r="B46" s="16" t="n">
        <x:v>39155</x:v>
      </x:c>
      <x:c r="C46" s="14" t="str">
        <x:v>conrad black trial jurors scrutinized</x:v>
      </x:c>
      <x:c r="D46" s="14" t="str">
        <x:v>Conrad Black davasında jüri üyeleri incelendi.</x:v>
      </x:c>
      <x:c r="E46" s="14" t="n">
        <x:v>0</x:v>
      </x:c>
      <x:c r="F46" s="14" t="str">
        <x:v>neutral</x:v>
      </x:c>
      <x:c r="G46" s="18" t="n">
        <x:v>0.7337797284126282</x:v>
      </x:c>
      <x:c r="H46" s="14" t="n">
        <x:v>0</x:v>
      </x:c>
      <x:c r="I46" s="14" t="str">
        <x:v>neutral</x:v>
      </x:c>
      <x:c r="J46" s="20" t="n">
        <x:v>0.74</x:v>
      </x:c>
      <x:c r="K46" s="14" t="str">
        <x:f>IF(F46=I46,"same","different")</x:f>
        <x:v>same</x:v>
      </x:c>
      <x:c r="L46" s="14" t="str">
        <x:f>IF(K46="different","review","")</x:f>
      </x:c>
      <x:c r="M46" s="14" t="str">
        <x:v>Dava sürecine ilişkin prosedürel haber; net finansal etki yok.</x:v>
      </x:c>
    </x:row>
    <x:row r="47">
      <x:c r="A47" s="14" t="str">
        <x:v>REUTERS_ANN_01246</x:v>
      </x:c>
      <x:c r="B47" s="16" t="n">
        <x:v>39142</x:v>
      </x:c>
      <x:c r="C47" s="14" t="str">
        <x:v>r.h. donnelley reports rise in revenue</x:v>
      </x:c>
      <x:c r="D47" s="14" t="str">
        <x:v>R.H. Donnelley gelir artışı bildirdi.</x:v>
      </x:c>
      <x:c r="E47" s="14" t="n">
        <x:v>1</x:v>
      </x:c>
      <x:c r="F47" s="14" t="str">
        <x:v>positive</x:v>
      </x:c>
      <x:c r="G47" s="18" t="n">
        <x:v>0.9343290328979492</x:v>
      </x:c>
      <x:c r="H47" s="14" t="n">
        <x:v>1</x:v>
      </x:c>
      <x:c r="I47" s="14" t="str">
        <x:v>positive</x:v>
      </x:c>
      <x:c r="J47" s="20" t="n">
        <x:v>0.91</x:v>
      </x:c>
      <x:c r="K47" s="14" t="str">
        <x:f>IF(F47=I47,"same","different")</x:f>
        <x:v>same</x:v>
      </x:c>
      <x:c r="L47" s="14" t="str">
        <x:f>IF(K47="different","review","")</x:f>
      </x:c>
      <x:c r="M47" s="14" t="str">
        <x:v>Gelir artışı şirket performansı açısından olumlu.</x:v>
      </x:c>
    </x:row>
    <x:row r="48">
      <x:c r="A48" s="14" t="str">
        <x:v>REUTERS_ANN_01247</x:v>
      </x:c>
      <x:c r="B48" s="16" t="n">
        <x:v>39078</x:v>
      </x:c>
      <x:c r="C48" s="14" t="str">
        <x:v>mcclatchy to sell star tribune for $530 mln</x:v>
      </x:c>
      <x:c r="D48" s="14" t="str">
        <x:v>McClatchy, Star Tribune’ü 530 milyon dolara satacak.</x:v>
      </x:c>
      <x:c r="E48" s="14" t="n">
        <x:v>0</x:v>
      </x:c>
      <x:c r="F48" s="14" t="str">
        <x:v>neutral</x:v>
      </x:c>
      <x:c r="G48" s="18" t="n">
        <x:v>0.8285592198371887</x:v>
      </x:c>
      <x:c r="H48" s="14" t="n">
        <x:v>0</x:v>
      </x:c>
      <x:c r="I48" s="14" t="str">
        <x:v>neutral</x:v>
      </x:c>
      <x:c r="J48" s="20" t="n">
        <x:v>0.76</x:v>
      </x:c>
      <x:c r="K48" s="14" t="str">
        <x:f>IF(F48=I48,"same","different")</x:f>
        <x:v>same</x:v>
      </x:c>
      <x:c r="L48" s="14" t="str">
        <x:f>IF(K48="different","review","")</x:f>
      </x:c>
      <x:c r="M48" s="14" t="str">
        <x:v>Varlık satışı bilgisi var; değer etkisi başlıkta net değil.</x:v>
      </x:c>
    </x:row>
    <x:row r="49">
      <x:c r="A49" s="14" t="str">
        <x:v>REUTERS_ANN_01248</x:v>
      </x:c>
      <x:c r="B49" s="16" t="n">
        <x:v>39036</x:v>
      </x:c>
      <x:c r="C49" s="14" t="str">
        <x:v>eus kroes sets microsoft software deadline paper</x:v>
      </x:c>
      <x:c r="D49" s="14" t="str">
        <x:v>AB Komiseri Kroes, Microsoft yazılımı için son tarih koydu.</x:v>
      </x:c>
      <x:c r="E49" s="14" t="n">
        <x:v>0</x:v>
      </x:c>
      <x:c r="F49" s="14" t="str">
        <x:v>neutral</x:v>
      </x:c>
      <x:c r="G49" s="18" t="n">
        <x:v>0.6623989343643188</x:v>
      </x:c>
      <x:c r="H49" s="14" t="n">
        <x:v>-1</x:v>
      </x:c>
      <x:c r="I49" s="14" t="str">
        <x:v>negative</x:v>
      </x:c>
      <x:c r="J49" s="20" t="n">
        <x:v>0.83</x:v>
      </x:c>
      <x:c r="K49" s="14" t="str">
        <x:f>IF(F49=I49,"same","different")</x:f>
        <x:v>different</x:v>
      </x:c>
      <x:c r="L49" s="14" t="str">
        <x:f>IF(K49="different","review","")</x:f>
        <x:v>review</x:v>
      </x:c>
      <x:c r="M49" s="14" t="str">
        <x:v>Düzenleyici baskı ve son tarih Microsoft açısından risk oluşturuyor.</x:v>
      </x:c>
    </x:row>
    <x:row r="50">
      <x:c r="A50" s="14" t="str">
        <x:v>REUTERS_ANN_01249</x:v>
      </x:c>
      <x:c r="B50" s="16" t="n">
        <x:v>39190</x:v>
      </x:c>
      <x:c r="C50" s="14" t="str">
        <x:v>motorola posts quarterly loss, outlook disappoints</x:v>
      </x:c>
      <x:c r="D50" s="14" t="str">
        <x:v>Motorola çeyreklik zarar açıkladı, görünüm hayal kırıklığı yarattı.</x:v>
      </x:c>
      <x:c r="E50" s="14" t="n">
        <x:v>1</x:v>
      </x:c>
      <x:c r="F50" s="14" t="str">
        <x:v>positive</x:v>
      </x:c>
      <x:c r="G50" s="18" t="n">
        <x:v>0.4849498867988586</x:v>
      </x:c>
      <x:c r="H50" s="14" t="n">
        <x:v>-1</x:v>
      </x:c>
      <x:c r="I50" s="14" t="str">
        <x:v>negative</x:v>
      </x:c>
      <x:c r="J50" s="20" t="n">
        <x:v>0.97</x:v>
      </x:c>
      <x:c r="K50" s="14" t="str">
        <x:f>IF(F50=I50,"same","different")</x:f>
        <x:v>different</x:v>
      </x:c>
      <x:c r="L50" s="14" t="str">
        <x:f>IF(K50="different","review","")</x:f>
        <x:v>review</x:v>
      </x:c>
      <x:c r="M50" s="14" t="str">
        <x:v>Zarar ve kötü görünüm açık biçimde olumsuz finansal sinyal.</x:v>
      </x:c>
    </x:row>
    <x:row r="51">
      <x:c r="A51" s="14" t="str">
        <x:v>REUTERS_ANN_01250</x:v>
      </x:c>
      <x:c r="B51" s="16" t="n">
        <x:v>39017</x:v>
      </x:c>
      <x:c r="C51" s="14" t="str">
        <x:v>steel partners in bid to buy japan noodle maker</x:v>
      </x:c>
      <x:c r="D51" s="14" t="str">
        <x:v>Steel Partners, Japon noodle üreticisini satın almak için teklif verdi.</x:v>
      </x:c>
      <x:c r="E51" s="14" t="n">
        <x:v>1</x:v>
      </x:c>
      <x:c r="F51" s="14" t="str">
        <x:v>positive</x:v>
      </x:c>
      <x:c r="G51" s="18" t="n">
        <x:v>0.8453906774520874</x:v>
      </x:c>
      <x:c r="H51" s="14" t="n">
        <x:v>1</x:v>
      </x:c>
      <x:c r="I51" s="14" t="str">
        <x:v>positive</x:v>
      </x:c>
      <x:c r="J51" s="20" t="n">
        <x:v>0.72</x:v>
      </x:c>
      <x:c r="K51" s="14" t="str">
        <x:f>IF(F51=I51,"same","different")</x:f>
        <x:v>same</x:v>
      </x:c>
      <x:c r="L51" s="14" t="str">
        <x:f>IF(K51="different","review","")</x:f>
      </x:c>
      <x:c r="M51" s="14" t="str">
        <x:v>Satın alma teklifi hedef şirket için değer yaratma ihtimali taşır; hafif olumlu.</x:v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K2:L51">
    <x:cfRule type="expression" dxfId="3" priority="4">
      <x:formula>$K2="different"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622f91f76f47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22" t="str">
        <x:v>REUTERS ANNOTATION BATCH 025</x:v>
      </x:c>
      <x:c r="B1" s="22" t="str"/>
    </x:row>
    <x:row r="2">
      <x:c r="A2" t="str">
        <x:v>Rows</x:v>
      </x:c>
      <x:c r="B2" t="str">
        <x:v>1200 - 1249</x:v>
      </x:c>
    </x:row>
    <x:row r="3">
      <x:c r="A3" t="str">
        <x:v>Total records</x:v>
      </x:c>
      <x:c r="B3" t="n">
        <x:f>COUNTA(annotations!A2:A51)</x:f>
        <x:v>50</x:v>
      </x:c>
    </x:row>
    <x:row r="4">
      <x:c r="A4" t="str"/>
      <x:c r="B4" t="str"/>
    </x:row>
    <x:row r="5">
      <x:c r="A5" s="26" t="str">
        <x:v>ChatGPT label</x:v>
      </x:c>
      <x:c r="B5" s="26" t="str">
        <x:v>Count</x:v>
      </x:c>
    </x:row>
    <x:row r="6">
      <x:c r="A6" t="str">
        <x:v>positive</x:v>
      </x:c>
      <x:c r="B6" t="n">
        <x:f>COUNTIF(annotations!I:I,"positive")</x:f>
        <x:v>21</x:v>
      </x:c>
    </x:row>
    <x:row r="7">
      <x:c r="A7" t="str">
        <x:v>neutral</x:v>
      </x:c>
      <x:c r="B7" t="n">
        <x:f>COUNTIF(annotations!I:I,"neutral")</x:f>
        <x:v>10</x:v>
      </x:c>
    </x:row>
    <x:row r="8">
      <x:c r="A8" t="str">
        <x:v>negative</x:v>
      </x:c>
      <x:c r="B8" t="n">
        <x:f>COUNTIF(annotations!I:I,"negative")</x:f>
        <x:v>19</x:v>
      </x:c>
    </x:row>
    <x:row r="9">
      <x:c r="A9" t="str"/>
      <x:c r="B9" t="str"/>
    </x:row>
    <x:row r="10">
      <x:c r="A10" s="26" t="str">
        <x:v>FinBERT comparison</x:v>
      </x:c>
      <x:c r="B10" s="26" t="str">
        <x:v>Count</x:v>
      </x:c>
    </x:row>
    <x:row r="11">
      <x:c r="A11" t="str">
        <x:v>same</x:v>
      </x:c>
      <x:c r="B11" t="n">
        <x:f>COUNTIF(annotations!K:K,"same")</x:f>
        <x:v>40</x:v>
      </x:c>
    </x:row>
    <x:row r="12">
      <x:c r="A12" t="str">
        <x:v>different/review</x:v>
      </x:c>
      <x:c r="B12" t="n">
        <x:f>COUNTIF(annotations!K:K,"different")</x:f>
        <x:v>10</x:v>
      </x:c>
    </x:row>
  </x:sheetData>
  <x:pageMargins left="0.7" right="0.7" top="0.75" bottom="0.75" header="0.3" footer="0.3"/>
  <x:drawing xmlns:r="http://schemas.openxmlformats.org/officeDocument/2006/relationships" r:id="Rd7462659272b4000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>
      <x:c r="A1" s="5" t="str">
        <x:v>Field</x:v>
      </x:c>
      <x:c r="B1" s="5" t="str">
        <x:v>Meaning</x:v>
      </x:c>
    </x:row>
    <x:row r="2">
      <x:c r="A2" s="12" t="str">
        <x:v>text_tr</x:v>
      </x:c>
      <x:c r="B2" s="12" t="str">
        <x:v>İngilizce haber başlığının Türkçe çevirisi.</x:v>
      </x:c>
    </x:row>
    <x:row r="3">
      <x:c r="A3" s="12" t="str">
        <x:v>chatgpt_label</x:v>
      </x:c>
      <x:c r="B3" s="12" t="str">
        <x:v>Başlığın finansal/piyasa bağlamındaki nihai sentiment etiketi: positive, neutral veya negative.</x:v>
      </x:c>
    </x:row>
    <x:row r="4">
      <x:c r="A4" s="12" t="str">
        <x:v>chatgpt_confidence</x:v>
      </x:c>
      <x:c r="B4" s="12" t="str">
        <x:v>Etiketleme kararına güven düzeyi; 0-1 arası yaklaşık değer.</x:v>
      </x:c>
    </x:row>
    <x:row r="5">
      <x:c r="A5" s="12" t="str">
        <x:v>finbert_match</x:v>
      </x:c>
      <x:c r="B5" s="12" t="str">
        <x:v>ChatGPT etiketi ile FinBERT etiketi aynıysa same, farklıysa different.</x:v>
      </x:c>
    </x:row>
    <x:row r="6">
      <x:c r="A6" s="12" t="str">
        <x:v>review_needed</x:v>
      </x:c>
      <x:c r="B6" s="12" t="str">
        <x:v>FinBERT ile farklı olan veya yorum gerektiren satırlarda review işareti.</x:v>
      </x:c>
    </x:row>
    <x:row r="7">
      <x:c r="A7" s="12" t="str">
        <x:v>Labeling rule</x:v>
      </x:c>
      <x:c r="B7" s="12" t="str">
        <x:v>Şirket/hisse/piyasa için olumlu sonuçlar positive; zarar, dava, düşüş, kesinti ve riskler negative; işlem/haber akışı ama net yön yoksa neutral.</x:v>
      </x:c>
    </x:row>
  </x:sheetData>
  <x:pageMargins left="0.7" right="0.7" top="0.75" bottom="0.75" header="0.3" footer="0.3"/>
</x:worksheet>
</file>