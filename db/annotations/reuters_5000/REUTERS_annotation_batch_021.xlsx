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cdbb11b4245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91b5f8494b8d463f"/>
    <x:sheet xmlns:r="http://schemas.openxmlformats.org/officeDocument/2006/relationships" name="summary" sheetId="2" r:id="Rfc47aa91caac4564"/>
    <x:sheet xmlns:r="http://schemas.openxmlformats.org/officeDocument/2006/relationships" name="labeling_notes" sheetId="3" r:id="Rafa02e00c67d42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"/>
    <x:numFmt numFmtId="202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ont>
        <x:b/>
      </x:font>
      <x:fill>
        <x:patternFill patternType="solid">
          <x:bgColor rgb="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4febd9af484545" /><Relationship Type="http://schemas.openxmlformats.org/officeDocument/2006/relationships/theme" Target="/xl/theme/theme1.xml" Id="R0a1a0491805c4fe0" /><Relationship Type="http://schemas.openxmlformats.org/officeDocument/2006/relationships/sharedStrings" Target="/xl/sharedStrings.xml" Id="Rae13ba3c90c84b42" /><Relationship Type="http://schemas.openxmlformats.org/officeDocument/2006/relationships/worksheet" Target="/xl/worksheets/sheet1.xml" Id="R91b5f8494b8d463f" /><Relationship Type="http://schemas.openxmlformats.org/officeDocument/2006/relationships/worksheet" Target="/xl/worksheets/sheet2.xml" Id="Rfc47aa91caac4564" /><Relationship Type="http://schemas.openxmlformats.org/officeDocument/2006/relationships/worksheet" Target="/xl/worksheets/sheet3.xml" Id="Rafa02e00c67d42dd" /></Relationships>
</file>

<file path=xl/tables/table1.xml><?xml version="1.0" encoding="utf-8"?>
<x:table xmlns:x="http://schemas.openxmlformats.org/spreadsheetml/2006/main" id="1" name="ReutersBatch021Table" displayName="ReutersBatch021Table" ref="A1:N51" headerRowCount="1">
  <x:tableColumns count="14">
    <x:tableColumn id="1" name="batch_id"/>
    <x:tableColumn id="2" name="annotation_id"/>
    <x:tableColumn id="3" name="date"/>
    <x:tableColumn id="4" name="source_text"/>
    <x:tableColumn id="5" name="text_tr"/>
    <x:tableColumn id="6" name="finbert_score"/>
    <x:tableColumn id="7" name="finbert_label"/>
    <x:tableColumn id="8" name="finbert_confidence"/>
    <x:tableColumn id="9" name="chatgpt_score"/>
    <x:tableColumn id="10" name="chatgpt_label"/>
    <x:tableColumn id="11" name="chatgpt_confidence"/>
    <x:tableColumn id="12" name="chatgpt_reason_tr"/>
    <x:tableColumn id="13" name="finbert_vs_chatgpt"/>
    <x:tableColumn id="14" name="review_note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021" displayName="SummaryTable021" ref="A2:C9" headerRowCount="1">
  <x:tableColumns count="3">
    <x:tableColumn id="1" name="Metric"/>
    <x:tableColumn id="2" name="Value"/>
    <x:tableColumn id="3" name="Formula/Note"/>
  </x:tableColumns>
  <x:tableStyleInfo name="TableStyleMedium2" showRowStripes="1"/>
</x:table>
</file>

<file path=xl/tables/table3.xml><?xml version="1.0" encoding="utf-8"?>
<x:table xmlns:x="http://schemas.openxmlformats.org/spreadsheetml/2006/main" id="3" name="LabelNotesTable021" displayName="LabelNotesTable021" ref="A1:B6" headerRowCount="1">
  <x:tableColumns count="2">
    <x:tableColumn id="1" name="Alan"/>
    <x:tableColumn id="2" name="Açıklam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34b0a4afe04f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193895029343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fdba3f90e440a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3" hidden="0" customWidth="1"/>
    <x:col min="4" max="4" width="42" hidden="0" customWidth="1"/>
    <x:col min="5" max="5" width="48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48" hidden="0" customWidth="1"/>
    <x:col min="13" max="13" width="20" hidden="0" customWidth="1"/>
    <x:col min="14" max="14" width="20" hidden="0" customWidth="1"/>
  </x:cols>
  <x:sheetData>
    <x:row r="1">
      <x:c r="A1" s="6" t="str">
        <x:v>batch_id</x:v>
      </x:c>
      <x:c r="B1" s="6" t="str">
        <x:v>annotation_id</x:v>
      </x:c>
      <x:c r="C1" s="6" t="str">
        <x:v>date</x:v>
      </x:c>
      <x:c r="D1" s="6" t="str">
        <x:v>source_text</x:v>
      </x:c>
      <x:c r="E1" s="6" t="str">
        <x:v>text_tr</x:v>
      </x:c>
      <x:c r="F1" s="6" t="str">
        <x:v>finbert_score</x:v>
      </x:c>
      <x:c r="G1" s="6" t="str">
        <x:v>finbert_label</x:v>
      </x:c>
      <x:c r="H1" s="6" t="str">
        <x:v>finbert_confidence</x:v>
      </x:c>
      <x:c r="I1" s="6" t="str">
        <x:v>chatgpt_score</x:v>
      </x:c>
      <x:c r="J1" s="6" t="str">
        <x:v>chatgpt_label</x:v>
      </x:c>
      <x:c r="K1" s="6" t="str">
        <x:v>chatgpt_confidence</x:v>
      </x:c>
      <x:c r="L1" s="6" t="str">
        <x:v>chatgpt_reason_tr</x:v>
      </x:c>
      <x:c r="M1" s="6" t="str">
        <x:v>finbert_vs_chatgpt</x:v>
      </x:c>
      <x:c r="N1" s="6" t="str">
        <x:v>review_note</x:v>
      </x:c>
    </x:row>
    <x:row r="2">
      <x:c r="A2" s="12" t="str">
        <x:v>REUTERS_annotation_batch_021</x:v>
      </x:c>
      <x:c r="B2" s="12" t="str">
        <x:v>REUTERS_ANN_01001</x:v>
      </x:c>
      <x:c r="C2" s="14" t="n">
        <x:v>39120</x:v>
      </x:c>
      <x:c r="D2" s="12" t="str">
        <x:v>jgbs edge up on stocks dip, await boj rate clues</x:v>
      </x:c>
      <x:c r="E2" s="12" t="str">
        <x:v>Japon devlet tahvilleri, hisse senetlerindeki düşüşle hafif yükseldi; BOJ faiz ipuçları bekleniyor</x:v>
      </x:c>
      <x:c r="F2" s="12" t="n">
        <x:v>1</x:v>
      </x:c>
      <x:c r="G2" s="12" t="str">
        <x:v>positive</x:v>
      </x:c>
      <x:c r="H2" s="16" t="n">
        <x:v>0.9064522981643676</x:v>
      </x:c>
      <x:c r="I2" s="12" t="n">
        <x:v>1</x:v>
      </x:c>
      <x:c r="J2" s="12" t="str">
        <x:v>positive</x:v>
      </x:c>
      <x:c r="K2" s="18" t="n">
        <x:v>0.72</x:v>
      </x:c>
      <x:c r="L2" s="12" t="str">
        <x:v>Tahvillerin yükselmesi başlıktaki ana piyasa sinyali olduğu için sınırlı pozitif.</x:v>
      </x:c>
      <x:c r="M2" s="12" t="str">
        <x:f>IF(G2=J2,"same","different")</x:f>
        <x:v>same</x:v>
      </x:c>
      <x:c r="N2" s="12" t="str">
        <x:f>IF(M2="different","Kontrol önerilir: FinBERT ile ChatGPT ayrışıyor.","Uyumlu.")</x:f>
        <x:v>Uyumlu.</x:v>
      </x:c>
    </x:row>
    <x:row r="3">
      <x:c r="A3" s="12" t="str">
        <x:v>REUTERS_annotation_batch_021</x:v>
      </x:c>
      <x:c r="B3" s="12" t="str">
        <x:v>REUTERS_ANN_01002</x:v>
      </x:c>
      <x:c r="C3" s="14" t="n">
        <x:v>39141</x:v>
      </x:c>
      <x:c r="D3" s="12" t="str">
        <x:v>liberty media posts higher profit at starz, qvc</x:v>
      </x:c>
      <x:c r="E3" s="12" t="str">
        <x:v>Liberty Media, Starz ve QVC'de daha yüksek kâr açıkladı</x:v>
      </x:c>
      <x:c r="F3" s="12" t="n">
        <x:v>1</x:v>
      </x:c>
      <x:c r="G3" s="12" t="str">
        <x:v>positive</x:v>
      </x:c>
      <x:c r="H3" s="16" t="n">
        <x:v>0.9561777710914612</x:v>
      </x:c>
      <x:c r="I3" s="12" t="n">
        <x:v>1</x:v>
      </x:c>
      <x:c r="J3" s="12" t="str">
        <x:v>positive</x:v>
      </x:c>
      <x:c r="K3" s="18" t="n">
        <x:v>0.94</x:v>
      </x:c>
      <x:c r="L3" s="12" t="str">
        <x:v>Kâr artışı doğrudan olumlu finansal performans sinyali veriyor.</x:v>
      </x:c>
      <x:c r="M3" s="12" t="str">
        <x:f>IF(G3=J3,"same","different")</x:f>
        <x:v>same</x:v>
      </x:c>
      <x:c r="N3" s="12" t="str">
        <x:f>IF(M3="different","Kontrol önerilir: FinBERT ile ChatGPT ayrışıyor.","Uyumlu.")</x:f>
        <x:v>Uyumlu.</x:v>
      </x:c>
    </x:row>
    <x:row r="4">
      <x:c r="A4" s="12" t="str">
        <x:v>REUTERS_annotation_batch_021</x:v>
      </x:c>
      <x:c r="B4" s="12" t="str">
        <x:v>REUTERS_ANN_01003</x:v>
      </x:c>
      <x:c r="C4" s="14" t="n">
        <x:v>39037</x:v>
      </x:c>
      <x:c r="D4" s="12" t="str">
        <x:v>aol taps nbc universal tv veteran as ceo</x:v>
      </x:c>
      <x:c r="E4" s="12" t="str">
        <x:v>AOL, NBC Universal'dan televizyon deneyimli bir yöneticiyi CEO olarak atadı</x:v>
      </x:c>
      <x:c r="F4" s="12" t="n">
        <x:v>-1</x:v>
      </x:c>
      <x:c r="G4" s="12" t="str">
        <x:v>negative</x:v>
      </x:c>
      <x:c r="H4" s="16" t="n">
        <x:v>0.7305260896682739</x:v>
      </x:c>
      <x:c r="I4" s="12" t="n">
        <x:v>0</x:v>
      </x:c>
      <x:c r="J4" s="12" t="str">
        <x:v>neutral</x:v>
      </x:c>
      <x:c r="K4" s="18" t="n">
        <x:v>0.74</x:v>
      </x:c>
      <x:c r="L4" s="12" t="str">
        <x:v>Yönetici ataması tek başına net olumlu/olumsuz finansal sonuç göstermiyor.</x:v>
      </x:c>
      <x:c r="M4" s="12" t="str">
        <x:f>IF(G4=J4,"same","different")</x:f>
        <x:v>different</x:v>
      </x:c>
      <x:c r="N4" s="12" t="str">
        <x:f>IF(M4="different","Kontrol önerilir: FinBERT ile ChatGPT ayrışıyor.","Uyumlu.")</x:f>
        <x:v>Kontrol önerilir: FinBERT ile ChatGPT ayrışıyor.</x:v>
      </x:c>
    </x:row>
    <x:row r="5">
      <x:c r="A5" s="12" t="str">
        <x:v>REUTERS_annotation_batch_021</x:v>
      </x:c>
      <x:c r="B5" s="12" t="str">
        <x:v>REUTERS_ANN_01004</x:v>
      </x:c>
      <x:c r="C5" s="14" t="n">
        <x:v>39106</x:v>
      </x:c>
      <x:c r="D5" s="12" t="str">
        <x:v>siemens makes $3.5 billion software buy</x:v>
      </x:c>
      <x:c r="E5" s="12" t="str">
        <x:v>Siemens 3,5 milyar dolarlık yazılım satın alımı yaptı</x:v>
      </x:c>
      <x:c r="F5" s="12" t="n">
        <x:v>1</x:v>
      </x:c>
      <x:c r="G5" s="12" t="str">
        <x:v>positive</x:v>
      </x:c>
      <x:c r="H5" s="16" t="n">
        <x:v>0.5703861713409424</x:v>
      </x:c>
      <x:c r="I5" s="12" t="n">
        <x:v>1</x:v>
      </x:c>
      <x:c r="J5" s="12" t="str">
        <x:v>positive</x:v>
      </x:c>
      <x:c r="K5" s="18" t="n">
        <x:v>0.75</x:v>
      </x:c>
      <x:c r="L5" s="12" t="str">
        <x:v>Büyük stratejik satın alma büyüme ve genişleme sinyali taşıyor.</x:v>
      </x:c>
      <x:c r="M5" s="12" t="str">
        <x:f>IF(G5=J5,"same","different")</x:f>
        <x:v>same</x:v>
      </x:c>
      <x:c r="N5" s="12" t="str">
        <x:f>IF(M5="different","Kontrol önerilir: FinBERT ile ChatGPT ayrışıyor.","Uyumlu.")</x:f>
        <x:v>Uyumlu.</x:v>
      </x:c>
    </x:row>
    <x:row r="6">
      <x:c r="A6" s="12" t="str">
        <x:v>REUTERS_annotation_batch_021</x:v>
      </x:c>
      <x:c r="B6" s="12" t="str">
        <x:v>REUTERS_ANN_01005</x:v>
      </x:c>
      <x:c r="C6" s="14" t="n">
        <x:v>39114</x:v>
      </x:c>
      <x:c r="D6" s="12" t="str">
        <x:v>lenovos q3 profit jumps</x:v>
      </x:c>
      <x:c r="E6" s="12" t="str">
        <x:v>Lenovo'nun üçüncü çeyrek kârı sıçradı</x:v>
      </x:c>
      <x:c r="F6" s="12" t="n">
        <x:v>1</x:v>
      </x:c>
      <x:c r="G6" s="12" t="str">
        <x:v>positive</x:v>
      </x:c>
      <x:c r="H6" s="16" t="n">
        <x:v>0.851534366607666</x:v>
      </x:c>
      <x:c r="I6" s="12" t="n">
        <x:v>1</x:v>
      </x:c>
      <x:c r="J6" s="12" t="str">
        <x:v>positive</x:v>
      </x:c>
      <x:c r="K6" s="18" t="n">
        <x:v>0.94</x:v>
      </x:c>
      <x:c r="L6" s="12" t="str">
        <x:v>Kârın sıçraması açık pozitif şirket performansı göstergesidir.</x:v>
      </x:c>
      <x:c r="M6" s="12" t="str">
        <x:f>IF(G6=J6,"same","different")</x:f>
        <x:v>same</x:v>
      </x:c>
      <x:c r="N6" s="12" t="str">
        <x:f>IF(M6="different","Kontrol önerilir: FinBERT ile ChatGPT ayrışıyor.","Uyumlu.")</x:f>
        <x:v>Uyumlu.</x:v>
      </x:c>
    </x:row>
    <x:row r="7">
      <x:c r="A7" s="12" t="str">
        <x:v>REUTERS_annotation_batch_021</x:v>
      </x:c>
      <x:c r="B7" s="12" t="str">
        <x:v>REUTERS_ANN_01006</x:v>
      </x:c>
      <x:c r="C7" s="14" t="n">
        <x:v>39160</x:v>
      </x:c>
      <x:c r="D7" s="12" t="str">
        <x:v>clayton to buy servicemaster report</x:v>
      </x:c>
      <x:c r="E7" s="12" t="str">
        <x:v>Habere göre Clayton, ServiceMaster'ı satın alacak</x:v>
      </x:c>
      <x:c r="F7" s="12" t="n">
        <x:v>0</x:v>
      </x:c>
      <x:c r="G7" s="12" t="str">
        <x:v>neutral</x:v>
      </x:c>
      <x:c r="H7" s="16" t="n">
        <x:v>0.8460367918014526</x:v>
      </x:c>
      <x:c r="I7" s="12" t="n">
        <x:v>0</x:v>
      </x:c>
      <x:c r="J7" s="12" t="str">
        <x:v>neutral</x:v>
      </x:c>
      <x:c r="K7" s="18" t="n">
        <x:v>0.7</x:v>
      </x:c>
      <x:c r="L7" s="12" t="str">
        <x:v>Satın alma haberi var ancak değerleme/tepki bilgisi olmadığı için nötr.</x:v>
      </x:c>
      <x:c r="M7" s="12" t="str">
        <x:f>IF(G7=J7,"same","different")</x:f>
        <x:v>same</x:v>
      </x:c>
      <x:c r="N7" s="12" t="str">
        <x:f>IF(M7="different","Kontrol önerilir: FinBERT ile ChatGPT ayrışıyor.","Uyumlu.")</x:f>
        <x:v>Uyumlu.</x:v>
      </x:c>
    </x:row>
    <x:row r="8">
      <x:c r="A8" s="12" t="str">
        <x:v>REUTERS_annotation_batch_021</x:v>
      </x:c>
      <x:c r="B8" s="12" t="str">
        <x:v>REUTERS_ANN_01007</x:v>
      </x:c>
      <x:c r="C8" s="14" t="n">
        <x:v>39203</x:v>
      </x:c>
      <x:c r="D8" s="12" t="str">
        <x:v>fresh del monte q1 earnings triple, shares soar</x:v>
      </x:c>
      <x:c r="E8" s="12" t="str">
        <x:v>Fresh Del Monte'nin ilk çeyrek kârı üçe katlandı, hisseler fırladı</x:v>
      </x:c>
      <x:c r="F8" s="12" t="n">
        <x:v>1</x:v>
      </x:c>
      <x:c r="G8" s="12" t="str">
        <x:v>positive</x:v>
      </x:c>
      <x:c r="H8" s="16" t="n">
        <x:v>0.9148035049438475</x:v>
      </x:c>
      <x:c r="I8" s="12" t="n">
        <x:v>1</x:v>
      </x:c>
      <x:c r="J8" s="12" t="str">
        <x:v>positive</x:v>
      </x:c>
      <x:c r="K8" s="18" t="n">
        <x:v>0.97</x:v>
      </x:c>
      <x:c r="L8" s="12" t="str">
        <x:v>Kârın üçe katlanması ve hisselerin yükselmesi güçlü pozitif sinyal.</x:v>
      </x:c>
      <x:c r="M8" s="12" t="str">
        <x:f>IF(G8=J8,"same","different")</x:f>
        <x:v>same</x:v>
      </x:c>
      <x:c r="N8" s="12" t="str">
        <x:f>IF(M8="different","Kontrol önerilir: FinBERT ile ChatGPT ayrışıyor.","Uyumlu.")</x:f>
        <x:v>Uyumlu.</x:v>
      </x:c>
    </x:row>
    <x:row r="9">
      <x:c r="A9" s="12" t="str">
        <x:v>REUTERS_annotation_batch_021</x:v>
      </x:c>
      <x:c r="B9" s="12" t="str">
        <x:v>REUTERS_ANN_01008</x:v>
      </x:c>
      <x:c r="C9" s="14" t="n">
        <x:v>39105</x:v>
      </x:c>
      <x:c r="D9" s="12" t="str">
        <x:v>emc profit gains on higher systems sales</x:v>
      </x:c>
      <x:c r="E9" s="12" t="str">
        <x:v>EMC'nin kârı daha yüksek sistem satışlarıyla arttı</x:v>
      </x:c>
      <x:c r="F9" s="12" t="n">
        <x:v>1</x:v>
      </x:c>
      <x:c r="G9" s="12" t="str">
        <x:v>positive</x:v>
      </x:c>
      <x:c r="H9" s="16" t="n">
        <x:v>0.9449996948242188</x:v>
      </x:c>
      <x:c r="I9" s="12" t="n">
        <x:v>1</x:v>
      </x:c>
      <x:c r="J9" s="12" t="str">
        <x:v>positive</x:v>
      </x:c>
      <x:c r="K9" s="18" t="n">
        <x:v>0.93</x:v>
      </x:c>
      <x:c r="L9" s="12" t="str">
        <x:v>Satış kaynaklı kâr artışı olumlu performans gösteriyor.</x:v>
      </x:c>
      <x:c r="M9" s="12" t="str">
        <x:f>IF(G9=J9,"same","different")</x:f>
        <x:v>same</x:v>
      </x:c>
      <x:c r="N9" s="12" t="str">
        <x:f>IF(M9="different","Kontrol önerilir: FinBERT ile ChatGPT ayrışıyor.","Uyumlu.")</x:f>
        <x:v>Uyumlu.</x:v>
      </x:c>
    </x:row>
    <x:row r="10">
      <x:c r="A10" s="12" t="str">
        <x:v>REUTERS_annotation_batch_021</x:v>
      </x:c>
      <x:c r="B10" s="12" t="str">
        <x:v>REUTERS_ANN_01009</x:v>
      </x:c>
      <x:c r="C10" s="14" t="n">
        <x:v>39057</x:v>
      </x:c>
      <x:c r="D10" s="12" t="str">
        <x:v>best buy results could give clues on holiday sales</x:v>
      </x:c>
      <x:c r="E10" s="12" t="str">
        <x:v>Best Buy sonuçları tatil dönemi satışlarına dair ipucu verebilir</x:v>
      </x:c>
      <x:c r="F10" s="12" t="n">
        <x:v>0</x:v>
      </x:c>
      <x:c r="G10" s="12" t="str">
        <x:v>neutral</x:v>
      </x:c>
      <x:c r="H10" s="16" t="n">
        <x:v>0.5767608284950256</x:v>
      </x:c>
      <x:c r="I10" s="12" t="n">
        <x:v>0</x:v>
      </x:c>
      <x:c r="J10" s="12" t="str">
        <x:v>neutral</x:v>
      </x:c>
      <x:c r="K10" s="18" t="n">
        <x:v>0.72</x:v>
      </x:c>
      <x:c r="L10" s="12" t="str">
        <x:v>Başlık beklenti/izleme niteliğinde; sonuç veya yön yok.</x:v>
      </x:c>
      <x:c r="M10" s="12" t="str">
        <x:f>IF(G10=J10,"same","different")</x:f>
        <x:v>same</x:v>
      </x:c>
      <x:c r="N10" s="12" t="str">
        <x:f>IF(M10="different","Kontrol önerilir: FinBERT ile ChatGPT ayrışıyor.","Uyumlu.")</x:f>
        <x:v>Uyumlu.</x:v>
      </x:c>
    </x:row>
    <x:row r="11">
      <x:c r="A11" s="12" t="str">
        <x:v>REUTERS_annotation_batch_021</x:v>
      </x:c>
      <x:c r="B11" s="12" t="str">
        <x:v>REUTERS_ANN_01010</x:v>
      </x:c>
      <x:c r="C11" s="14" t="n">
        <x:v>39187</x:v>
      </x:c>
      <x:c r="D11" s="12" t="str">
        <x:v>egyptian bank shareholders positive about uae bid</x:v>
      </x:c>
      <x:c r="E11" s="12" t="str">
        <x:v>Mısır bankası hissedarları BAE teklifine olumlu bakıyor</x:v>
      </x:c>
      <x:c r="F11" s="12" t="n">
        <x:v>0</x:v>
      </x:c>
      <x:c r="G11" s="12" t="str">
        <x:v>neutral</x:v>
      </x:c>
      <x:c r="H11" s="16" t="n">
        <x:v>0.8681966662406921</x:v>
      </x:c>
      <x:c r="I11" s="12" t="n">
        <x:v>1</x:v>
      </x:c>
      <x:c r="J11" s="12" t="str">
        <x:v>positive</x:v>
      </x:c>
      <x:c r="K11" s="18" t="n">
        <x:v>0.74</x:v>
      </x:c>
      <x:c r="L11" s="12" t="str">
        <x:v>Hissedarların teklife olumlu yaklaşması işlem açısından pozitif.</x:v>
      </x:c>
      <x:c r="M11" s="12" t="str">
        <x:f>IF(G11=J11,"same","different")</x:f>
        <x:v>different</x:v>
      </x:c>
      <x:c r="N11" s="12" t="str">
        <x:f>IF(M11="different","Kontrol önerilir: FinBERT ile ChatGPT ayrışıyor.","Uyumlu.")</x:f>
        <x:v>Kontrol önerilir: FinBERT ile ChatGPT ayrışıyor.</x:v>
      </x:c>
    </x:row>
    <x:row r="12">
      <x:c r="A12" s="12" t="str">
        <x:v>REUTERS_annotation_batch_021</x:v>
      </x:c>
      <x:c r="B12" s="12" t="str">
        <x:v>REUTERS_ANN_01011</x:v>
      </x:c>
      <x:c r="C12" s="14" t="n">
        <x:v>39174</x:v>
      </x:c>
      <x:c r="D12" s="12" t="str">
        <x:v>first data agrees to be sold to kkr for $29 bln</x:v>
      </x:c>
      <x:c r="E12" s="12" t="str">
        <x:v>First Data, 29 milyar dolara KKR'ye satılmayı kabul etti</x:v>
      </x:c>
      <x:c r="F12" s="12" t="n">
        <x:v>1</x:v>
      </x:c>
      <x:c r="G12" s="12" t="str">
        <x:v>positive</x:v>
      </x:c>
      <x:c r="H12" s="16" t="n">
        <x:v>0.531485915184021</x:v>
      </x:c>
      <x:c r="I12" s="12" t="n">
        <x:v>1</x:v>
      </x:c>
      <x:c r="J12" s="12" t="str">
        <x:v>positive</x:v>
      </x:c>
      <x:c r="K12" s="18" t="n">
        <x:v>0.78</x:v>
      </x:c>
      <x:c r="L12" s="12" t="str">
        <x:v>Büyük ölçekli satış anlaşması hedef şirket açısından olumlu işlem sinyali.</x:v>
      </x:c>
      <x:c r="M12" s="12" t="str">
        <x:f>IF(G12=J12,"same","different")</x:f>
        <x:v>same</x:v>
      </x:c>
      <x:c r="N12" s="12" t="str">
        <x:f>IF(M12="different","Kontrol önerilir: FinBERT ile ChatGPT ayrışıyor.","Uyumlu.")</x:f>
        <x:v>Uyumlu.</x:v>
      </x:c>
    </x:row>
    <x:row r="13">
      <x:c r="A13" s="12" t="str">
        <x:v>REUTERS_annotation_batch_021</x:v>
      </x:c>
      <x:c r="B13" s="12" t="str">
        <x:v>REUTERS_ANN_01012</x:v>
      </x:c>
      <x:c r="C13" s="14" t="n">
        <x:v>39015</x:v>
      </x:c>
      <x:c r="D13" s="12" t="str">
        <x:v>daimlerchrysler keeps 2006 outlook, chrysler weighs</x:v>
      </x:c>
      <x:c r="E13" s="12" t="str">
        <x:v>DaimlerChrysler 2006 görünümünü korudu, Chrysler baskı yaratıyor</x:v>
      </x:c>
      <x:c r="F13" s="12" t="n">
        <x:v>-1</x:v>
      </x:c>
      <x:c r="G13" s="12" t="str">
        <x:v>negative</x:v>
      </x:c>
      <x:c r="H13" s="16" t="n">
        <x:v>0.8788250088691711</x:v>
      </x:c>
      <x:c r="I13" s="12" t="n">
        <x:v>-1</x:v>
      </x:c>
      <x:c r="J13" s="12" t="str">
        <x:v>negative</x:v>
      </x:c>
      <x:c r="K13" s="18" t="n">
        <x:v>0.78</x:v>
      </x:c>
      <x:c r="L13" s="12" t="str">
        <x:v>Görünüm korunsa da Chrysler'in baskı oluşturması olumsuz tarafı öne çıkarıyor.</x:v>
      </x:c>
      <x:c r="M13" s="12" t="str">
        <x:f>IF(G13=J13,"same","different")</x:f>
        <x:v>same</x:v>
      </x:c>
      <x:c r="N13" s="12" t="str">
        <x:f>IF(M13="different","Kontrol önerilir: FinBERT ile ChatGPT ayrışıyor.","Uyumlu.")</x:f>
        <x:v>Uyumlu.</x:v>
      </x:c>
    </x:row>
    <x:row r="14">
      <x:c r="A14" s="12" t="str">
        <x:v>REUTERS_annotation_batch_021</x:v>
      </x:c>
      <x:c r="B14" s="12" t="str">
        <x:v>REUTERS_ANN_01013</x:v>
      </x:c>
      <x:c r="C14" s="14" t="n">
        <x:v>39099</x:v>
      </x:c>
      <x:c r="D14" s="12" t="str">
        <x:v>express scripts launches offer for caremark</x:v>
      </x:c>
      <x:c r="E14" s="12" t="str">
        <x:v>Express Scripts, Caremark için teklif başlattı</x:v>
      </x:c>
      <x:c r="F14" s="12" t="n">
        <x:v>1</x:v>
      </x:c>
      <x:c r="G14" s="12" t="str">
        <x:v>positive</x:v>
      </x:c>
      <x:c r="H14" s="16" t="n">
        <x:v>0.5858181118965149</x:v>
      </x:c>
      <x:c r="I14" s="12" t="n">
        <x:v>1</x:v>
      </x:c>
      <x:c r="J14" s="12" t="str">
        <x:v>positive</x:v>
      </x:c>
      <x:c r="K14" s="18" t="n">
        <x:v>0.69</x:v>
      </x:c>
      <x:c r="L14" s="12" t="str">
        <x:v>Satın alma teklifi kurumsal işlem ve değer yaratma beklentisi taşıyor.</x:v>
      </x:c>
      <x:c r="M14" s="12" t="str">
        <x:f>IF(G14=J14,"same","different")</x:f>
        <x:v>same</x:v>
      </x:c>
      <x:c r="N14" s="12" t="str">
        <x:f>IF(M14="different","Kontrol önerilir: FinBERT ile ChatGPT ayrışıyor.","Uyumlu.")</x:f>
        <x:v>Uyumlu.</x:v>
      </x:c>
    </x:row>
    <x:row r="15">
      <x:c r="A15" s="12" t="str">
        <x:v>REUTERS_annotation_batch_021</x:v>
      </x:c>
      <x:c r="B15" s="12" t="str">
        <x:v>REUTERS_ANN_01014</x:v>
      </x:c>
      <x:c r="C15" s="14" t="n">
        <x:v>39177</x:v>
      </x:c>
      <x:c r="D15" s="12" t="str">
        <x:v>jobless claims mount but labor market still fit</x:v>
      </x:c>
      <x:c r="E15" s="12" t="str">
        <x:v>İşsizlik başvuruları arttı ancak işgücü piyasası hâlâ sağlam</x:v>
      </x:c>
      <x:c r="F15" s="12" t="n">
        <x:v>1</x:v>
      </x:c>
      <x:c r="G15" s="12" t="str">
        <x:v>positive</x:v>
      </x:c>
      <x:c r="H15" s="16" t="n">
        <x:v>0.935757339000702</x:v>
      </x:c>
      <x:c r="I15" s="12" t="n">
        <x:v>0</x:v>
      </x:c>
      <x:c r="J15" s="12" t="str">
        <x:v>neutral</x:v>
      </x:c>
      <x:c r="K15" s="18" t="n">
        <x:v>0.66</x:v>
      </x:c>
      <x:c r="L15" s="12" t="str">
        <x:v>Artan başvurular ve sağlam piyasa ifadesi birbirini dengelediği için nötr.</x:v>
      </x:c>
      <x:c r="M15" s="12" t="str">
        <x:f>IF(G15=J15,"same","different")</x:f>
        <x:v>different</x:v>
      </x:c>
      <x:c r="N15" s="12" t="str">
        <x:f>IF(M15="different","Kontrol önerilir: FinBERT ile ChatGPT ayrışıyor.","Uyumlu.")</x:f>
        <x:v>Kontrol önerilir: FinBERT ile ChatGPT ayrışıyor.</x:v>
      </x:c>
    </x:row>
    <x:row r="16">
      <x:c r="A16" s="12" t="str">
        <x:v>REUTERS_annotation_batch_021</x:v>
      </x:c>
      <x:c r="B16" s="12" t="str">
        <x:v>REUTERS_ANN_01015</x:v>
      </x:c>
      <x:c r="C16" s="14" t="n">
        <x:v>39159</x:v>
      </x:c>
      <x:c r="D16" s="12" t="str">
        <x:v>housing nightmare tarnishes the american dream</x:v>
      </x:c>
      <x:c r="E16" s="12" t="str">
        <x:v>Konut kâbusu Amerikan rüyasını lekeliyor</x:v>
      </x:c>
      <x:c r="F16" s="12" t="n">
        <x:v>0</x:v>
      </x:c>
      <x:c r="G16" s="12" t="str">
        <x:v>neutral</x:v>
      </x:c>
      <x:c r="H16" s="16" t="n">
        <x:v>0.9163841605186462</x:v>
      </x:c>
      <x:c r="I16" s="12" t="n">
        <x:v>-1</x:v>
      </x:c>
      <x:c r="J16" s="12" t="str">
        <x:v>negative</x:v>
      </x:c>
      <x:c r="K16" s="18" t="n">
        <x:v>0.9</x:v>
      </x:c>
      <x:c r="L16" s="12" t="str">
        <x:v>Konut piyasasına dair güçlü olumsuz ve riskli bir ifade var.</x:v>
      </x:c>
      <x:c r="M16" s="12" t="str">
        <x:f>IF(G16=J16,"same","different")</x:f>
        <x:v>different</x:v>
      </x:c>
      <x:c r="N16" s="12" t="str">
        <x:f>IF(M16="different","Kontrol önerilir: FinBERT ile ChatGPT ayrışıyor.","Uyumlu.")</x:f>
        <x:v>Kontrol önerilir: FinBERT ile ChatGPT ayrışıyor.</x:v>
      </x:c>
    </x:row>
    <x:row r="17">
      <x:c r="A17" s="12" t="str">
        <x:v>REUTERS_annotation_batch_021</x:v>
      </x:c>
      <x:c r="B17" s="12" t="str">
        <x:v>REUTERS_ANN_01016</x:v>
      </x:c>
      <x:c r="C17" s="14" t="n">
        <x:v>39157</x:v>
      </x:c>
      <x:c r="D17" s="12" t="str">
        <x:v>arcelor mittal eyes hostile bid for posco paper</x:v>
      </x:c>
      <x:c r="E17" s="12" t="str">
        <x:v>Arcelor Mittal, Posco için düşmanca teklif olasılığını değerlendiriyor</x:v>
      </x:c>
      <x:c r="F17" s="12" t="n">
        <x:v>0</x:v>
      </x:c>
      <x:c r="G17" s="12" t="str">
        <x:v>neutral</x:v>
      </x:c>
      <x:c r="H17" s="16" t="n">
        <x:v>0.8849379420280457</x:v>
      </x:c>
      <x:c r="I17" s="12" t="n">
        <x:v>0</x:v>
      </x:c>
      <x:c r="J17" s="12" t="str">
        <x:v>neutral</x:v>
      </x:c>
      <x:c r="K17" s="18" t="n">
        <x:v>0.68</x:v>
      </x:c>
      <x:c r="L17" s="12" t="str">
        <x:v>Olası teklif haberi kesinleşmemiş ve yönü belirsiz.</x:v>
      </x:c>
      <x:c r="M17" s="12" t="str">
        <x:f>IF(G17=J17,"same","different")</x:f>
        <x:v>same</x:v>
      </x:c>
      <x:c r="N17" s="12" t="str">
        <x:f>IF(M17="different","Kontrol önerilir: FinBERT ile ChatGPT ayrışıyor.","Uyumlu.")</x:f>
        <x:v>Uyumlu.</x:v>
      </x:c>
    </x:row>
    <x:row r="18">
      <x:c r="A18" s="12" t="str">
        <x:v>REUTERS_annotation_batch_021</x:v>
      </x:c>
      <x:c r="B18" s="12" t="str">
        <x:v>REUTERS_ANN_01017</x:v>
      </x:c>
      <x:c r="C18" s="14" t="n">
        <x:v>39055</x:v>
      </x:c>
      <x:c r="D18" s="12" t="str">
        <x:v>gold lower, but weaker data seen supportive</x:v>
      </x:c>
      <x:c r="E18" s="12" t="str">
        <x:v>Altın geriledi ancak zayıf verilerin destekleyici olabileceği görülüyor</x:v>
      </x:c>
      <x:c r="F18" s="12" t="n">
        <x:v>-1</x:v>
      </x:c>
      <x:c r="G18" s="12" t="str">
        <x:v>negative</x:v>
      </x:c>
      <x:c r="H18" s="16" t="n">
        <x:v>0.951949417591095</x:v>
      </x:c>
      <x:c r="I18" s="12" t="n">
        <x:v>-1</x:v>
      </x:c>
      <x:c r="J18" s="12" t="str">
        <x:v>negative</x:v>
      </x:c>
      <x:c r="K18" s="18" t="n">
        <x:v>0.68</x:v>
      </x:c>
      <x:c r="L18" s="12" t="str">
        <x:v>Ana fiyat hareketi altının düşmesi; destekleyici unsur ikincil kalıyor.</x:v>
      </x:c>
      <x:c r="M18" s="12" t="str">
        <x:f>IF(G18=J18,"same","different")</x:f>
        <x:v>same</x:v>
      </x:c>
      <x:c r="N18" s="12" t="str">
        <x:f>IF(M18="different","Kontrol önerilir: FinBERT ile ChatGPT ayrışıyor.","Uyumlu.")</x:f>
        <x:v>Uyumlu.</x:v>
      </x:c>
    </x:row>
    <x:row r="19">
      <x:c r="A19" s="12" t="str">
        <x:v>REUTERS_annotation_batch_021</x:v>
      </x:c>
      <x:c r="B19" s="12" t="str">
        <x:v>REUTERS_ANN_01018</x:v>
      </x:c>
      <x:c r="C19" s="14" t="n">
        <x:v>39164</x:v>
      </x:c>
      <x:c r="D19" s="12" t="str">
        <x:v>enel, acciona set to scupper e.ons endesa bid</x:v>
      </x:c>
      <x:c r="E19" s="12" t="str">
        <x:v>Enel ve Acciona, E.ON'un Endesa teklifini bozacak gibi görünüyor</x:v>
      </x:c>
      <x:c r="F19" s="12" t="n">
        <x:v>1</x:v>
      </x:c>
      <x:c r="G19" s="12" t="str">
        <x:v>positive</x:v>
      </x:c>
      <x:c r="H19" s="16" t="n">
        <x:v>0.6555052399635315</x:v>
      </x:c>
      <x:c r="I19" s="12" t="n">
        <x:v>-1</x:v>
      </x:c>
      <x:c r="J19" s="12" t="str">
        <x:v>negative</x:v>
      </x:c>
      <x:c r="K19" s="18" t="n">
        <x:v>0.72</x:v>
      </x:c>
      <x:c r="L19" s="12" t="str">
        <x:v>Mevcut teklifin bozulması anlaşma süreci açısından olumsuz sinyal.</x:v>
      </x:c>
      <x:c r="M19" s="12" t="str">
        <x:f>IF(G19=J19,"same","different")</x:f>
        <x:v>different</x:v>
      </x:c>
      <x:c r="N19" s="12" t="str">
        <x:f>IF(M19="different","Kontrol önerilir: FinBERT ile ChatGPT ayrışıyor.","Uyumlu.")</x:f>
        <x:v>Kontrol önerilir: FinBERT ile ChatGPT ayrışıyor.</x:v>
      </x:c>
    </x:row>
    <x:row r="20">
      <x:c r="A20" s="12" t="str">
        <x:v>REUTERS_annotation_batch_021</x:v>
      </x:c>
      <x:c r="B20" s="12" t="str">
        <x:v>REUTERS_ANN_01019</x:v>
      </x:c>
      <x:c r="C20" s="14" t="n">
        <x:v>39061</x:v>
      </x:c>
      <x:c r="D20" s="12" t="str">
        <x:v>espn-star wins international cricket tv rights</x:v>
      </x:c>
      <x:c r="E20" s="12" t="str">
        <x:v>ESPN-Star uluslararası kriket yayın haklarını kazandı</x:v>
      </x:c>
      <x:c r="F20" s="12" t="n">
        <x:v>1</x:v>
      </x:c>
      <x:c r="G20" s="12" t="str">
        <x:v>positive</x:v>
      </x:c>
      <x:c r="H20" s="16" t="n">
        <x:v>0.6420329213142395</x:v>
      </x:c>
      <x:c r="I20" s="12" t="n">
        <x:v>1</x:v>
      </x:c>
      <x:c r="J20" s="12" t="str">
        <x:v>positive</x:v>
      </x:c>
      <x:c r="K20" s="18" t="n">
        <x:v>0.8</x:v>
      </x:c>
      <x:c r="L20" s="12" t="str">
        <x:v>Yayın hakkı kazanımı ticari varlık ve gelir potansiyeli açısından olumlu.</x:v>
      </x:c>
      <x:c r="M20" s="12" t="str">
        <x:f>IF(G20=J20,"same","different")</x:f>
        <x:v>same</x:v>
      </x:c>
      <x:c r="N20" s="12" t="str">
        <x:f>IF(M20="different","Kontrol önerilir: FinBERT ile ChatGPT ayrışıyor.","Uyumlu.")</x:f>
        <x:v>Uyumlu.</x:v>
      </x:c>
    </x:row>
    <x:row r="21">
      <x:c r="A21" s="12" t="str">
        <x:v>REUTERS_annotation_batch_021</x:v>
      </x:c>
      <x:c r="B21" s="12" t="str">
        <x:v>REUTERS_ANN_01020</x:v>
      </x:c>
      <x:c r="C21" s="14" t="n">
        <x:v>39037</x:v>
      </x:c>
      <x:c r="D21" s="12" t="str">
        <x:v>china rules herald slow advance for foreign banks</x:v>
      </x:c>
      <x:c r="E21" s="12" t="str">
        <x:v>Çin kuralları yabancı bankalar için yavaş bir ilerlemeye işaret ediyor</x:v>
      </x:c>
      <x:c r="F21" s="12" t="n">
        <x:v>1</x:v>
      </x:c>
      <x:c r="G21" s="12" t="str">
        <x:v>positive</x:v>
      </x:c>
      <x:c r="H21" s="16" t="n">
        <x:v>0.8244844079017639</x:v>
      </x:c>
      <x:c r="I21" s="12" t="n">
        <x:v>0</x:v>
      </x:c>
      <x:c r="J21" s="12" t="str">
        <x:v>neutral</x:v>
      </x:c>
      <x:c r="K21" s="18" t="n">
        <x:v>0.63</x:v>
      </x:c>
      <x:c r="L21" s="12" t="str">
        <x:v>İlerleme var ancak yavaş ve temkinli; net pozitif değil.</x:v>
      </x:c>
      <x:c r="M21" s="12" t="str">
        <x:f>IF(G21=J21,"same","different")</x:f>
        <x:v>different</x:v>
      </x:c>
      <x:c r="N21" s="12" t="str">
        <x:f>IF(M21="different","Kontrol önerilir: FinBERT ile ChatGPT ayrışıyor.","Uyumlu.")</x:f>
        <x:v>Kontrol önerilir: FinBERT ile ChatGPT ayrışıyor.</x:v>
      </x:c>
    </x:row>
    <x:row r="22">
      <x:c r="A22" s="12" t="str">
        <x:v>REUTERS_annotation_batch_021</x:v>
      </x:c>
      <x:c r="B22" s="12" t="str">
        <x:v>REUTERS_ANN_01021</x:v>
      </x:c>
      <x:c r="C22" s="14" t="n">
        <x:v>39128</x:v>
      </x:c>
      <x:c r="D22" s="12" t="str">
        <x:v>boeing confirms ups order for 27 planes</x:v>
      </x:c>
      <x:c r="E22" s="12" t="str">
        <x:v>Boeing, UPS'in 27 uçaklık siparişini doğruladı</x:v>
      </x:c>
      <x:c r="F22" s="12" t="n">
        <x:v>1</x:v>
      </x:c>
      <x:c r="G22" s="12" t="str">
        <x:v>positive</x:v>
      </x:c>
      <x:c r="H22" s="16" t="n">
        <x:v>0.6400537490844727</x:v>
      </x:c>
      <x:c r="I22" s="12" t="n">
        <x:v>1</x:v>
      </x:c>
      <x:c r="J22" s="12" t="str">
        <x:v>positive</x:v>
      </x:c>
      <x:c r="K22" s="18" t="n">
        <x:v>0.9</x:v>
      </x:c>
      <x:c r="L22" s="12" t="str">
        <x:v>Büyük uçak siparişi gelir görünümü açısından pozitif.</x:v>
      </x:c>
      <x:c r="M22" s="12" t="str">
        <x:f>IF(G22=J22,"same","different")</x:f>
        <x:v>same</x:v>
      </x:c>
      <x:c r="N22" s="12" t="str">
        <x:f>IF(M22="different","Kontrol önerilir: FinBERT ile ChatGPT ayrışıyor.","Uyumlu.")</x:f>
        <x:v>Uyumlu.</x:v>
      </x:c>
    </x:row>
    <x:row r="23">
      <x:c r="A23" s="12" t="str">
        <x:v>REUTERS_annotation_batch_021</x:v>
      </x:c>
      <x:c r="B23" s="12" t="str">
        <x:v>REUTERS_ANN_01022</x:v>
      </x:c>
      <x:c r="C23" s="14" t="n">
        <x:v>39196</x:v>
      </x:c>
      <x:c r="D23" s="12" t="str">
        <x:v>higher aluminum prices lift alcan profit</x:v>
      </x:c>
      <x:c r="E23" s="12" t="str">
        <x:v>Yüksek alüminyum fiyatları Alcan'ın kârını artırdı</x:v>
      </x:c>
      <x:c r="F23" s="12" t="n">
        <x:v>1</x:v>
      </x:c>
      <x:c r="G23" s="12" t="str">
        <x:v>positive</x:v>
      </x:c>
      <x:c r="H23" s="16" t="n">
        <x:v>0.9552434682846068</x:v>
      </x:c>
      <x:c r="I23" s="12" t="n">
        <x:v>1</x:v>
      </x:c>
      <x:c r="J23" s="12" t="str">
        <x:v>positive</x:v>
      </x:c>
      <x:c r="K23" s="18" t="n">
        <x:v>0.94</x:v>
      </x:c>
      <x:c r="L23" s="12" t="str">
        <x:v>Kâr artışı açıkça olumlu finansal performans gösteriyor.</x:v>
      </x:c>
      <x:c r="M23" s="12" t="str">
        <x:f>IF(G23=J23,"same","different")</x:f>
        <x:v>same</x:v>
      </x:c>
      <x:c r="N23" s="12" t="str">
        <x:f>IF(M23="different","Kontrol önerilir: FinBERT ile ChatGPT ayrışıyor.","Uyumlu.")</x:f>
        <x:v>Uyumlu.</x:v>
      </x:c>
    </x:row>
    <x:row r="24">
      <x:c r="A24" s="12" t="str">
        <x:v>REUTERS_annotation_batch_021</x:v>
      </x:c>
      <x:c r="B24" s="12" t="str">
        <x:v>REUTERS_ANN_01023</x:v>
      </x:c>
      <x:c r="C24" s="14" t="n">
        <x:v>39079</x:v>
      </x:c>
      <x:c r="D24" s="12" t="str">
        <x:v>china sales of mazda3 to resume in january-mazda</x:v>
      </x:c>
      <x:c r="E24" s="12" t="str">
        <x:v>Mazda'ya göre Çin'de Mazda3 satışları ocakta yeniden başlayacak</x:v>
      </x:c>
      <x:c r="F24" s="12" t="n">
        <x:v>-1</x:v>
      </x:c>
      <x:c r="G24" s="12" t="str">
        <x:v>negative</x:v>
      </x:c>
      <x:c r="H24" s="16" t="n">
        <x:v>0.9220139384269714</x:v>
      </x:c>
      <x:c r="I24" s="12" t="n">
        <x:v>1</x:v>
      </x:c>
      <x:c r="J24" s="12" t="str">
        <x:v>positive</x:v>
      </x:c>
      <x:c r="K24" s="18" t="n">
        <x:v>0.7</x:v>
      </x:c>
      <x:c r="L24" s="12" t="str">
        <x:v>Satışların yeniden başlaması faaliyet açısından olumlu gelişme.</x:v>
      </x:c>
      <x:c r="M24" s="12" t="str">
        <x:f>IF(G24=J24,"same","different")</x:f>
        <x:v>different</x:v>
      </x:c>
      <x:c r="N24" s="12" t="str">
        <x:f>IF(M24="different","Kontrol önerilir: FinBERT ile ChatGPT ayrışıyor.","Uyumlu.")</x:f>
        <x:v>Kontrol önerilir: FinBERT ile ChatGPT ayrışıyor.</x:v>
      </x:c>
    </x:row>
    <x:row r="25">
      <x:c r="A25" s="12" t="str">
        <x:v>REUTERS_annotation_batch_021</x:v>
      </x:c>
      <x:c r="B25" s="12" t="str">
        <x:v>REUTERS_ANN_01024</x:v>
      </x:c>
      <x:c r="C25" s="14" t="n">
        <x:v>39088</x:v>
      </x:c>
      <x:c r="D25" s="12" t="str">
        <x:v>british airways reaches pension deal with unions</x:v>
      </x:c>
      <x:c r="E25" s="12" t="str">
        <x:v>British Airways sendikalarla emeklilik anlaşmasına vardı</x:v>
      </x:c>
      <x:c r="F25" s="12" t="n">
        <x:v>1</x:v>
      </x:c>
      <x:c r="G25" s="12" t="str">
        <x:v>positive</x:v>
      </x:c>
      <x:c r="H25" s="16" t="n">
        <x:v>0.9181710481643676</x:v>
      </x:c>
      <x:c r="I25" s="12" t="n">
        <x:v>1</x:v>
      </x:c>
      <x:c r="J25" s="12" t="str">
        <x:v>positive</x:v>
      </x:c>
      <x:c r="K25" s="18" t="n">
        <x:v>0.82</x:v>
      </x:c>
      <x:c r="L25" s="12" t="str">
        <x:v>Emeklilik anlaşması işgücü belirsizliğini azaltıyor.</x:v>
      </x:c>
      <x:c r="M25" s="12" t="str">
        <x:f>IF(G25=J25,"same","different")</x:f>
        <x:v>same</x:v>
      </x:c>
      <x:c r="N25" s="12" t="str">
        <x:f>IF(M25="different","Kontrol önerilir: FinBERT ile ChatGPT ayrışıyor.","Uyumlu.")</x:f>
        <x:v>Uyumlu.</x:v>
      </x:c>
    </x:row>
    <x:row r="26">
      <x:c r="A26" s="12" t="str">
        <x:v>REUTERS_annotation_batch_021</x:v>
      </x:c>
      <x:c r="B26" s="12" t="str">
        <x:v>REUTERS_ANN_01025</x:v>
      </x:c>
      <x:c r="C26" s="14" t="n">
        <x:v>39170</x:v>
      </x:c>
      <x:c r="D26" s="12" t="str">
        <x:v>discovery to buy out cox communications stake</x:v>
      </x:c>
      <x:c r="E26" s="12" t="str">
        <x:v>Discovery, Cox Communications hissesini satın alacak</x:v>
      </x:c>
      <x:c r="F26" s="12" t="n">
        <x:v>0</x:v>
      </x:c>
      <x:c r="G26" s="12" t="str">
        <x:v>neutral</x:v>
      </x:c>
      <x:c r="H26" s="16" t="n">
        <x:v>0.8358923196792603</x:v>
      </x:c>
      <x:c r="I26" s="12" t="n">
        <x:v>0</x:v>
      </x:c>
      <x:c r="J26" s="12" t="str">
        <x:v>neutral</x:v>
      </x:c>
      <x:c r="K26" s="18" t="n">
        <x:v>0.68</x:v>
      </x:c>
      <x:c r="L26" s="12" t="str">
        <x:v>Kurumsal işlem haberi; etkisi ve piyasa tepkisi belirtilmedi.</x:v>
      </x:c>
      <x:c r="M26" s="12" t="str">
        <x:f>IF(G26=J26,"same","different")</x:f>
        <x:v>same</x:v>
      </x:c>
      <x:c r="N26" s="12" t="str">
        <x:f>IF(M26="different","Kontrol önerilir: FinBERT ile ChatGPT ayrışıyor.","Uyumlu.")</x:f>
        <x:v>Uyumlu.</x:v>
      </x:c>
    </x:row>
    <x:row r="27">
      <x:c r="A27" s="12" t="str">
        <x:v>REUTERS_annotation_batch_021</x:v>
      </x:c>
      <x:c r="B27" s="12" t="str">
        <x:v>REUTERS_ANN_01026</x:v>
      </x:c>
      <x:c r="C27" s="14" t="n">
        <x:v>39163</x:v>
      </x:c>
      <x:c r="D27" s="12" t="str">
        <x:v>charges, higher costs hit palm quarterly profit</x:v>
      </x:c>
      <x:c r="E27" s="12" t="str">
        <x:v>Giderler ve yüksek maliyetler Palm'ın çeyreklik kârını vurdu</x:v>
      </x:c>
      <x:c r="F27" s="12" t="n">
        <x:v>-1</x:v>
      </x:c>
      <x:c r="G27" s="12" t="str">
        <x:v>negative</x:v>
      </x:c>
      <x:c r="H27" s="16" t="n">
        <x:v>0.9757714867591858</x:v>
      </x:c>
      <x:c r="I27" s="12" t="n">
        <x:v>-1</x:v>
      </x:c>
      <x:c r="J27" s="12" t="str">
        <x:v>negative</x:v>
      </x:c>
      <x:c r="K27" s="18" t="n">
        <x:v>0.94</x:v>
      </x:c>
      <x:c r="L27" s="12" t="str">
        <x:v>Maliyetler kârlılığı azaltıyor; açık negatif performans sinyali.</x:v>
      </x:c>
      <x:c r="M27" s="12" t="str">
        <x:f>IF(G27=J27,"same","different")</x:f>
        <x:v>same</x:v>
      </x:c>
      <x:c r="N27" s="12" t="str">
        <x:f>IF(M27="different","Kontrol önerilir: FinBERT ile ChatGPT ayrışıyor.","Uyumlu.")</x:f>
        <x:v>Uyumlu.</x:v>
      </x:c>
    </x:row>
    <x:row r="28">
      <x:c r="A28" s="12" t="str">
        <x:v>REUTERS_annotation_batch_021</x:v>
      </x:c>
      <x:c r="B28" s="12" t="str">
        <x:v>REUTERS_ANN_01027</x:v>
      </x:c>
      <x:c r="C28" s="14" t="n">
        <x:v>39143</x:v>
      </x:c>
      <x:c r="D28" s="12" t="str">
        <x:v>factbox-inside the alleged insider trading</x:v>
      </x:c>
      <x:c r="E28" s="12" t="str">
        <x:v>Bilgi kutusu: iddia edilen içeriden öğrenenlerin ticaretinin ayrıntıları</x:v>
      </x:c>
      <x:c r="F28" s="12" t="n">
        <x:v>0</x:v>
      </x:c>
      <x:c r="G28" s="12" t="str">
        <x:v>neutral</x:v>
      </x:c>
      <x:c r="H28" s="16" t="n">
        <x:v>0.7019704580307007</x:v>
      </x:c>
      <x:c r="I28" s="12" t="n">
        <x:v>0</x:v>
      </x:c>
      <x:c r="J28" s="12" t="str">
        <x:v>neutral</x:v>
      </x:c>
      <x:c r="K28" s="18" t="n">
        <x:v>0.72</x:v>
      </x:c>
      <x:c r="L28" s="12" t="str">
        <x:v>Factbox niteliğinde, doğrudan yeni yönlü finansal sinyal yok.</x:v>
      </x:c>
      <x:c r="M28" s="12" t="str">
        <x:f>IF(G28=J28,"same","different")</x:f>
        <x:v>same</x:v>
      </x:c>
      <x:c r="N28" s="12" t="str">
        <x:f>IF(M28="different","Kontrol önerilir: FinBERT ile ChatGPT ayrışıyor.","Uyumlu.")</x:f>
        <x:v>Uyumlu.</x:v>
      </x:c>
    </x:row>
    <x:row r="29">
      <x:c r="A29" s="12" t="str">
        <x:v>REUTERS_annotation_batch_021</x:v>
      </x:c>
      <x:c r="B29" s="12" t="str">
        <x:v>REUTERS_ANN_01028</x:v>
      </x:c>
      <x:c r="C29" s="14" t="n">
        <x:v>39091</x:v>
      </x:c>
      <x:c r="D29" s="12" t="str">
        <x:v>matsushita to spend $2.36 billion on display plant paper</x:v>
      </x:c>
      <x:c r="E29" s="12" t="str">
        <x:v>Habere göre Matsushita ekran fabrikasına 2,36 milyar dolar harcayacak</x:v>
      </x:c>
      <x:c r="F29" s="12" t="n">
        <x:v>1</x:v>
      </x:c>
      <x:c r="G29" s="12" t="str">
        <x:v>positive</x:v>
      </x:c>
      <x:c r="H29" s="16" t="n">
        <x:v>0.656939685344696</x:v>
      </x:c>
      <x:c r="I29" s="12" t="n">
        <x:v>1</x:v>
      </x:c>
      <x:c r="J29" s="12" t="str">
        <x:v>positive</x:v>
      </x:c>
      <x:c r="K29" s="18" t="n">
        <x:v>0.74</x:v>
      </x:c>
      <x:c r="L29" s="12" t="str">
        <x:v>Yatırım ve kapasite artırımı büyüme niyeti gösteriyor.</x:v>
      </x:c>
      <x:c r="M29" s="12" t="str">
        <x:f>IF(G29=J29,"same","different")</x:f>
        <x:v>same</x:v>
      </x:c>
      <x:c r="N29" s="12" t="str">
        <x:f>IF(M29="different","Kontrol önerilir: FinBERT ile ChatGPT ayrışıyor.","Uyumlu.")</x:f>
        <x:v>Uyumlu.</x:v>
      </x:c>
    </x:row>
    <x:row r="30">
      <x:c r="A30" s="12" t="str">
        <x:v>REUTERS_annotation_batch_021</x:v>
      </x:c>
      <x:c r="B30" s="12" t="str">
        <x:v>REUTERS_ANN_01029</x:v>
      </x:c>
      <x:c r="C30" s="14" t="n">
        <x:v>39042</x:v>
      </x:c>
      <x:c r="D30" s="12" t="str">
        <x:v>lockheed gets $1 billion us deal for f-22 fighters</x:v>
      </x:c>
      <x:c r="E30" s="12" t="str">
        <x:v>Lockheed, F-22 savaş uçakları için 1 milyar dolarlık ABD anlaşması aldı</x:v>
      </x:c>
      <x:c r="F30" s="12" t="n">
        <x:v>1</x:v>
      </x:c>
      <x:c r="G30" s="12" t="str">
        <x:v>positive</x:v>
      </x:c>
      <x:c r="H30" s="16" t="n">
        <x:v>0.8748956322669983</x:v>
      </x:c>
      <x:c r="I30" s="12" t="n">
        <x:v>1</x:v>
      </x:c>
      <x:c r="J30" s="12" t="str">
        <x:v>positive</x:v>
      </x:c>
      <x:c r="K30" s="18" t="n">
        <x:v>0.91</x:v>
      </x:c>
      <x:c r="L30" s="12" t="str">
        <x:v>Büyük kontrat gelir açısından olumlu.</x:v>
      </x:c>
      <x:c r="M30" s="12" t="str">
        <x:f>IF(G30=J30,"same","different")</x:f>
        <x:v>same</x:v>
      </x:c>
      <x:c r="N30" s="12" t="str">
        <x:f>IF(M30="different","Kontrol önerilir: FinBERT ile ChatGPT ayrışıyor.","Uyumlu.")</x:f>
        <x:v>Uyumlu.</x:v>
      </x:c>
    </x:row>
    <x:row r="31">
      <x:c r="A31" s="12" t="str">
        <x:v>REUTERS_annotation_batch_021</x:v>
      </x:c>
      <x:c r="B31" s="12" t="str">
        <x:v>REUTERS_ANN_01030</x:v>
      </x:c>
      <x:c r="C31" s="14" t="n">
        <x:v>39182</x:v>
      </x:c>
      <x:c r="D31" s="12" t="str">
        <x:v>media general to cut jobs at tampa tribune, wfla</x:v>
      </x:c>
      <x:c r="E31" s="12" t="str">
        <x:v>Media General, Tampa Tribune ve WFLA'da işten çıkarmalar yapacak</x:v>
      </x:c>
      <x:c r="F31" s="12" t="n">
        <x:v>-1</x:v>
      </x:c>
      <x:c r="G31" s="12" t="str">
        <x:v>negative</x:v>
      </x:c>
      <x:c r="H31" s="16" t="n">
        <x:v>0.960124969482422</x:v>
      </x:c>
      <x:c r="I31" s="12" t="n">
        <x:v>-1</x:v>
      </x:c>
      <x:c r="J31" s="12" t="str">
        <x:v>negative</x:v>
      </x:c>
      <x:c r="K31" s="18" t="n">
        <x:v>0.88</x:v>
      </x:c>
      <x:c r="L31" s="12" t="str">
        <x:v>İşten çıkarma ve mali baskı olumsuz şirket sinyali.</x:v>
      </x:c>
      <x:c r="M31" s="12" t="str">
        <x:f>IF(G31=J31,"same","different")</x:f>
        <x:v>same</x:v>
      </x:c>
      <x:c r="N31" s="12" t="str">
        <x:f>IF(M31="different","Kontrol önerilir: FinBERT ile ChatGPT ayrışıyor.","Uyumlu.")</x:f>
        <x:v>Uyumlu.</x:v>
      </x:c>
    </x:row>
    <x:row r="32">
      <x:c r="A32" s="12" t="str">
        <x:v>REUTERS_annotation_batch_021</x:v>
      </x:c>
      <x:c r="B32" s="12" t="str">
        <x:v>REUTERS_ANN_01031</x:v>
      </x:c>
      <x:c r="C32" s="14" t="n">
        <x:v>39037</x:v>
      </x:c>
      <x:c r="D32" s="12" t="str">
        <x:v>gm names new chief accounting officer</x:v>
      </x:c>
      <x:c r="E32" s="12" t="str">
        <x:v>GM yeni baş muhasebe sorumlusunu atadı</x:v>
      </x:c>
      <x:c r="F32" s="12" t="n">
        <x:v>0</x:v>
      </x:c>
      <x:c r="G32" s="12" t="str">
        <x:v>neutral</x:v>
      </x:c>
      <x:c r="H32" s="16" t="n">
        <x:v>0.8946267366409302</x:v>
      </x:c>
      <x:c r="I32" s="12" t="n">
        <x:v>0</x:v>
      </x:c>
      <x:c r="J32" s="12" t="str">
        <x:v>neutral</x:v>
      </x:c>
      <x:c r="K32" s="18" t="n">
        <x:v>0.78</x:v>
      </x:c>
      <x:c r="L32" s="12" t="str">
        <x:v>Yönetici ataması tek başına nötr kurumsal haber.</x:v>
      </x:c>
      <x:c r="M32" s="12" t="str">
        <x:f>IF(G32=J32,"same","different")</x:f>
        <x:v>same</x:v>
      </x:c>
      <x:c r="N32" s="12" t="str">
        <x:f>IF(M32="different","Kontrol önerilir: FinBERT ile ChatGPT ayrışıyor.","Uyumlu.")</x:f>
        <x:v>Uyumlu.</x:v>
      </x:c>
    </x:row>
    <x:row r="33">
      <x:c r="A33" s="12" t="str">
        <x:v>REUTERS_annotation_batch_021</x:v>
      </x:c>
      <x:c r="B33" s="12" t="str">
        <x:v>REUTERS_ANN_01032</x:v>
      </x:c>
      <x:c r="C33" s="14" t="n">
        <x:v>39120</x:v>
      </x:c>
      <x:c r="D33" s="12" t="str">
        <x:v>delta gets court ok to poll creditors on plan</x:v>
      </x:c>
      <x:c r="E33" s="12" t="str">
        <x:v>Delta, planı alacaklılara oylatmak için mahkeme onayı aldı</x:v>
      </x:c>
      <x:c r="F33" s="12" t="n">
        <x:v>1</x:v>
      </x:c>
      <x:c r="G33" s="12" t="str">
        <x:v>positive</x:v>
      </x:c>
      <x:c r="H33" s="16" t="n">
        <x:v>0.6867456436157227</x:v>
      </x:c>
      <x:c r="I33" s="12" t="n">
        <x:v>1</x:v>
      </x:c>
      <x:c r="J33" s="12" t="str">
        <x:v>positive</x:v>
      </x:c>
      <x:c r="K33" s="18" t="n">
        <x:v>0.73</x:v>
      </x:c>
      <x:c r="L33" s="12" t="str">
        <x:v>Yeniden yapılandırma sürecinde ilerleme olumlu kabul edildi.</x:v>
      </x:c>
      <x:c r="M33" s="12" t="str">
        <x:f>IF(G33=J33,"same","different")</x:f>
        <x:v>same</x:v>
      </x:c>
      <x:c r="N33" s="12" t="str">
        <x:f>IF(M33="different","Kontrol önerilir: FinBERT ile ChatGPT ayrışıyor.","Uyumlu.")</x:f>
        <x:v>Uyumlu.</x:v>
      </x:c>
    </x:row>
    <x:row r="34">
      <x:c r="A34" s="12" t="str">
        <x:v>REUTERS_annotation_batch_021</x:v>
      </x:c>
      <x:c r="B34" s="12" t="str">
        <x:v>REUTERS_ANN_01033</x:v>
      </x:c>
      <x:c r="C34" s="14" t="n">
        <x:v>39204</x:v>
      </x:c>
      <x:c r="D34" s="12" t="str">
        <x:v>blockbuster sells game station for $150 mln</x:v>
      </x:c>
      <x:c r="E34" s="12" t="str">
        <x:v>Blockbuster, Game Station'ı 150 milyon dolara sattı</x:v>
      </x:c>
      <x:c r="F34" s="12" t="n">
        <x:v>0</x:v>
      </x:c>
      <x:c r="G34" s="12" t="str">
        <x:v>neutral</x:v>
      </x:c>
      <x:c r="H34" s="16" t="n">
        <x:v>0.9135042428970336</x:v>
      </x:c>
      <x:c r="I34" s="12" t="n">
        <x:v>0</x:v>
      </x:c>
      <x:c r="J34" s="12" t="str">
        <x:v>neutral</x:v>
      </x:c>
      <x:c r="K34" s="18" t="n">
        <x:v>0.69</x:v>
      </x:c>
      <x:c r="L34" s="12" t="str">
        <x:v>Varlık satışı haberi; kâr/zarar etkisi belirtilmedi.</x:v>
      </x:c>
      <x:c r="M34" s="12" t="str">
        <x:f>IF(G34=J34,"same","different")</x:f>
        <x:v>same</x:v>
      </x:c>
      <x:c r="N34" s="12" t="str">
        <x:f>IF(M34="different","Kontrol önerilir: FinBERT ile ChatGPT ayrışıyor.","Uyumlu.")</x:f>
        <x:v>Uyumlu.</x:v>
      </x:c>
    </x:row>
    <x:row r="35">
      <x:c r="A35" s="12" t="str">
        <x:v>REUTERS_annotation_batch_021</x:v>
      </x:c>
      <x:c r="B35" s="12" t="str">
        <x:v>REUTERS_ANN_01034</x:v>
      </x:c>
      <x:c r="C35" s="14" t="n">
        <x:v>39188</x:v>
      </x:c>
      <x:c r="D35" s="12" t="str">
        <x:v>google-doubleclick deal seen spurring web ad ma</x:v>
      </x:c>
      <x:c r="E35" s="12" t="str">
        <x:v>Google-DoubleClick anlaşmasının web reklamlarında birleşme-satın almaları tetiklemesi bekleniyor</x:v>
      </x:c>
      <x:c r="F35" s="12" t="n">
        <x:v>1</x:v>
      </x:c>
      <x:c r="G35" s="12" t="str">
        <x:v>positive</x:v>
      </x:c>
      <x:c r="H35" s="16" t="n">
        <x:v>0.9097024202346802</x:v>
      </x:c>
      <x:c r="I35" s="12" t="n">
        <x:v>1</x:v>
      </x:c>
      <x:c r="J35" s="12" t="str">
        <x:v>positive</x:v>
      </x:c>
      <x:c r="K35" s="18" t="n">
        <x:v>0.82</x:v>
      </x:c>
      <x:c r="L35" s="12" t="str">
        <x:v>Anlaşma sektörde büyüme ve işlem iştahı sinyali veriyor.</x:v>
      </x:c>
      <x:c r="M35" s="12" t="str">
        <x:f>IF(G35=J35,"same","different")</x:f>
        <x:v>same</x:v>
      </x:c>
      <x:c r="N35" s="12" t="str">
        <x:f>IF(M35="different","Kontrol önerilir: FinBERT ile ChatGPT ayrışıyor.","Uyumlu.")</x:f>
        <x:v>Uyumlu.</x:v>
      </x:c>
    </x:row>
    <x:row r="36">
      <x:c r="A36" s="12" t="str">
        <x:v>REUTERS_annotation_batch_021</x:v>
      </x:c>
      <x:c r="B36" s="12" t="str">
        <x:v>REUTERS_ANN_01035</x:v>
      </x:c>
      <x:c r="C36" s="14" t="n">
        <x:v>39174</x:v>
      </x:c>
      <x:c r="D36" s="12" t="str">
        <x:v>veda advantage board agrees to buyout offer</x:v>
      </x:c>
      <x:c r="E36" s="12" t="str">
        <x:v>Veda Advantage yönetim kurulu satın alma teklifini kabul etti</x:v>
      </x:c>
      <x:c r="F36" s="12" t="n">
        <x:v>1</x:v>
      </x:c>
      <x:c r="G36" s="12" t="str">
        <x:v>positive</x:v>
      </x:c>
      <x:c r="H36" s="16" t="n">
        <x:v>0.9335233569145204</x:v>
      </x:c>
      <x:c r="I36" s="12" t="n">
        <x:v>1</x:v>
      </x:c>
      <x:c r="J36" s="12" t="str">
        <x:v>positive</x:v>
      </x:c>
      <x:c r="K36" s="18" t="n">
        <x:v>0.82</x:v>
      </x:c>
      <x:c r="L36" s="12" t="str">
        <x:v>Satın alma teklifinin kabulü hedef şirket için olumlu.</x:v>
      </x:c>
      <x:c r="M36" s="12" t="str">
        <x:f>IF(G36=J36,"same","different")</x:f>
        <x:v>same</x:v>
      </x:c>
      <x:c r="N36" s="12" t="str">
        <x:f>IF(M36="different","Kontrol önerilir: FinBERT ile ChatGPT ayrışıyor.","Uyumlu.")</x:f>
        <x:v>Uyumlu.</x:v>
      </x:c>
    </x:row>
    <x:row r="37">
      <x:c r="A37" s="12" t="str">
        <x:v>REUTERS_annotation_batch_021</x:v>
      </x:c>
      <x:c r="B37" s="12" t="str">
        <x:v>REUTERS_ANN_01036</x:v>
      </x:c>
      <x:c r="C37" s="14" t="n">
        <x:v>39125</x:v>
      </x:c>
      <x:c r="D37" s="12" t="str">
        <x:v>yahoo runs mobile phone advertising in 18 nations</x:v>
      </x:c>
      <x:c r="E37" s="12" t="str">
        <x:v>Yahoo 18 ülkede cep telefonu reklamcılığı yürütüyor</x:v>
      </x:c>
      <x:c r="F37" s="12" t="n">
        <x:v>1</x:v>
      </x:c>
      <x:c r="G37" s="12" t="str">
        <x:v>positive</x:v>
      </x:c>
      <x:c r="H37" s="16" t="n">
        <x:v>0.8626101016998291</x:v>
      </x:c>
      <x:c r="I37" s="12" t="n">
        <x:v>1</x:v>
      </x:c>
      <x:c r="J37" s="12" t="str">
        <x:v>positive</x:v>
      </x:c>
      <x:c r="K37" s="18" t="n">
        <x:v>0.76</x:v>
      </x:c>
      <x:c r="L37" s="12" t="str">
        <x:v>Yeni reklam faaliyetlerinin genişlemesi gelir potansiyeli taşıyor.</x:v>
      </x:c>
      <x:c r="M37" s="12" t="str">
        <x:f>IF(G37=J37,"same","different")</x:f>
        <x:v>same</x:v>
      </x:c>
      <x:c r="N37" s="12" t="str">
        <x:f>IF(M37="different","Kontrol önerilir: FinBERT ile ChatGPT ayrışıyor.","Uyumlu.")</x:f>
        <x:v>Uyumlu.</x:v>
      </x:c>
    </x:row>
    <x:row r="38">
      <x:c r="A38" s="12" t="str">
        <x:v>REUTERS_annotation_batch_021</x:v>
      </x:c>
      <x:c r="B38" s="12" t="str">
        <x:v>REUTERS_ANN_01037</x:v>
      </x:c>
      <x:c r="C38" s="14" t="n">
        <x:v>39038</x:v>
      </x:c>
      <x:c r="D38" s="12" t="str">
        <x:v>news corp internet division president resigns</x:v>
      </x:c>
      <x:c r="E38" s="12" t="str">
        <x:v>News Corp internet bölümü başkanı istifa etti</x:v>
      </x:c>
      <x:c r="F38" s="12" t="n">
        <x:v>-1</x:v>
      </x:c>
      <x:c r="G38" s="12" t="str">
        <x:v>negative</x:v>
      </x:c>
      <x:c r="H38" s="16" t="n">
        <x:v>0.6004915833473206</x:v>
      </x:c>
      <x:c r="I38" s="12" t="n">
        <x:v>-1</x:v>
      </x:c>
      <x:c r="J38" s="12" t="str">
        <x:v>negative</x:v>
      </x:c>
      <x:c r="K38" s="18" t="n">
        <x:v>0.72</x:v>
      </x:c>
      <x:c r="L38" s="12" t="str">
        <x:v>Üst düzey istifa belirsizlik yaratabileceği için olumsuz.</x:v>
      </x:c>
      <x:c r="M38" s="12" t="str">
        <x:f>IF(G38=J38,"same","different")</x:f>
        <x:v>same</x:v>
      </x:c>
      <x:c r="N38" s="12" t="str">
        <x:f>IF(M38="different","Kontrol önerilir: FinBERT ile ChatGPT ayrışıyor.","Uyumlu.")</x:f>
        <x:v>Uyumlu.</x:v>
      </x:c>
    </x:row>
    <x:row r="39">
      <x:c r="A39" s="12" t="str">
        <x:v>REUTERS_annotation_batch_021</x:v>
      </x:c>
      <x:c r="B39" s="12" t="str">
        <x:v>REUTERS_ANN_01038</x:v>
      </x:c>
      <x:c r="C39" s="14" t="n">
        <x:v>39175</x:v>
      </x:c>
      <x:c r="D39" s="12" t="str">
        <x:v>rivals tune in as emi digital experiment starts</x:v>
      </x:c>
      <x:c r="E39" s="12" t="str">
        <x:v>EMI'nin dijital deneyi başlarken rakipler süreci izliyor</x:v>
      </x:c>
      <x:c r="F39" s="12" t="n">
        <x:v>0</x:v>
      </x:c>
      <x:c r="G39" s="12" t="str">
        <x:v>neutral</x:v>
      </x:c>
      <x:c r="H39" s="16" t="n">
        <x:v>0.7640633583068848</x:v>
      </x:c>
      <x:c r="I39" s="12" t="n">
        <x:v>0</x:v>
      </x:c>
      <x:c r="J39" s="12" t="str">
        <x:v>neutral</x:v>
      </x:c>
      <x:c r="K39" s="18" t="n">
        <x:v>0.7</x:v>
      </x:c>
      <x:c r="L39" s="12" t="str">
        <x:v>Deneysel ve gözlem niteliğinde; net yönlü etki yok.</x:v>
      </x:c>
      <x:c r="M39" s="12" t="str">
        <x:f>IF(G39=J39,"same","different")</x:f>
        <x:v>same</x:v>
      </x:c>
      <x:c r="N39" s="12" t="str">
        <x:f>IF(M39="different","Kontrol önerilir: FinBERT ile ChatGPT ayrışıyor.","Uyumlu.")</x:f>
        <x:v>Uyumlu.</x:v>
      </x:c>
    </x:row>
    <x:row r="40">
      <x:c r="A40" s="12" t="str">
        <x:v>REUTERS_annotation_batch_021</x:v>
      </x:c>
      <x:c r="B40" s="12" t="str">
        <x:v>REUTERS_ANN_01039</x:v>
      </x:c>
      <x:c r="C40" s="14" t="n">
        <x:v>39105</x:v>
      </x:c>
      <x:c r="D40" s="12" t="str">
        <x:v>apples jobs questioned by authorities, report says</x:v>
      </x:c>
      <x:c r="E40" s="12" t="str">
        <x:v>Habere göre Apple'dan Jobs yetkililer tarafından sorgulandı</x:v>
      </x:c>
      <x:c r="F40" s="12" t="n">
        <x:v>-1</x:v>
      </x:c>
      <x:c r="G40" s="12" t="str">
        <x:v>negative</x:v>
      </x:c>
      <x:c r="H40" s="16" t="n">
        <x:v>0.7360318303108215</x:v>
      </x:c>
      <x:c r="I40" s="12" t="n">
        <x:v>-1</x:v>
      </x:c>
      <x:c r="J40" s="12" t="str">
        <x:v>negative</x:v>
      </x:c>
      <x:c r="K40" s="18" t="n">
        <x:v>0.78</x:v>
      </x:c>
      <x:c r="L40" s="12" t="str">
        <x:v>Yetkili incelemesi/yasal belirsizlik olumsuz sinyal.</x:v>
      </x:c>
      <x:c r="M40" s="12" t="str">
        <x:f>IF(G40=J40,"same","different")</x:f>
        <x:v>same</x:v>
      </x:c>
      <x:c r="N40" s="12" t="str">
        <x:f>IF(M40="different","Kontrol önerilir: FinBERT ile ChatGPT ayrışıyor.","Uyumlu.")</x:f>
        <x:v>Uyumlu.</x:v>
      </x:c>
    </x:row>
    <x:row r="41">
      <x:c r="A41" s="12" t="str">
        <x:v>REUTERS_annotation_batch_021</x:v>
      </x:c>
      <x:c r="B41" s="12" t="str">
        <x:v>REUTERS_ANN_01040</x:v>
      </x:c>
      <x:c r="C41" s="14" t="n">
        <x:v>39057</x:v>
      </x:c>
      <x:c r="D41" s="12" t="str">
        <x:v>icahn ends bid for reckson report</x:v>
      </x:c>
      <x:c r="E41" s="12" t="str">
        <x:v>Habere göre Icahn, Reckson için teklifini sonlandırdı</x:v>
      </x:c>
      <x:c r="F41" s="12" t="n">
        <x:v>-1</x:v>
      </x:c>
      <x:c r="G41" s="12" t="str">
        <x:v>negative</x:v>
      </x:c>
      <x:c r="H41" s="16" t="n">
        <x:v>0.7111444473266602</x:v>
      </x:c>
      <x:c r="I41" s="12" t="n">
        <x:v>-1</x:v>
      </x:c>
      <x:c r="J41" s="12" t="str">
        <x:v>negative</x:v>
      </x:c>
      <x:c r="K41" s="18" t="n">
        <x:v>0.74</x:v>
      </x:c>
      <x:c r="L41" s="12" t="str">
        <x:v>Teklifin sona ermesi anlaşma beklentisini azaltıyor.</x:v>
      </x:c>
      <x:c r="M41" s="12" t="str">
        <x:f>IF(G41=J41,"same","different")</x:f>
        <x:v>same</x:v>
      </x:c>
      <x:c r="N41" s="12" t="str">
        <x:f>IF(M41="different","Kontrol önerilir: FinBERT ile ChatGPT ayrışıyor.","Uyumlu.")</x:f>
        <x:v>Uyumlu.</x:v>
      </x:c>
    </x:row>
    <x:row r="42">
      <x:c r="A42" s="12" t="str">
        <x:v>REUTERS_annotation_batch_021</x:v>
      </x:c>
      <x:c r="B42" s="12" t="str">
        <x:v>REUTERS_ANN_01041</x:v>
      </x:c>
      <x:c r="C42" s="14" t="n">
        <x:v>39197</x:v>
      </x:c>
      <x:c r="D42" s="12" t="str">
        <x:v>feds beige book most areas grew only modestly</x:v>
      </x:c>
      <x:c r="E42" s="12" t="str">
        <x:v>Fed Bej Kitabı: çoğu bölgede büyüme yalnızca ılımlıydı</x:v>
      </x:c>
      <x:c r="F42" s="12" t="n">
        <x:v>0</x:v>
      </x:c>
      <x:c r="G42" s="12" t="str">
        <x:v>neutral</x:v>
      </x:c>
      <x:c r="H42" s="16" t="n">
        <x:v>0.6865827441215515</x:v>
      </x:c>
      <x:c r="I42" s="12" t="n">
        <x:v>0</x:v>
      </x:c>
      <x:c r="J42" s="12" t="str">
        <x:v>neutral</x:v>
      </x:c>
      <x:c r="K42" s="18" t="n">
        <x:v>0.68</x:v>
      </x:c>
      <x:c r="L42" s="12" t="str">
        <x:v>Ilımlı büyüme ne güçlü pozitif ne de sert negatif.</x:v>
      </x:c>
      <x:c r="M42" s="12" t="str">
        <x:f>IF(G42=J42,"same","different")</x:f>
        <x:v>same</x:v>
      </x:c>
      <x:c r="N42" s="12" t="str">
        <x:f>IF(M42="different","Kontrol önerilir: FinBERT ile ChatGPT ayrışıyor.","Uyumlu.")</x:f>
        <x:v>Uyumlu.</x:v>
      </x:c>
    </x:row>
    <x:row r="43">
      <x:c r="A43" s="12" t="str">
        <x:v>REUTERS_annotation_batch_021</x:v>
      </x:c>
      <x:c r="B43" s="12" t="str">
        <x:v>REUTERS_ANN_01042</x:v>
      </x:c>
      <x:c r="C43" s="14" t="n">
        <x:v>39148</x:v>
      </x:c>
      <x:c r="D43" s="12" t="str">
        <x:v>daimler ceo says chrysler wont be auctioned paper</x:v>
      </x:c>
      <x:c r="E43" s="12" t="str">
        <x:v>Habere göre Daimler CEO'su Chrysler'in açık artırmaya çıkarılmayacağını söyledi</x:v>
      </x:c>
      <x:c r="F43" s="12" t="n">
        <x:v>0</x:v>
      </x:c>
      <x:c r="G43" s="12" t="str">
        <x:v>neutral</x:v>
      </x:c>
      <x:c r="H43" s="16" t="n">
        <x:v>0.9323614835739136</x:v>
      </x:c>
      <x:c r="I43" s="12" t="n">
        <x:v>0</x:v>
      </x:c>
      <x:c r="J43" s="12" t="str">
        <x:v>neutral</x:v>
      </x:c>
      <x:c r="K43" s="18" t="n">
        <x:v>0.75</x:v>
      </x:c>
      <x:c r="L43" s="12" t="str">
        <x:v>Stratejik açıklama; doğrudan yönlü finansal sonuç yok.</x:v>
      </x:c>
      <x:c r="M43" s="12" t="str">
        <x:f>IF(G43=J43,"same","different")</x:f>
        <x:v>same</x:v>
      </x:c>
      <x:c r="N43" s="12" t="str">
        <x:f>IF(M43="different","Kontrol önerilir: FinBERT ile ChatGPT ayrışıyor.","Uyumlu.")</x:f>
        <x:v>Uyumlu.</x:v>
      </x:c>
    </x:row>
    <x:row r="44">
      <x:c r="A44" s="12" t="str">
        <x:v>REUTERS_annotation_batch_021</x:v>
      </x:c>
      <x:c r="B44" s="12" t="str">
        <x:v>REUTERS_ANN_01043</x:v>
      </x:c>
      <x:c r="C44" s="14" t="n">
        <x:v>39153</x:v>
      </x:c>
      <x:c r="D44" s="12" t="str">
        <x:v>ford to sell aston martin in $925 mln deal</x:v>
      </x:c>
      <x:c r="E44" s="12" t="str">
        <x:v>Ford, Aston Martin'i 925 milyon dolarlık anlaşmayla satacak</x:v>
      </x:c>
      <x:c r="F44" s="12" t="n">
        <x:v>0</x:v>
      </x:c>
      <x:c r="G44" s="12" t="str">
        <x:v>neutral</x:v>
      </x:c>
      <x:c r="H44" s="16" t="n">
        <x:v>0.8709316253662109</x:v>
      </x:c>
      <x:c r="I44" s="12" t="n">
        <x:v>0</x:v>
      </x:c>
      <x:c r="J44" s="12" t="str">
        <x:v>neutral</x:v>
      </x:c>
      <x:c r="K44" s="18" t="n">
        <x:v>0.7</x:v>
      </x:c>
      <x:c r="L44" s="12" t="str">
        <x:v>Varlık satışı var ama değer etkisi başlıkta net değil.</x:v>
      </x:c>
      <x:c r="M44" s="12" t="str">
        <x:f>IF(G44=J44,"same","different")</x:f>
        <x:v>same</x:v>
      </x:c>
      <x:c r="N44" s="12" t="str">
        <x:f>IF(M44="different","Kontrol önerilir: FinBERT ile ChatGPT ayrışıyor.","Uyumlu.")</x:f>
        <x:v>Uyumlu.</x:v>
      </x:c>
    </x:row>
    <x:row r="45">
      <x:c r="A45" s="12" t="str">
        <x:v>REUTERS_annotation_batch_021</x:v>
      </x:c>
      <x:c r="B45" s="12" t="str">
        <x:v>REUTERS_ANN_01044</x:v>
      </x:c>
      <x:c r="C45" s="14" t="n">
        <x:v>39066</x:v>
      </x:c>
      <x:c r="D45" s="12" t="str">
        <x:v>navistar ceo signals openness to buyout offers</x:v>
      </x:c>
      <x:c r="E45" s="12" t="str">
        <x:v>Navistar CEO'su satın alma tekliflerine açık olduğunu işaret etti</x:v>
      </x:c>
      <x:c r="F45" s="12" t="n">
        <x:v>0</x:v>
      </x:c>
      <x:c r="G45" s="12" t="str">
        <x:v>neutral</x:v>
      </x:c>
      <x:c r="H45" s="16" t="n">
        <x:v>0.5098066329956055</x:v>
      </x:c>
      <x:c r="I45" s="12" t="n">
        <x:v>0</x:v>
      </x:c>
      <x:c r="J45" s="12" t="str">
        <x:v>neutral</x:v>
      </x:c>
      <x:c r="K45" s="18" t="n">
        <x:v>0.67</x:v>
      </x:c>
      <x:c r="L45" s="12" t="str">
        <x:v>Olasılık düzeyinde M&amp;A sinyali; kesin işlem yok.</x:v>
      </x:c>
      <x:c r="M45" s="12" t="str">
        <x:f>IF(G45=J45,"same","different")</x:f>
        <x:v>same</x:v>
      </x:c>
      <x:c r="N45" s="12" t="str">
        <x:f>IF(M45="different","Kontrol önerilir: FinBERT ile ChatGPT ayrışıyor.","Uyumlu.")</x:f>
        <x:v>Uyumlu.</x:v>
      </x:c>
    </x:row>
    <x:row r="46">
      <x:c r="A46" s="12" t="str">
        <x:v>REUTERS_annotation_batch_021</x:v>
      </x:c>
      <x:c r="B46" s="12" t="str">
        <x:v>REUTERS_ANN_01045</x:v>
      </x:c>
      <x:c r="C46" s="14" t="n">
        <x:v>39124</x:v>
      </x:c>
      <x:c r="D46" s="12" t="str">
        <x:v>s.koreas lg.philips to boost lcd capacity</x:v>
      </x:c>
      <x:c r="E46" s="12" t="str">
        <x:v>Güney Koreli LG.Philips LCD kapasitesini artıracak</x:v>
      </x:c>
      <x:c r="F46" s="12" t="n">
        <x:v>-1</x:v>
      </x:c>
      <x:c r="G46" s="12" t="str">
        <x:v>negative</x:v>
      </x:c>
      <x:c r="H46" s="16" t="n">
        <x:v>0.8030450940132141</x:v>
      </x:c>
      <x:c r="I46" s="12" t="n">
        <x:v>1</x:v>
      </x:c>
      <x:c r="J46" s="12" t="str">
        <x:v>positive</x:v>
      </x:c>
      <x:c r="K46" s="18" t="n">
        <x:v>0.74</x:v>
      </x:c>
      <x:c r="L46" s="12" t="str">
        <x:v>Kapasite artışı büyüme ve talep beklentisi açısından olumlu.</x:v>
      </x:c>
      <x:c r="M46" s="12" t="str">
        <x:f>IF(G46=J46,"same","different")</x:f>
        <x:v>different</x:v>
      </x:c>
      <x:c r="N46" s="12" t="str">
        <x:f>IF(M46="different","Kontrol önerilir: FinBERT ile ChatGPT ayrışıyor.","Uyumlu.")</x:f>
        <x:v>Kontrol önerilir: FinBERT ile ChatGPT ayrışıyor.</x:v>
      </x:c>
    </x:row>
    <x:row r="47">
      <x:c r="A47" s="12" t="str">
        <x:v>REUTERS_annotation_batch_021</x:v>
      </x:c>
      <x:c r="B47" s="12" t="str">
        <x:v>REUTERS_ANN_01046</x:v>
      </x:c>
      <x:c r="C47" s="14" t="n">
        <x:v>39149</x:v>
      </x:c>
      <x:c r="D47" s="12" t="str">
        <x:v>vonage says will appeal verdict in favor of verizon</x:v>
      </x:c>
      <x:c r="E47" s="12" t="str">
        <x:v>Vonage, Verizon lehine çıkan karara itiraz edeceğini söyledi</x:v>
      </x:c>
      <x:c r="F47" s="12" t="n">
        <x:v>-1</x:v>
      </x:c>
      <x:c r="G47" s="12" t="str">
        <x:v>negative</x:v>
      </x:c>
      <x:c r="H47" s="16" t="n">
        <x:v>0.5637429356575012</x:v>
      </x:c>
      <x:c r="I47" s="12" t="n">
        <x:v>-1</x:v>
      </x:c>
      <x:c r="J47" s="12" t="str">
        <x:v>negative</x:v>
      </x:c>
      <x:c r="K47" s="18" t="n">
        <x:v>0.82</x:v>
      </x:c>
      <x:c r="L47" s="12" t="str">
        <x:v>Aleyhte karar ve itiraz süreci yasal baskı gösteriyor.</x:v>
      </x:c>
      <x:c r="M47" s="12" t="str">
        <x:f>IF(G47=J47,"same","different")</x:f>
        <x:v>same</x:v>
      </x:c>
      <x:c r="N47" s="12" t="str">
        <x:f>IF(M47="different","Kontrol önerilir: FinBERT ile ChatGPT ayrışıyor.","Uyumlu.")</x:f>
        <x:v>Uyumlu.</x:v>
      </x:c>
    </x:row>
    <x:row r="48">
      <x:c r="A48" s="12" t="str">
        <x:v>REUTERS_annotation_batch_021</x:v>
      </x:c>
      <x:c r="B48" s="12" t="str">
        <x:v>REUTERS_ANN_01047</x:v>
      </x:c>
      <x:c r="C48" s="14" t="n">
        <x:v>39128</x:v>
      </x:c>
      <x:c r="D48" s="12" t="str">
        <x:v>gates foundation unloads home builder shares</x:v>
      </x:c>
      <x:c r="E48" s="12" t="str">
        <x:v>Gates Vakfı konut üreticisi hisselerini elden çıkardı</x:v>
      </x:c>
      <x:c r="F48" s="12" t="n">
        <x:v>0</x:v>
      </x:c>
      <x:c r="G48" s="12" t="str">
        <x:v>neutral</x:v>
      </x:c>
      <x:c r="H48" s="16" t="n">
        <x:v>0.6625983119010925</x:v>
      </x:c>
      <x:c r="I48" s="12" t="n">
        <x:v>-1</x:v>
      </x:c>
      <x:c r="J48" s="12" t="str">
        <x:v>negative</x:v>
      </x:c>
      <x:c r="K48" s="18" t="n">
        <x:v>0.66</x:v>
      </x:c>
      <x:c r="L48" s="12" t="str">
        <x:v>Konut sektörü hisselerinden çıkış olumsuz algılanabilir.</x:v>
      </x:c>
      <x:c r="M48" s="12" t="str">
        <x:f>IF(G48=J48,"same","different")</x:f>
        <x:v>different</x:v>
      </x:c>
      <x:c r="N48" s="12" t="str">
        <x:f>IF(M48="different","Kontrol önerilir: FinBERT ile ChatGPT ayrışıyor.","Uyumlu.")</x:f>
        <x:v>Kontrol önerilir: FinBERT ile ChatGPT ayrışıyor.</x:v>
      </x:c>
    </x:row>
    <x:row r="49">
      <x:c r="A49" s="12" t="str">
        <x:v>REUTERS_annotation_batch_021</x:v>
      </x:c>
      <x:c r="B49" s="12" t="str">
        <x:v>REUTERS_ANN_01048</x:v>
      </x:c>
      <x:c r="C49" s="14" t="n">
        <x:v>39056</x:v>
      </x:c>
      <x:c r="D49" s="12" t="str">
        <x:v>wal-mart advertising chief leaves</x:v>
      </x:c>
      <x:c r="E49" s="12" t="str">
        <x:v>Wal-Mart'ın reklam şefi ayrıldı</x:v>
      </x:c>
      <x:c r="F49" s="12" t="n">
        <x:v>-1</x:v>
      </x:c>
      <x:c r="G49" s="12" t="str">
        <x:v>negative</x:v>
      </x:c>
      <x:c r="H49" s="16" t="n">
        <x:v>0.6725339889526367</x:v>
      </x:c>
      <x:c r="I49" s="12" t="n">
        <x:v>-1</x:v>
      </x:c>
      <x:c r="J49" s="12" t="str">
        <x:v>negative</x:v>
      </x:c>
      <x:c r="K49" s="18" t="n">
        <x:v>0.66</x:v>
      </x:c>
      <x:c r="L49" s="12" t="str">
        <x:v>Üst düzey ayrılık sınırlı olumsuz belirsizlik yaratır.</x:v>
      </x:c>
      <x:c r="M49" s="12" t="str">
        <x:f>IF(G49=J49,"same","different")</x:f>
        <x:v>same</x:v>
      </x:c>
      <x:c r="N49" s="12" t="str">
        <x:f>IF(M49="different","Kontrol önerilir: FinBERT ile ChatGPT ayrışıyor.","Uyumlu.")</x:f>
        <x:v>Uyumlu.</x:v>
      </x:c>
    </x:row>
    <x:row r="50">
      <x:c r="A50" s="12" t="str">
        <x:v>REUTERS_annotation_batch_021</x:v>
      </x:c>
      <x:c r="B50" s="12" t="str">
        <x:v>REUTERS_ANN_01049</x:v>
      </x:c>
      <x:c r="C50" s="14" t="n">
        <x:v>39029</x:v>
      </x:c>
      <x:c r="D50" s="12" t="str">
        <x:v>subsidy booster peterson to lead house farm panel</x:v>
      </x:c>
      <x:c r="E50" s="12" t="str">
        <x:v>Sübvansiyon yanlısı Peterson, Temsilciler Meclisi Tarım Komitesi'ne liderlik edecek</x:v>
      </x:c>
      <x:c r="F50" s="12" t="n">
        <x:v>0</x:v>
      </x:c>
      <x:c r="G50" s="12" t="str">
        <x:v>neutral</x:v>
      </x:c>
      <x:c r="H50" s="16" t="n">
        <x:v>0.6769959926605225</x:v>
      </x:c>
      <x:c r="I50" s="12" t="n">
        <x:v>0</x:v>
      </x:c>
      <x:c r="J50" s="12" t="str">
        <x:v>neutral</x:v>
      </x:c>
      <x:c r="K50" s="18" t="n">
        <x:v>0.7</x:v>
      </x:c>
      <x:c r="L50" s="12" t="str">
        <x:v>Politika/personel haberi; şirket veya piyasa yönü net değil.</x:v>
      </x:c>
      <x:c r="M50" s="12" t="str">
        <x:f>IF(G50=J50,"same","different")</x:f>
        <x:v>same</x:v>
      </x:c>
      <x:c r="N50" s="12" t="str">
        <x:f>IF(M50="different","Kontrol önerilir: FinBERT ile ChatGPT ayrışıyor.","Uyumlu.")</x:f>
        <x:v>Uyumlu.</x:v>
      </x:c>
    </x:row>
    <x:row r="51">
      <x:c r="A51" s="12" t="str">
        <x:v>REUTERS_annotation_batch_021</x:v>
      </x:c>
      <x:c r="B51" s="12" t="str">
        <x:v>REUTERS_ANN_01050</x:v>
      </x:c>
      <x:c r="C51" s="14" t="n">
        <x:v>39017</x:v>
      </x:c>
      <x:c r="D51" s="12" t="str">
        <x:v>sohu shares jump as advertising revenue lifts profit</x:v>
      </x:c>
      <x:c r="E51" s="12" t="str">
        <x:v>Sohu hisseleri, reklam gelirlerinin kârı artırmasıyla sıçradı</x:v>
      </x:c>
      <x:c r="F51" s="12" t="n">
        <x:v>1</x:v>
      </x:c>
      <x:c r="G51" s="12" t="str">
        <x:v>positive</x:v>
      </x:c>
      <x:c r="H51" s="16" t="n">
        <x:v>0.9488914012908936</x:v>
      </x:c>
      <x:c r="I51" s="12" t="n">
        <x:v>1</x:v>
      </x:c>
      <x:c r="J51" s="12" t="str">
        <x:v>positive</x:v>
      </x:c>
      <x:c r="K51" s="18" t="n">
        <x:v>0.94</x:v>
      </x:c>
      <x:c r="L51" s="12" t="str">
        <x:v>Hisse yükselişi ve kâr artışı güçlü pozitif sinyal.</x:v>
      </x:c>
      <x:c r="M51" s="12" t="str">
        <x:f>IF(G51=J51,"same","different")</x:f>
        <x:v>same</x:v>
      </x:c>
      <x:c r="N51" s="12" t="str">
        <x:f>IF(M51="different","Kontrol önerilir: FinBERT ile ChatGPT ayrışıyor.","Uyumlu.")</x:f>
        <x:v>Uyumlu.</x:v>
      </x:c>
    </x:row>
  </x:sheetData>
  <x:conditionalFormatting sqref="J2:J51">
    <x:cfRule type="expression" dxfId="0" priority="1">
      <x:formula>J2="positive"</x:formula>
    </x:cfRule>
    <x:cfRule type="expression" dxfId="1" priority="2">
      <x:formula>J2="negative"</x:formula>
    </x:cfRule>
    <x:cfRule type="expression" dxfId="2" priority="3">
      <x:formula>J2="neutral"</x:formula>
    </x:cfRule>
  </x:conditionalFormatting>
  <x:conditionalFormatting sqref="M2:M51">
    <x:cfRule type="expression" dxfId="3" priority="4">
      <x:formula>M2="different"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134b0a4afe04f4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4" t="str">
        <x:v>REUTERS Annotation Batch 021 - Summary</x:v>
      </x:c>
      <x:c r="B1" s="12"/>
      <x:c r="C1" s="12"/>
    </x:row>
    <x:row r="2">
      <x:c r="A2" s="6" t="str">
        <x:v>Metric</x:v>
      </x:c>
      <x:c r="B2" s="6" t="str">
        <x:v>Value</x:v>
      </x:c>
      <x:c r="C2" s="6" t="str">
        <x:v>Formula/Note</x:v>
      </x:c>
    </x:row>
    <x:row r="3">
      <x:c r="A3" s="12" t="str">
        <x:v>Total rows</x:v>
      </x:c>
      <x:c r="B3" s="12" t="n">
        <x:f>COUNTA(annotations!B:B)-1</x:f>
        <x:v>50</x:v>
      </x:c>
      <x:c r="C3" s="12" t="n">
        <x:f>COUNTA(annotations!B:B)-1</x:f>
        <x:v>50</x:v>
      </x:c>
    </x:row>
    <x:row r="4">
      <x:c r="A4" s="12" t="str">
        <x:v>ChatGPT positive</x:v>
      </x:c>
      <x:c r="B4" s="12" t="n">
        <x:f>COUNTIF(annotations!J:J,"positive")</x:f>
        <x:v>22</x:v>
      </x:c>
      <x:c r="C4" s="12" t="n">
        <x:f>COUNTIF(annotations!J:J,"positive")</x:f>
        <x:v>22</x:v>
      </x:c>
    </x:row>
    <x:row r="5">
      <x:c r="A5" s="12" t="str">
        <x:v>ChatGPT neutral</x:v>
      </x:c>
      <x:c r="B5" s="12" t="n">
        <x:f>COUNTIF(annotations!J:J,"neutral")</x:f>
        <x:v>16</x:v>
      </x:c>
      <x:c r="C5" s="12" t="n">
        <x:f>COUNTIF(annotations!J:J,"neutral")</x:f>
        <x:v>16</x:v>
      </x:c>
    </x:row>
    <x:row r="6">
      <x:c r="A6" s="12" t="str">
        <x:v>ChatGPT negative</x:v>
      </x:c>
      <x:c r="B6" s="12" t="n">
        <x:f>COUNTIF(annotations!J:J,"negative")</x:f>
        <x:v>12</x:v>
      </x:c>
      <x:c r="C6" s="12" t="n">
        <x:f>COUNTIF(annotations!J:J,"negative")</x:f>
        <x:v>12</x:v>
      </x:c>
    </x:row>
    <x:row r="7">
      <x:c r="A7" s="12" t="str">
        <x:v>FinBERT ile aynı</x:v>
      </x:c>
      <x:c r="B7" s="12" t="n">
        <x:f>COUNTIF(annotations!M:M,"same")</x:f>
        <x:v>41</x:v>
      </x:c>
      <x:c r="C7" s="12" t="n">
        <x:f>COUNTIF(annotations!M:M,"same")</x:f>
        <x:v>41</x:v>
      </x:c>
    </x:row>
    <x:row r="8">
      <x:c r="A8" s="12" t="str">
        <x:v>FinBERT ile farklı / review</x:v>
      </x:c>
      <x:c r="B8" s="12" t="n">
        <x:f>COUNTIF(annotations!M:M,"different")</x:f>
        <x:v>9</x:v>
      </x:c>
      <x:c r="C8" s="12" t="n">
        <x:f>COUNTIF(annotations!M:M,"different")</x:f>
        <x:v>9</x:v>
      </x:c>
    </x:row>
    <x:row r="9">
      <x:c r="A9" s="12" t="str">
        <x:v>Batch rows</x:v>
      </x:c>
      <x:c r="B9" s="12" t="str">
        <x:v>1000 - 1049</x:v>
      </x:c>
      <x:c r="C9" s="12" t="str">
        <x:v>Kaynak metindeki aralık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8a193895029343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6" t="str">
        <x:v>Alan</x:v>
      </x:c>
      <x:c r="B1" s="6" t="str">
        <x:v>Açıklama</x:v>
      </x:c>
    </x:row>
    <x:row r="2">
      <x:c r="A2" s="12" t="str">
        <x:v>Etiketleme perspektifi</x:v>
      </x:c>
      <x:c r="B2" s="12" t="str">
        <x:v>Başlıkların yatırım/piyasa/şirket performansı açısından baskın sinyali esas alındı.</x:v>
      </x:c>
    </x:row>
    <x:row r="3">
      <x:c r="A3" s="12" t="str">
        <x:v>positive</x:v>
      </x:c>
      <x:c r="B3" s="12" t="str">
        <x:v>Kâr artışı, satış/sipariş artışı, büyük kontrat, olumlu piyasa hareketi veya büyüme sinyali.</x:v>
      </x:c>
    </x:row>
    <x:row r="4">
      <x:c r="A4" s="12" t="str">
        <x:v>negative</x:v>
      </x:c>
      <x:c r="B4" s="12" t="str">
        <x:v>Zarar, düşüş, dava/soruşturma, işten çıkarma, kesinti, maliyet baskısı veya belirsiz risk.</x:v>
      </x:c>
    </x:row>
    <x:row r="5">
      <x:c r="A5" s="12" t="str">
        <x:v>neutral</x:v>
      </x:c>
      <x:c r="B5" s="12" t="str">
        <x:v>Salt işlem/atama/factbox, kesinleşmemiş haber veya olumlu-olumsuz unsurların dengede olduğu başlık.</x:v>
      </x:c>
    </x:row>
    <x:row r="6">
      <x:c r="A6" s="12" t="str">
        <x:v>finbert_vs_chatgpt</x:v>
      </x:c>
      <x:c r="B6" s="12" t="str">
        <x:v>FinBERT etiketi ile ChatGPT nihai etiketi birebir aynıysa 'same', değilse 'different'.</x:v>
      </x:c>
    </x:row>
  </x:sheetData>
  <x:pageMargins left="0.7" right="0.7" top="0.75" bottom="0.75" header="0.3" footer="0.3"/>
  <x:tableParts count="1">
    <x:tablePart xmlns:r="http://schemas.openxmlformats.org/officeDocument/2006/relationships" r:id="R43fdba3f90e440a8"/>
  </x:tableParts>
</x:worksheet>
</file>