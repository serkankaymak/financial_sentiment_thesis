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c9e8f0b0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c12647cbc4944f13"/>
    <x:sheet xmlns:r="http://schemas.openxmlformats.org/officeDocument/2006/relationships" name="Summary" sheetId="2" r:id="Rfc0ec058c0d1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ont>
        <x:b/>
      </x:font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f7dab2e5741f1" /><Relationship Type="http://schemas.openxmlformats.org/officeDocument/2006/relationships/theme" Target="/xl/theme/theme1.xml" Id="Rfaef885661e14c73" /><Relationship Type="http://schemas.openxmlformats.org/officeDocument/2006/relationships/sharedStrings" Target="/xl/sharedStrings.xml" Id="R5819d78086594cbe" /><Relationship Type="http://schemas.openxmlformats.org/officeDocument/2006/relationships/worksheet" Target="/xl/worksheets/sheet1.xml" Id="Rc12647cbc4944f13" /><Relationship Type="http://schemas.openxmlformats.org/officeDocument/2006/relationships/worksheet" Target="/xl/worksheets/sheet2.xml" Id="Rfc0ec058c0d14752" /></Relationships>
</file>

<file path=xl/tables/table1.xml><?xml version="1.0" encoding="utf-8"?>
<x:table xmlns:x="http://schemas.openxmlformats.org/spreadsheetml/2006/main" id="1" name="ReutersBatch014Table" displayName="ReutersBatch014Table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confidence"/>
    <x:tableColumn id="10" name="chatgpt_reason_tr"/>
    <x:tableColumn id="11" name="finbert_match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91654ca51e461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6" hidden="0" customWidth="1"/>
    <x:col min="8" max="8" width="15" hidden="0" customWidth="1"/>
    <x:col min="9" max="9" width="18" hidden="0" customWidth="1"/>
    <x:col min="10" max="10" width="58" hidden="0" customWidth="1"/>
    <x:col min="11" max="11" width="14" hidden="0" customWidth="1"/>
    <x:col min="12" max="12" width="42" hidden="0" customWidth="1"/>
  </x:cols>
  <x:sheetData>
    <x:row r="1" ht="28" customHeight="1">
      <x:c r="A1" s="6" t="str">
        <x:v>annotation_id</x:v>
      </x:c>
      <x:c r="B1" s="6" t="str">
        <x:v>date</x:v>
      </x:c>
      <x:c r="C1" s="6" t="str">
        <x:v>finbert_score</x:v>
      </x:c>
      <x:c r="D1" s="6" t="str">
        <x:v>finbert_label</x:v>
      </x:c>
      <x:c r="E1" s="6" t="str">
        <x:v>finbert_confidence</x:v>
      </x:c>
      <x:c r="F1" s="6" t="str">
        <x:v>text_en</x:v>
      </x:c>
      <x:c r="G1" s="6" t="str">
        <x:v>text_tr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finbert_match</x:v>
      </x:c>
      <x:c r="L1" s="6" t="str">
        <x:v>review_note</x:v>
      </x:c>
    </x:row>
    <x:row r="2">
      <x:c r="A2" s="26" t="str">
        <x:v>REUTERS_ANN_00651</x:v>
      </x:c>
      <x:c r="B2" s="27" t="n">
        <x:v>39080</x:v>
      </x:c>
      <x:c r="C2" s="26" t="n">
        <x:v>1</x:v>
      </x:c>
      <x:c r="D2" s="26" t="str">
        <x:v>positive</x:v>
      </x:c>
      <x:c r="E2" s="28" t="n">
        <x:v>0.6608835458755493</x:v>
      </x:c>
      <x:c r="F2" s="26" t="str">
        <x:v>deltas comair, pilots extend talks</x:v>
      </x:c>
      <x:c r="G2" s="26" t="str">
        <x:v>Delta’nın Comair birimi ve pilotlar görüşmeleri uzattı</x:v>
      </x:c>
      <x:c r="H2" s="26" t="str">
        <x:v>neutral</x:v>
      </x:c>
      <x:c r="I2" s="29" t="n">
        <x:v>0.67</x:v>
      </x:c>
      <x:c r="J2" s="26" t="str">
        <x:v>Görüşmelerin uzaması sonuçlanmış bir kazanım ya da kayıp değil; belirsizlik devam ediyor.</x:v>
      </x:c>
      <x:c r="K2" s="26" t="str">
        <x:f>IF(D2=H2,"same","review")</x:f>
        <x:v>review</x:v>
      </x:c>
      <x:c r="L2" s="26" t="str">
        <x:v>FinBERT farklı; başlığın baskın sinyali neutral olarak değerlendirildi.</x:v>
      </x:c>
    </x:row>
    <x:row r="3">
      <x:c r="A3" s="26" t="str">
        <x:v>REUTERS_ANN_00652</x:v>
      </x:c>
      <x:c r="B3" s="27" t="n">
        <x:v>39163</x:v>
      </x:c>
      <x:c r="C3" s="26" t="n">
        <x:v>-1</x:v>
      </x:c>
      <x:c r="D3" s="26" t="str">
        <x:v>negative</x:v>
      </x:c>
      <x:c r="E3" s="28" t="n">
        <x:v>0.9742670655250548</x:v>
      </x:c>
      <x:c r="F3" s="26" t="str">
        <x:v>motorola warning hits asian phone parts makers</x:v>
      </x:c>
      <x:c r="G3" s="26" t="str">
        <x:v>Motorola uyarısı Asyalı telefon parçası üreticilerini vurdu</x:v>
      </x:c>
      <x:c r="H3" s="26" t="str">
        <x:v>negative</x:v>
      </x:c>
      <x:c r="I3" s="29" t="n">
        <x:v>0.93</x:v>
      </x:c>
      <x:c r="J3" s="26" t="str">
        <x:v>Motorola kaynaklı uyarının tedarikçileri olumsuz etkilemesi net negatif piyasa sinyali.</x:v>
      </x:c>
      <x:c r="K3" s="26" t="str">
        <x:f>IF(D3=H3,"same","review")</x:f>
        <x:v>same</x:v>
      </x:c>
      <x:c r="L3" s="26" t="str">
        <x:v>FinBERT ile uyumlu.</x:v>
      </x:c>
    </x:row>
    <x:row r="4">
      <x:c r="A4" s="26" t="str">
        <x:v>REUTERS_ANN_00653</x:v>
      </x:c>
      <x:c r="B4" s="27" t="n">
        <x:v>39042</x:v>
      </x:c>
      <x:c r="C4" s="26" t="n">
        <x:v>1</x:v>
      </x:c>
      <x:c r="D4" s="26" t="str">
        <x:v>positive</x:v>
      </x:c>
      <x:c r="E4" s="28" t="n">
        <x:v>0.9519236087799072</x:v>
      </x:c>
      <x:c r="F4" s="26" t="str">
        <x:v>dollar tree posts higher quarterly profit</x:v>
      </x:c>
      <x:c r="G4" s="26" t="str">
        <x:v>Dollar Tree daha yüksek çeyreklik kâr açıkladı</x:v>
      </x:c>
      <x:c r="H4" s="26" t="str">
        <x:v>positive</x:v>
      </x:c>
      <x:c r="I4" s="29" t="n">
        <x:v>0.94</x:v>
      </x:c>
      <x:c r="J4" s="26" t="str">
        <x:v>Kâr artışı şirket performansı açısından açık şekilde olumlu.</x:v>
      </x:c>
      <x:c r="K4" s="26" t="str">
        <x:f>IF(D4=H4,"same","review")</x:f>
        <x:v>same</x:v>
      </x:c>
      <x:c r="L4" s="26" t="str">
        <x:v>FinBERT ile uyumlu.</x:v>
      </x:c>
    </x:row>
    <x:row r="5">
      <x:c r="A5" s="26" t="str">
        <x:v>REUTERS_ANN_00654</x:v>
      </x:c>
      <x:c r="B5" s="27" t="n">
        <x:v>39028</x:v>
      </x:c>
      <x:c r="C5" s="26" t="n">
        <x:v>0</x:v>
      </x:c>
      <x:c r="D5" s="26" t="str">
        <x:v>neutral</x:v>
      </x:c>
      <x:c r="E5" s="28" t="n">
        <x:v>0.8706152439117432</x:v>
      </x:c>
      <x:c r="F5" s="26" t="str">
        <x:v>japans softbank says to tie up with news corp</x:v>
      </x:c>
      <x:c r="G5" s="26" t="str">
        <x:v>Japon SoftBank, News Corp ile iş birliği yapacağını söyledi</x:v>
      </x:c>
      <x:c r="H5" s="26" t="str">
        <x:v>positive</x:v>
      </x:c>
      <x:c r="I5" s="29" t="n">
        <x:v>0.72</x:v>
      </x:c>
      <x:c r="J5" s="26" t="str">
        <x:v>Büyük medya/telekom iş birliği stratejik genişleme sinyali taşıyor; ayrıntı sınırlı olduğu için güven orta.</x:v>
      </x:c>
      <x:c r="K5" s="26" t="str">
        <x:f>IF(D5=H5,"same","review")</x:f>
        <x:v>review</x:v>
      </x:c>
      <x:c r="L5" s="26" t="str">
        <x:v>FinBERT farklı; başlığın baskın sinyali positive olarak değerlendirildi.</x:v>
      </x:c>
    </x:row>
    <x:row r="6">
      <x:c r="A6" s="26" t="str">
        <x:v>REUTERS_ANN_00655</x:v>
      </x:c>
      <x:c r="B6" s="27" t="n">
        <x:v>39093</x:v>
      </x:c>
      <x:c r="C6" s="26" t="n">
        <x:v>-1</x:v>
      </x:c>
      <x:c r="D6" s="26" t="str">
        <x:v>negative</x:v>
      </x:c>
      <x:c r="E6" s="28" t="n">
        <x:v>0.9698311686515808</x:v>
      </x:c>
      <x:c r="F6" s="26" t="str">
        <x:v>oil extends slide to 15 percent this year</x:v>
      </x:c>
      <x:c r="G6" s="26" t="str">
        <x:v>Petrol düşüşünü sürdürerek yılbaşından beri yüzde 15 geriledi</x:v>
      </x:c>
      <x:c r="H6" s="26" t="str">
        <x:v>negative</x:v>
      </x:c>
      <x:c r="I6" s="29" t="n">
        <x:v>0.93</x:v>
      </x:c>
      <x:c r="J6" s="26" t="str">
        <x:v>Petrol fiyatındaki sert düşüş enerji piyasası için olumsuz ana sinyal.</x:v>
      </x:c>
      <x:c r="K6" s="26" t="str">
        <x:f>IF(D6=H6,"same","review")</x:f>
        <x:v>same</x:v>
      </x:c>
      <x:c r="L6" s="26" t="str">
        <x:v>FinBERT ile uyumlu.</x:v>
      </x:c>
    </x:row>
    <x:row r="7">
      <x:c r="A7" s="26" t="str">
        <x:v>REUTERS_ANN_00656</x:v>
      </x:c>
      <x:c r="B7" s="27" t="n">
        <x:v>39192</x:v>
      </x:c>
      <x:c r="C7" s="26" t="n">
        <x:v>0</x:v>
      </x:c>
      <x:c r="D7" s="26" t="str">
        <x:v>neutral</x:v>
      </x:c>
      <x:c r="E7" s="28" t="n">
        <x:v>0.7760211229324341</x:v>
      </x:c>
      <x:c r="F7" s="26" t="str">
        <x:v>clear channel to sell tv group for $1.2 bln</x:v>
      </x:c>
      <x:c r="G7" s="26" t="str">
        <x:v>Clear Channel televizyon grubunu 1,2 milyar dolara satacak</x:v>
      </x:c>
      <x:c r="H7" s="26" t="str">
        <x:v>neutral</x:v>
      </x:c>
      <x:c r="I7" s="29" t="n">
        <x:v>0.72</x:v>
      </x:c>
      <x:c r="J7" s="26" t="str">
        <x:v>Varlık satışı haberi yön gösterici olsa da başlıkta değer yaratımı veya zarar net değil.</x:v>
      </x:c>
      <x:c r="K7" s="26" t="str">
        <x:f>IF(D7=H7,"same","review")</x:f>
        <x:v>same</x:v>
      </x:c>
      <x:c r="L7" s="26" t="str">
        <x:v>FinBERT ile uyumlu.</x:v>
      </x:c>
    </x:row>
    <x:row r="8">
      <x:c r="A8" s="26" t="str">
        <x:v>REUTERS_ANN_00657</x:v>
      </x:c>
      <x:c r="B8" s="27" t="n">
        <x:v>39027</x:v>
      </x:c>
      <x:c r="C8" s="26" t="n">
        <x:v>1</x:v>
      </x:c>
      <x:c r="D8" s="26" t="str">
        <x:v>positive</x:v>
      </x:c>
      <x:c r="E8" s="28" t="n">
        <x:v>0.921675980091095</x:v>
      </x:c>
      <x:c r="F8" s="26" t="str">
        <x:v>northrop gets $1.45 billion for navy amphibious ship</x:v>
      </x:c>
      <x:c r="G8" s="26" t="str">
        <x:v>Northrop, donanma amfibi gemisi için 1,45 milyar dolar aldı</x:v>
      </x:c>
      <x:c r="H8" s="26" t="str">
        <x:v>positive</x:v>
      </x:c>
      <x:c r="I8" s="29" t="n">
        <x:v>0.9</x:v>
      </x:c>
      <x:c r="J8" s="26" t="str">
        <x:v>Büyük savunma sözleşmesi gelir görünümü açısından olumlu.</x:v>
      </x:c>
      <x:c r="K8" s="26" t="str">
        <x:f>IF(D8=H8,"same","review")</x:f>
        <x:v>same</x:v>
      </x:c>
      <x:c r="L8" s="26" t="str">
        <x:v>FinBERT ile uyumlu.</x:v>
      </x:c>
    </x:row>
    <x:row r="9">
      <x:c r="A9" s="26" t="str">
        <x:v>REUTERS_ANN_00658</x:v>
      </x:c>
      <x:c r="B9" s="27" t="n">
        <x:v>39058</x:v>
      </x:c>
      <x:c r="C9" s="26" t="n">
        <x:v>-1</x:v>
      </x:c>
      <x:c r="D9" s="26" t="str">
        <x:v>negative</x:v>
      </x:c>
      <x:c r="E9" s="28" t="n">
        <x:v>0.8802049160003662</x:v>
      </x:c>
      <x:c r="F9" s="26" t="str">
        <x:v>s.korea says lone star/keb deal illegal prosecutor</x:v>
      </x:c>
      <x:c r="G9" s="26" t="str">
        <x:v>Güney Kore, Lone Star/KEB anlaşmasının yasa dışı olduğunu söyledi</x:v>
      </x:c>
      <x:c r="H9" s="26" t="str">
        <x:v>negative</x:v>
      </x:c>
      <x:c r="I9" s="29" t="n">
        <x:v>0.91</x:v>
      </x:c>
      <x:c r="J9" s="26" t="str">
        <x:v>Anlaşmanın yasa dışı görülmesi hukuki ve işlem riski yaratıyor.</x:v>
      </x:c>
      <x:c r="K9" s="26" t="str">
        <x:f>IF(D9=H9,"same","review")</x:f>
        <x:v>same</x:v>
      </x:c>
      <x:c r="L9" s="26" t="str">
        <x:v>FinBERT ile uyumlu.</x:v>
      </x:c>
    </x:row>
    <x:row r="10">
      <x:c r="A10" s="26" t="str">
        <x:v>REUTERS_ANN_00659</x:v>
      </x:c>
      <x:c r="B10" s="27" t="n">
        <x:v>39049</x:v>
      </x:c>
      <x:c r="C10" s="26" t="n">
        <x:v>-1</x:v>
      </x:c>
      <x:c r="D10" s="26" t="str">
        <x:v>negative</x:v>
      </x:c>
      <x:c r="E10" s="28" t="n">
        <x:v>0.9330411553382874</x:v>
      </x:c>
      <x:c r="F10" s="26" t="str">
        <x:v>pfizer to cut u.s. sales force by 20 percent</x:v>
      </x:c>
      <x:c r="G10" s="26" t="str">
        <x:v>Pfizer ABD satış ekibini yüzde 20 azaltacak</x:v>
      </x:c>
      <x:c r="H10" s="26" t="str">
        <x:v>negative</x:v>
      </x:c>
      <x:c r="I10" s="29" t="n">
        <x:v>0.92</x:v>
      </x:c>
      <x:c r="J10" s="26" t="str">
        <x:v>Personel azaltımı maliyet baskısı ve operasyonel zayıflama sinyali taşıyor.</x:v>
      </x:c>
      <x:c r="K10" s="26" t="str">
        <x:f>IF(D10=H10,"same","review")</x:f>
        <x:v>same</x:v>
      </x:c>
      <x:c r="L10" s="26" t="str">
        <x:v>FinBERT ile uyumlu.</x:v>
      </x:c>
    </x:row>
    <x:row r="11">
      <x:c r="A11" s="26" t="str">
        <x:v>REUTERS_ANN_00660</x:v>
      </x:c>
      <x:c r="B11" s="27" t="n">
        <x:v>39092</x:v>
      </x:c>
      <x:c r="C11" s="26" t="n">
        <x:v>-1</x:v>
      </x:c>
      <x:c r="D11" s="26" t="str">
        <x:v>negative</x:v>
      </x:c>
      <x:c r="E11" s="28" t="n">
        <x:v>0.9753326773643494</x:v>
      </x:c>
      <x:c r="F11" s="26" t="str">
        <x:v>chevron q4 liquid, natural gas production down</x:v>
      </x:c>
      <x:c r="G11" s="26" t="str">
        <x:v>Chevron’un dördüncü çeyrek sıvı ve doğal gaz üretimi düştü</x:v>
      </x:c>
      <x:c r="H11" s="26" t="str">
        <x:v>negative</x:v>
      </x:c>
      <x:c r="I11" s="29" t="n">
        <x:v>0.94</x:v>
      </x:c>
      <x:c r="J11" s="26" t="str">
        <x:v>Üretim düşüşü enerji şirketi performansı açısından olumsuz.</x:v>
      </x:c>
      <x:c r="K11" s="26" t="str">
        <x:f>IF(D11=H11,"same","review")</x:f>
        <x:v>same</x:v>
      </x:c>
      <x:c r="L11" s="26" t="str">
        <x:v>FinBERT ile uyumlu.</x:v>
      </x:c>
    </x:row>
    <x:row r="12">
      <x:c r="A12" s="26" t="str">
        <x:v>REUTERS_ANN_00661</x:v>
      </x:c>
      <x:c r="B12" s="27" t="n">
        <x:v>39210</x:v>
      </x:c>
      <x:c r="C12" s="26" t="n">
        <x:v>-1</x:v>
      </x:c>
      <x:c r="D12" s="26" t="str">
        <x:v>negative</x:v>
      </x:c>
      <x:c r="E12" s="28" t="n">
        <x:v>0.9651416540145874</x:v>
      </x:c>
      <x:c r="F12" s="26" t="str">
        <x:v>qantas bidders say offer lapses, may bid afresh</x:v>
      </x:c>
      <x:c r="G12" s="26" t="str">
        <x:v>Qantas teklif sahipleri teklifin süresinin dolduğunu, yeniden teklif verebileceklerini söyledi</x:v>
      </x:c>
      <x:c r="H12" s="26" t="str">
        <x:v>negative</x:v>
      </x:c>
      <x:c r="I12" s="29" t="n">
        <x:v>0.78</x:v>
      </x:c>
      <x:c r="J12" s="26" t="str">
        <x:v>Mevcut teklifin düşmesi anlaşma belirsizliğini artırıyor; yeniden teklif olasılığı sınırlı dengeleyici unsur.</x:v>
      </x:c>
      <x:c r="K12" s="26" t="str">
        <x:f>IF(D12=H12,"same","review")</x:f>
        <x:v>same</x:v>
      </x:c>
      <x:c r="L12" s="26" t="str">
        <x:v>FinBERT ile uyumlu.</x:v>
      </x:c>
    </x:row>
    <x:row r="13">
      <x:c r="A13" s="26" t="str">
        <x:v>REUTERS_ANN_00662</x:v>
      </x:c>
      <x:c r="B13" s="27" t="n">
        <x:v>39023</x:v>
      </x:c>
      <x:c r="C13" s="26" t="n">
        <x:v>-1</x:v>
      </x:c>
      <x:c r="D13" s="26" t="str">
        <x:v>negative</x:v>
      </x:c>
      <x:c r="E13" s="28" t="n">
        <x:v>0.9666961431503296</x:v>
      </x:c>
      <x:c r="F13" s="26" t="str">
        <x:v>rolls-royce upbeat on aerospace industry prospects</x:v>
      </x:c>
      <x:c r="G13" s="26" t="str">
        <x:v>Rolls-Royce havacılık sektörü beklentileri konusunda iyimser</x:v>
      </x:c>
      <x:c r="H13" s="26" t="str">
        <x:v>positive</x:v>
      </x:c>
      <x:c r="I13" s="29" t="n">
        <x:v>0.88</x:v>
      </x:c>
      <x:c r="J13" s="26" t="str">
        <x:v>Sektör beklentilerine dair iyimserlik şirket görünümü için olumlu.</x:v>
      </x:c>
      <x:c r="K13" s="26" t="str">
        <x:f>IF(D13=H13,"same","review")</x:f>
        <x:v>review</x:v>
      </x:c>
      <x:c r="L13" s="26" t="str">
        <x:v>FinBERT farklı; başlığın baskın sinyali positive olarak değerlendirildi.</x:v>
      </x:c>
    </x:row>
    <x:row r="14">
      <x:c r="A14" s="26" t="str">
        <x:v>REUTERS_ANN_00663</x:v>
      </x:c>
      <x:c r="B14" s="27" t="n">
        <x:v>39093</x:v>
      </x:c>
      <x:c r="C14" s="26" t="n">
        <x:v>1</x:v>
      </x:c>
      <x:c r="D14" s="26" t="str">
        <x:v>positive</x:v>
      </x:c>
      <x:c r="E14" s="28" t="n">
        <x:v>0.945765256881714</x:v>
      </x:c>
      <x:c r="F14" s="26" t="str">
        <x:v>s.koreas sk group to invest $7.5 billion in 2007</x:v>
      </x:c>
      <x:c r="G14" s="26" t="str">
        <x:v>Güney Koreli SK Group 2007’de 7,5 milyar dolar yatırım yapacak</x:v>
      </x:c>
      <x:c r="H14" s="26" t="str">
        <x:v>positive</x:v>
      </x:c>
      <x:c r="I14" s="29" t="n">
        <x:v>0.94</x:v>
      </x:c>
      <x:c r="J14" s="26" t="str">
        <x:v>Büyük yatırım planı büyüme ve kapasite artışı sinyali taşıyor.</x:v>
      </x:c>
      <x:c r="K14" s="26" t="str">
        <x:f>IF(D14=H14,"same","review")</x:f>
        <x:v>same</x:v>
      </x:c>
      <x:c r="L14" s="26" t="str">
        <x:v>FinBERT ile uyumlu.</x:v>
      </x:c>
    </x:row>
    <x:row r="15">
      <x:c r="A15" s="26" t="str">
        <x:v>REUTERS_ANN_00664</x:v>
      </x:c>
      <x:c r="B15" s="27" t="n">
        <x:v>39076</x:v>
      </x:c>
      <x:c r="C15" s="26" t="n">
        <x:v>-1</x:v>
      </x:c>
      <x:c r="D15" s="26" t="str">
        <x:v>negative</x:v>
      </x:c>
      <x:c r="E15" s="28" t="n">
        <x:v>0.7087221145629883</x:v>
      </x:c>
      <x:c r="F15" s="26" t="str">
        <x:v>russia tax office files suit vs pwc on yukos audit</x:v>
      </x:c>
      <x:c r="G15" s="26" t="str">
        <x:v>Rusya vergi dairesi Yukos denetimi nedeniyle PwC’ye dava açtı</x:v>
      </x:c>
      <x:c r="H15" s="26" t="str">
        <x:v>negative</x:v>
      </x:c>
      <x:c r="I15" s="29" t="n">
        <x:v>0.88</x:v>
      </x:c>
      <x:c r="J15" s="26" t="str">
        <x:v>Vergi davası ve denetim riski şirket açısından olumsuz.</x:v>
      </x:c>
      <x:c r="K15" s="26" t="str">
        <x:f>IF(D15=H15,"same","review")</x:f>
        <x:v>same</x:v>
      </x:c>
      <x:c r="L15" s="26" t="str">
        <x:v>FinBERT ile uyumlu.</x:v>
      </x:c>
    </x:row>
    <x:row r="16">
      <x:c r="A16" s="26" t="str">
        <x:v>REUTERS_ANN_00665</x:v>
      </x:c>
      <x:c r="B16" s="27" t="n">
        <x:v>39035</x:v>
      </x:c>
      <x:c r="C16" s="26" t="n">
        <x:v>0</x:v>
      </x:c>
      <x:c r="D16" s="26" t="str">
        <x:v>neutral</x:v>
      </x:c>
      <x:c r="E16" s="28" t="n">
        <x:v>0.6805815100669861</x:v>
      </x:c>
      <x:c r="F16" s="26" t="str">
        <x:v>google closes youtube deal</x:v>
      </x:c>
      <x:c r="G16" s="26" t="str">
        <x:v>Google, YouTube anlaşmasını tamamladı</x:v>
      </x:c>
      <x:c r="H16" s="26" t="str">
        <x:v>positive</x:v>
      </x:c>
      <x:c r="I16" s="29" t="n">
        <x:v>0.83</x:v>
      </x:c>
      <x:c r="J16" s="26" t="str">
        <x:v>Satın alma işleminin tamamlanması stratejik büyüme açısından olumlu.</x:v>
      </x:c>
      <x:c r="K16" s="26" t="str">
        <x:f>IF(D16=H16,"same","review")</x:f>
        <x:v>review</x:v>
      </x:c>
      <x:c r="L16" s="26" t="str">
        <x:v>FinBERT farklı; başlığın baskın sinyali positive olarak değerlendirildi.</x:v>
      </x:c>
    </x:row>
    <x:row r="17">
      <x:c r="A17" s="26" t="str">
        <x:v>REUTERS_ANN_00666</x:v>
      </x:c>
      <x:c r="B17" s="27" t="n">
        <x:v>39168</x:v>
      </x:c>
      <x:c r="C17" s="26" t="n">
        <x:v>0</x:v>
      </x:c>
      <x:c r="D17" s="26" t="str">
        <x:v>neutral</x:v>
      </x:c>
      <x:c r="E17" s="28" t="n">
        <x:v>0.7307020425796509</x:v>
      </x:c>
      <x:c r="F17" s="26" t="str">
        <x:v>att says received 1 mln inquiries on iphone</x:v>
      </x:c>
      <x:c r="G17" s="26" t="str">
        <x:v>AT&amp;T, iPhone için 1 milyon başvuru/ilgi aldığını söyledi</x:v>
      </x:c>
      <x:c r="H17" s="26" t="str">
        <x:v>positive</x:v>
      </x:c>
      <x:c r="I17" s="29" t="n">
        <x:v>0.78</x:v>
      </x:c>
      <x:c r="J17" s="26" t="str">
        <x:v>Yüksek müşteri ilgisi talep ve gelir potansiyeli açısından olumlu.</x:v>
      </x:c>
      <x:c r="K17" s="26" t="str">
        <x:f>IF(D17=H17,"same","review")</x:f>
        <x:v>review</x:v>
      </x:c>
      <x:c r="L17" s="26" t="str">
        <x:v>FinBERT farklı; başlığın baskın sinyali positive olarak değerlendirildi.</x:v>
      </x:c>
    </x:row>
    <x:row r="18">
      <x:c r="A18" s="26" t="str">
        <x:v>REUTERS_ANN_00667</x:v>
      </x:c>
      <x:c r="B18" s="27" t="n">
        <x:v>39135</x:v>
      </x:c>
      <x:c r="C18" s="26" t="n">
        <x:v>-1</x:v>
      </x:c>
      <x:c r="D18" s="26" t="str">
        <x:v>negative</x:v>
      </x:c>
      <x:c r="E18" s="28" t="n">
        <x:v>0.9739606380462646</x:v>
      </x:c>
      <x:c r="F18" s="26" t="str">
        <x:v>toll brothers quarterly profit falls sharply</x:v>
      </x:c>
      <x:c r="G18" s="26" t="str">
        <x:v>Toll Brothers’ın çeyreklik kârı keskin şekilde düştü</x:v>
      </x:c>
      <x:c r="H18" s="26" t="str">
        <x:v>negative</x:v>
      </x:c>
      <x:c r="I18" s="29" t="n">
        <x:v>0.94</x:v>
      </x:c>
      <x:c r="J18" s="26" t="str">
        <x:v>Kârın sert düşmesi açık negatif finansal sinyal.</x:v>
      </x:c>
      <x:c r="K18" s="26" t="str">
        <x:f>IF(D18=H18,"same","review")</x:f>
        <x:v>same</x:v>
      </x:c>
      <x:c r="L18" s="26" t="str">
        <x:v>FinBERT ile uyumlu.</x:v>
      </x:c>
    </x:row>
    <x:row r="19">
      <x:c r="A19" s="26" t="str">
        <x:v>REUTERS_ANN_00668</x:v>
      </x:c>
      <x:c r="B19" s="27" t="n">
        <x:v>39166</x:v>
      </x:c>
      <x:c r="C19" s="26" t="n">
        <x:v>0</x:v>
      </x:c>
      <x:c r="D19" s="26" t="str">
        <x:v>neutral</x:v>
      </x:c>
      <x:c r="E19" s="28" t="n">
        <x:v>0.9002329111099243</x:v>
      </x:c>
      <x:c r="F19" s="26" t="str">
        <x:v>toyota not among carmakers invited to white house</x:v>
      </x:c>
      <x:c r="G19" s="26" t="str">
        <x:v>Toyota, Beyaz Saray’a davet edilen otomobil üreticileri arasında yer almadı</x:v>
      </x:c>
      <x:c r="H19" s="26" t="str">
        <x:v>neutral</x:v>
      </x:c>
      <x:c r="I19" s="29" t="n">
        <x:v>0.63</x:v>
      </x:c>
      <x:c r="J19" s="26" t="str">
        <x:v>Başlık politik/kurumsal bir durumu bildiriyor; finansal etki doğrudan net değil.</x:v>
      </x:c>
      <x:c r="K19" s="26" t="str">
        <x:f>IF(D19=H19,"same","review")</x:f>
        <x:v>same</x:v>
      </x:c>
      <x:c r="L19" s="26" t="str">
        <x:v>FinBERT ile uyumlu.</x:v>
      </x:c>
    </x:row>
    <x:row r="20">
      <x:c r="A20" s="26" t="str">
        <x:v>REUTERS_ANN_00669</x:v>
      </x:c>
      <x:c r="B20" s="27" t="n">
        <x:v>39114</x:v>
      </x:c>
      <x:c r="C20" s="26" t="n">
        <x:v>1</x:v>
      </x:c>
      <x:c r="D20" s="26" t="str">
        <x:v>positive</x:v>
      </x:c>
      <x:c r="E20" s="28" t="n">
        <x:v>0.9482439756393432</x:v>
      </x:c>
      <x:c r="F20" s="26" t="str">
        <x:v>adidas sees reebok hitting $5 billion in sales</x:v>
      </x:c>
      <x:c r="G20" s="26" t="str">
        <x:v>Adidas, Reebok’un satışlarının 5 milyar dolara ulaşacağını öngörüyor</x:v>
      </x:c>
      <x:c r="H20" s="26" t="str">
        <x:v>positive</x:v>
      </x:c>
      <x:c r="I20" s="29" t="n">
        <x:v>0.89</x:v>
      </x:c>
      <x:c r="J20" s="26" t="str">
        <x:v>Satış hedefi/görünümü güçlü büyüme beklentisi içeriyor.</x:v>
      </x:c>
      <x:c r="K20" s="26" t="str">
        <x:f>IF(D20=H20,"same","review")</x:f>
        <x:v>same</x:v>
      </x:c>
      <x:c r="L20" s="26" t="str">
        <x:v>FinBERT ile uyumlu.</x:v>
      </x:c>
    </x:row>
    <x:row r="21">
      <x:c r="A21" s="26" t="str">
        <x:v>REUTERS_ANN_00670</x:v>
      </x:c>
      <x:c r="B21" s="27" t="n">
        <x:v>39066</x:v>
      </x:c>
      <x:c r="C21" s="26" t="n">
        <x:v>-1</x:v>
      </x:c>
      <x:c r="D21" s="26" t="str">
        <x:v>negative</x:v>
      </x:c>
      <x:c r="E21" s="28" t="n">
        <x:v>0.8508739471435547</x:v>
      </x:c>
      <x:c r="F21" s="26" t="str">
        <x:v>navistar to miss filing deadline</x:v>
      </x:c>
      <x:c r="G21" s="26" t="str">
        <x:v>Navistar son başvuru/raporlama tarihini kaçıracak</x:v>
      </x:c>
      <x:c r="H21" s="26" t="str">
        <x:v>negative</x:v>
      </x:c>
      <x:c r="I21" s="29" t="n">
        <x:v>0.93</x:v>
      </x:c>
      <x:c r="J21" s="26" t="str">
        <x:v>Finansal raporlama veya dosyalama gecikmesi uyum ve güven riski yaratır.</x:v>
      </x:c>
      <x:c r="K21" s="26" t="str">
        <x:f>IF(D21=H21,"same","review")</x:f>
        <x:v>same</x:v>
      </x:c>
      <x:c r="L21" s="26" t="str">
        <x:v>FinBERT ile uyumlu.</x:v>
      </x:c>
    </x:row>
    <x:row r="22">
      <x:c r="A22" s="26" t="str">
        <x:v>REUTERS_ANN_00671</x:v>
      </x:c>
      <x:c r="B22" s="27" t="n">
        <x:v>39202</x:v>
      </x:c>
      <x:c r="C22" s="26" t="n">
        <x:v>1</x:v>
      </x:c>
      <x:c r="D22" s="26" t="str">
        <x:v>positive</x:v>
      </x:c>
      <x:c r="E22" s="28" t="n">
        <x:v>0.9553350806236268</x:v>
      </x:c>
      <x:c r="F22" s="26" t="str">
        <x:v>radioshack posts higher quarterly profit</x:v>
      </x:c>
      <x:c r="G22" s="26" t="str">
        <x:v>RadioShack daha yüksek çeyreklik kâr açıkladı</x:v>
      </x:c>
      <x:c r="H22" s="26" t="str">
        <x:v>positive</x:v>
      </x:c>
      <x:c r="I22" s="29" t="n">
        <x:v>0.94</x:v>
      </x:c>
      <x:c r="J22" s="26" t="str">
        <x:v>Kâr artışı açık olumlu performans sinyali.</x:v>
      </x:c>
      <x:c r="K22" s="26" t="str">
        <x:f>IF(D22=H22,"same","review")</x:f>
        <x:v>same</x:v>
      </x:c>
      <x:c r="L22" s="26" t="str">
        <x:v>FinBERT ile uyumlu.</x:v>
      </x:c>
    </x:row>
    <x:row r="23">
      <x:c r="A23" s="26" t="str">
        <x:v>REUTERS_ANN_00672</x:v>
      </x:c>
      <x:c r="B23" s="27" t="n">
        <x:v>39184</x:v>
      </x:c>
      <x:c r="C23" s="26" t="n">
        <x:v>-1</x:v>
      </x:c>
      <x:c r="D23" s="26" t="str">
        <x:v>negative</x:v>
      </x:c>
      <x:c r="E23" s="28" t="n">
        <x:v>0.6947533488273621</x:v>
      </x:c>
      <x:c r="F23" s="26" t="str">
        <x:v>costco march same-store sales rise</x:v>
      </x:c>
      <x:c r="G23" s="26" t="str">
        <x:v>Costco’nun mart ayı aynı mağaza satışları arttı</x:v>
      </x:c>
      <x:c r="H23" s="26" t="str">
        <x:v>positive</x:v>
      </x:c>
      <x:c r="I23" s="29" t="n">
        <x:v>0.9</x:v>
      </x:c>
      <x:c r="J23" s="26" t="str">
        <x:v>Aynı mağaza satışlarındaki artış perakende performansı açısından olumlu.</x:v>
      </x:c>
      <x:c r="K23" s="26" t="str">
        <x:f>IF(D23=H23,"same","review")</x:f>
        <x:v>review</x:v>
      </x:c>
      <x:c r="L23" s="26" t="str">
        <x:v>FinBERT farklı; başlığın baskın sinyali positive olarak değerlendirildi.</x:v>
      </x:c>
    </x:row>
    <x:row r="24">
      <x:c r="A24" s="26" t="str">
        <x:v>REUTERS_ANN_00673</x:v>
      </x:c>
      <x:c r="B24" s="27" t="n">
        <x:v>39101</x:v>
      </x:c>
      <x:c r="C24" s="26" t="n">
        <x:v>-1</x:v>
      </x:c>
      <x:c r="D24" s="26" t="str">
        <x:v>negative</x:v>
      </x:c>
      <x:c r="E24" s="28" t="n">
        <x:v>0.5826954245567322</x:v>
      </x:c>
      <x:c r="F24" s="26" t="str">
        <x:v>fed comments back view rates on hold for now</x:v>
      </x:c>
      <x:c r="G24" s="26" t="str">
        <x:v>Fed açıklamaları faizlerin şimdilik sabit kalacağı görüşünü destekledi</x:v>
      </x:c>
      <x:c r="H24" s="26" t="str">
        <x:v>neutral</x:v>
      </x:c>
      <x:c r="I24" s="29" t="n">
        <x:v>0.76</x:v>
      </x:c>
      <x:c r="J24" s="26" t="str">
        <x:v>Faizlerin sabit kalacağı beklentisi yönlü bir şirket/piyasa sürprizi değil; dengeli makro sinyal.</x:v>
      </x:c>
      <x:c r="K24" s="26" t="str">
        <x:f>IF(D24=H24,"same","review")</x:f>
        <x:v>review</x:v>
      </x:c>
      <x:c r="L24" s="26" t="str">
        <x:v>FinBERT farklı; başlığın baskın sinyali neutral olarak değerlendirildi.</x:v>
      </x:c>
    </x:row>
    <x:row r="25">
      <x:c r="A25" s="26" t="str">
        <x:v>REUTERS_ANN_00674</x:v>
      </x:c>
      <x:c r="B25" s="27" t="n">
        <x:v>39197</x:v>
      </x:c>
      <x:c r="C25" s="26" t="n">
        <x:v>-1</x:v>
      </x:c>
      <x:c r="D25" s="26" t="str">
        <x:v>negative</x:v>
      </x:c>
      <x:c r="E25" s="28" t="n">
        <x:v>0.976690948009491</x:v>
      </x:c>
      <x:c r="F25" s="26" t="str">
        <x:v>salon operator regis reports quarterly profit</x:v>
      </x:c>
      <x:c r="G25" s="26" t="str">
        <x:v>Salon işletmecisi Regis çeyreklik kâr açıkladı</x:v>
      </x:c>
      <x:c r="H25" s="26" t="str">
        <x:v>positive</x:v>
      </x:c>
      <x:c r="I25" s="29" t="n">
        <x:v>0.83</x:v>
      </x:c>
      <x:c r="J25" s="26" t="str">
        <x:v>Kâr açıklanması olumlu; başlıkta düşüş veya beklenti altı sinyali yok.</x:v>
      </x:c>
      <x:c r="K25" s="26" t="str">
        <x:f>IF(D25=H25,"same","review")</x:f>
        <x:v>review</x:v>
      </x:c>
      <x:c r="L25" s="26" t="str">
        <x:v>FinBERT farklı; başlığın baskın sinyali positive olarak değerlendirildi.</x:v>
      </x:c>
    </x:row>
    <x:row r="26">
      <x:c r="A26" s="26" t="str">
        <x:v>REUTERS_ANN_00675</x:v>
      </x:c>
      <x:c r="B26" s="27" t="n">
        <x:v>39038</x:v>
      </x:c>
      <x:c r="C26" s="26" t="n">
        <x:v>0</x:v>
      </x:c>
      <x:c r="D26" s="26" t="str">
        <x:v>neutral</x:v>
      </x:c>
      <x:c r="E26" s="28" t="n">
        <x:v>0.4653896689414978</x:v>
      </x:c>
      <x:c r="F26" s="26" t="str">
        <x:v>feds fisher sees dollar staying top world currency</x:v>
      </x:c>
      <x:c r="G26" s="26" t="str">
        <x:v>Fed’den Fisher doların en önemli dünya para birimi olarak kalacağını öngörüyor</x:v>
      </x:c>
      <x:c r="H26" s="26" t="str">
        <x:v>neutral</x:v>
      </x:c>
      <x:c r="I26" s="29" t="n">
        <x:v>0.68</x:v>
      </x:c>
      <x:c r="J26" s="26" t="str">
        <x:v>Makro yorum niteliğinde; doğrudan güçlü olumlu/olumsuz piyasa etkisi belirsiz.</x:v>
      </x:c>
      <x:c r="K26" s="26" t="str">
        <x:f>IF(D26=H26,"same","review")</x:f>
        <x:v>same</x:v>
      </x:c>
      <x:c r="L26" s="26" t="str">
        <x:v>FinBERT ile uyumlu.</x:v>
      </x:c>
    </x:row>
    <x:row r="27">
      <x:c r="A27" s="26" t="str">
        <x:v>REUTERS_ANN_00676</x:v>
      </x:c>
      <x:c r="B27" s="27" t="n">
        <x:v>39164</x:v>
      </x:c>
      <x:c r="C27" s="26" t="n">
        <x:v>0</x:v>
      </x:c>
      <x:c r="D27" s="26" t="str">
        <x:v>neutral</x:v>
      </x:c>
      <x:c r="E27" s="28" t="n">
        <x:v>0.8839039206504822</x:v>
      </x:c>
      <x:c r="F27" s="26" t="str">
        <x:v>qantas bid group says considering alternatives</x:v>
      </x:c>
      <x:c r="G27" s="26" t="str">
        <x:v>Qantas teklif grubu alternatifleri değerlendirdiğini söyledi</x:v>
      </x:c>
      <x:c r="H27" s="26" t="str">
        <x:v>neutral</x:v>
      </x:c>
      <x:c r="I27" s="29" t="n">
        <x:v>0.7</x:v>
      </x:c>
      <x:c r="J27" s="26" t="str">
        <x:v>Anlaşma sürecinde seçenek değerlendirmesi var; net sonuç veya yönlü etki yok.</x:v>
      </x:c>
      <x:c r="K27" s="26" t="str">
        <x:f>IF(D27=H27,"same","review")</x:f>
        <x:v>same</x:v>
      </x:c>
      <x:c r="L27" s="26" t="str">
        <x:v>FinBERT ile uyumlu.</x:v>
      </x:c>
    </x:row>
    <x:row r="28">
      <x:c r="A28" s="26" t="str">
        <x:v>REUTERS_ANN_00677</x:v>
      </x:c>
      <x:c r="B28" s="27" t="n">
        <x:v>39203</x:v>
      </x:c>
      <x:c r="C28" s="26" t="n">
        <x:v>0</x:v>
      </x:c>
      <x:c r="D28" s="26" t="str">
        <x:v>neutral</x:v>
      </x:c>
      <x:c r="E28" s="28" t="n">
        <x:v>0.5301191210746765</x:v>
      </x:c>
      <x:c r="F28" s="26" t="str">
        <x:v>venezuela seizes operations from oil majors</x:v>
      </x:c>
      <x:c r="G28" s="26" t="str">
        <x:v>Venezuela, büyük petrol şirketlerinin operasyonlarına el koydu</x:v>
      </x:c>
      <x:c r="H28" s="26" t="str">
        <x:v>negative</x:v>
      </x:c>
      <x:c r="I28" s="29" t="n">
        <x:v>0.89</x:v>
      </x:c>
      <x:c r="J28" s="26" t="str">
        <x:v>Kamulaştırma/el koyma yabancı petrol şirketleri için belirgin operasyonel ve politik risk.</x:v>
      </x:c>
      <x:c r="K28" s="26" t="str">
        <x:f>IF(D28=H28,"same","review")</x:f>
        <x:v>review</x:v>
      </x:c>
      <x:c r="L28" s="26" t="str">
        <x:v>FinBERT farklı; başlığın baskın sinyali negative olarak değerlendirildi.</x:v>
      </x:c>
    </x:row>
    <x:row r="29">
      <x:c r="A29" s="26" t="str">
        <x:v>REUTERS_ANN_00678</x:v>
      </x:c>
      <x:c r="B29" s="27" t="n">
        <x:v>39030</x:v>
      </x:c>
      <x:c r="C29" s="26" t="n">
        <x:v>-1</x:v>
      </x:c>
      <x:c r="D29" s="26" t="str">
        <x:v>negative</x:v>
      </x:c>
      <x:c r="E29" s="28" t="n">
        <x:v>0.9524993896484376</x:v>
      </x:c>
      <x:c r="F29" s="26" t="str">
        <x:v>consumer sentiment weakens, deficit narrows</x:v>
      </x:c>
      <x:c r="G29" s="26" t="str">
        <x:v>Tüketici güveni zayıfladı, açık daraldı</x:v>
      </x:c>
      <x:c r="H29" s="26" t="str">
        <x:v>negative</x:v>
      </x:c>
      <x:c r="I29" s="29" t="n">
        <x:v>0.78</x:v>
      </x:c>
      <x:c r="J29" s="26" t="str">
        <x:v>Açığın daralması dengeleyici olsa da tüketici güvenindeki zayıflama ana makro sinyal olarak olumsuz.</x:v>
      </x:c>
      <x:c r="K29" s="26" t="str">
        <x:f>IF(D29=H29,"same","review")</x:f>
        <x:v>same</x:v>
      </x:c>
      <x:c r="L29" s="26" t="str">
        <x:v>FinBERT ile uyumlu.</x:v>
      </x:c>
    </x:row>
    <x:row r="30">
      <x:c r="A30" s="26" t="str">
        <x:v>REUTERS_ANN_00679</x:v>
      </x:c>
      <x:c r="B30" s="27" t="n">
        <x:v>39050</x:v>
      </x:c>
      <x:c r="C30" s="26" t="n">
        <x:v>1</x:v>
      </x:c>
      <x:c r="D30" s="26" t="str">
        <x:v>positive</x:v>
      </x:c>
      <x:c r="E30" s="28" t="n">
        <x:v>0.7476380467414856</x:v>
      </x:c>
      <x:c r="F30" s="26" t="str">
        <x:v>update 6-gold ends softer as dollar rebounds after us gdp</x:v>
      </x:c>
      <x:c r="G30" s="26" t="str">
        <x:v>Altın, ABD GSYH verisi sonrası doların toparlanmasıyla daha zayıf kapandı</x:v>
      </x:c>
      <x:c r="H30" s="26" t="str">
        <x:v>negative</x:v>
      </x:c>
      <x:c r="I30" s="29" t="n">
        <x:v>0.75</x:v>
      </x:c>
      <x:c r="J30" s="26" t="str">
        <x:v>Altın fiyatındaki zayıflama emtia açısından negatif; güçlü dolar baskı unsuru.</x:v>
      </x:c>
      <x:c r="K30" s="26" t="str">
        <x:f>IF(D30=H30,"same","review")</x:f>
        <x:v>review</x:v>
      </x:c>
      <x:c r="L30" s="26" t="str">
        <x:v>FinBERT farklı; başlığın baskın sinyali negative olarak değerlendirildi.</x:v>
      </x:c>
    </x:row>
    <x:row r="31">
      <x:c r="A31" s="26" t="str">
        <x:v>REUTERS_ANN_00680</x:v>
      </x:c>
      <x:c r="B31" s="27" t="n">
        <x:v>39185</x:v>
      </x:c>
      <x:c r="C31" s="26" t="n">
        <x:v>0</x:v>
      </x:c>
      <x:c r="D31" s="26" t="str">
        <x:v>neutral</x:v>
      </x:c>
      <x:c r="E31" s="28" t="n">
        <x:v>0.7992841005325317</x:v>
      </x:c>
      <x:c r="F31" s="26" t="str">
        <x:v>magna confirms role in possible chrysler deal</x:v>
      </x:c>
      <x:c r="G31" s="26" t="str">
        <x:v>Magna olası Chrysler anlaşmasındaki rolünü doğruladı</x:v>
      </x:c>
      <x:c r="H31" s="26" t="str">
        <x:v>neutral</x:v>
      </x:c>
      <x:c r="I31" s="29" t="n">
        <x:v>0.7</x:v>
      </x:c>
      <x:c r="J31" s="26" t="str">
        <x:v>Olası anlaşma sürecine dair doğrulama var; tamamlanmış olumlu/olumsuz sonuç yok.</x:v>
      </x:c>
      <x:c r="K31" s="26" t="str">
        <x:f>IF(D31=H31,"same","review")</x:f>
        <x:v>same</x:v>
      </x:c>
      <x:c r="L31" s="26" t="str">
        <x:v>FinBERT ile uyumlu.</x:v>
      </x:c>
    </x:row>
    <x:row r="32">
      <x:c r="A32" s="26" t="str">
        <x:v>REUTERS_ANN_00681</x:v>
      </x:c>
      <x:c r="B32" s="27" t="n">
        <x:v>39149</x:v>
      </x:c>
      <x:c r="C32" s="26" t="n">
        <x:v>0</x:v>
      </x:c>
      <x:c r="D32" s="26" t="str">
        <x:v>neutral</x:v>
      </x:c>
      <x:c r="E32" s="28" t="n">
        <x:v>0.7072754502296448</x:v>
      </x:c>
      <x:c r="F32" s="26" t="str">
        <x:v>sirius to charge less than $26/month post merger</x:v>
      </x:c>
      <x:c r="G32" s="26" t="str">
        <x:v>Sirius birleşme sonrası aylık ücretin 26 doların altında olacağını söyledi</x:v>
      </x:c>
      <x:c r="H32" s="26" t="str">
        <x:v>neutral</x:v>
      </x:c>
      <x:c r="I32" s="29" t="n">
        <x:v>0.69</x:v>
      </x:c>
      <x:c r="J32" s="26" t="str">
        <x:v>Fiyatlama bilgisi müşteri açısından olumlu olabilir fakat şirket geliri/marj etkisi net değil.</x:v>
      </x:c>
      <x:c r="K32" s="26" t="str">
        <x:f>IF(D32=H32,"same","review")</x:f>
        <x:v>same</x:v>
      </x:c>
      <x:c r="L32" s="26" t="str">
        <x:v>FinBERT ile uyumlu.</x:v>
      </x:c>
    </x:row>
    <x:row r="33">
      <x:c r="A33" s="26" t="str">
        <x:v>REUTERS_ANN_00682</x:v>
      </x:c>
      <x:c r="B33" s="27" t="n">
        <x:v>39176</x:v>
      </x:c>
      <x:c r="C33" s="26" t="n">
        <x:v>-1</x:v>
      </x:c>
      <x:c r="D33" s="26" t="str">
        <x:v>negative</x:v>
      </x:c>
      <x:c r="E33" s="28" t="n">
        <x:v>0.6112200021743774</x:v>
      </x:c>
      <x:c r="F33" s="26" t="str">
        <x:v>ex-morgan stanley worker held on data theft charge</x:v>
      </x:c>
      <x:c r="G33" s="26" t="str">
        <x:v>Eski Morgan Stanley çalışanı veri hırsızlığı suçlamasıyla gözaltına alındı</x:v>
      </x:c>
      <x:c r="H33" s="26" t="str">
        <x:v>negative</x:v>
      </x:c>
      <x:c r="I33" s="29" t="n">
        <x:v>0.89</x:v>
      </x:c>
      <x:c r="J33" s="26" t="str">
        <x:v>Veri hırsızlığı suçlaması itibar ve hukuki risk doğurur.</x:v>
      </x:c>
      <x:c r="K33" s="26" t="str">
        <x:f>IF(D33=H33,"same","review")</x:f>
        <x:v>same</x:v>
      </x:c>
      <x:c r="L33" s="26" t="str">
        <x:v>FinBERT ile uyumlu.</x:v>
      </x:c>
    </x:row>
    <x:row r="34">
      <x:c r="A34" s="26" t="str">
        <x:v>REUTERS_ANN_00683</x:v>
      </x:c>
      <x:c r="B34" s="27" t="n">
        <x:v>39058</x:v>
      </x:c>
      <x:c r="C34" s="26" t="n">
        <x:v>-1</x:v>
      </x:c>
      <x:c r="D34" s="26" t="str">
        <x:v>negative</x:v>
      </x:c>
      <x:c r="E34" s="28" t="n">
        <x:v>0.9681554436683656</x:v>
      </x:c>
      <x:c r="F34" s="26" t="str">
        <x:v>home depot says some option grants backdated</x:v>
      </x:c>
      <x:c r="G34" s="26" t="str">
        <x:v>Home Depot bazı opsiyon tahsislerinin geriye dönük tarihli olduğunu söyledi</x:v>
      </x:c>
      <x:c r="H34" s="26" t="str">
        <x:v>negative</x:v>
      </x:c>
      <x:c r="I34" s="29" t="n">
        <x:v>0.9</x:v>
      </x:c>
      <x:c r="J34" s="26" t="str">
        <x:v>Opsiyon geriye tarihleme iddiası kurumsal yönetim ve hukuki risk yaratır.</x:v>
      </x:c>
      <x:c r="K34" s="26" t="str">
        <x:f>IF(D34=H34,"same","review")</x:f>
        <x:v>same</x:v>
      </x:c>
      <x:c r="L34" s="26" t="str">
        <x:v>FinBERT ile uyumlu.</x:v>
      </x:c>
    </x:row>
    <x:row r="35">
      <x:c r="A35" s="26" t="str">
        <x:v>REUTERS_ANN_00684</x:v>
      </x:c>
      <x:c r="B35" s="27" t="n">
        <x:v>39175</x:v>
      </x:c>
      <x:c r="C35" s="26" t="n">
        <x:v>1</x:v>
      </x:c>
      <x:c r="D35" s="26" t="str">
        <x:v>positive</x:v>
      </x:c>
      <x:c r="E35" s="28" t="n">
        <x:v>0.5575127601623535</x:v>
      </x:c>
      <x:c r="F35" s="26" t="str">
        <x:v>wesfarmers launches $16 bln bid for retailer coles</x:v>
      </x:c>
      <x:c r="G35" s="26" t="str">
        <x:v>Wesfarmers, perakendeci Coles için 16 milyar dolarlık teklif başlattı</x:v>
      </x:c>
      <x:c r="H35" s="26" t="str">
        <x:v>positive</x:v>
      </x:c>
      <x:c r="I35" s="29" t="n">
        <x:v>0.78</x:v>
      </x:c>
      <x:c r="J35" s="26" t="str">
        <x:v>Büyük satın alma teklifi büyüme ve stratejik genişleme sinyali taşıyor.</x:v>
      </x:c>
      <x:c r="K35" s="26" t="str">
        <x:f>IF(D35=H35,"same","review")</x:f>
        <x:v>same</x:v>
      </x:c>
      <x:c r="L35" s="26" t="str">
        <x:v>FinBERT ile uyumlu.</x:v>
      </x:c>
    </x:row>
    <x:row r="36">
      <x:c r="A36" s="26" t="str">
        <x:v>REUTERS_ANN_00685</x:v>
      </x:c>
      <x:c r="B36" s="27" t="n">
        <x:v>39090</x:v>
      </x:c>
      <x:c r="C36" s="26" t="n">
        <x:v>1</x:v>
      </x:c>
      <x:c r="D36" s="26" t="str">
        <x:v>positive</x:v>
      </x:c>
      <x:c r="E36" s="28" t="n">
        <x:v>0.9409040212631226</x:v>
      </x:c>
      <x:c r="F36" s="26" t="str">
        <x:v>update 2-autoshow-gm sees better results, eyes more cost cuts</x:v>
      </x:c>
      <x:c r="G36" s="26" t="str">
        <x:v>GM daha iyi sonuçlar bekliyor ve daha fazla maliyet kesintisini hedefliyor</x:v>
      </x:c>
      <x:c r="H36" s="26" t="str">
        <x:v>positive</x:v>
      </x:c>
      <x:c r="I36" s="29" t="n">
        <x:v>0.89</x:v>
      </x:c>
      <x:c r="J36" s="26" t="str">
        <x:v>Daha iyi sonuç beklentisi ve maliyet kontrolü şirket görünümü açısından olumlu.</x:v>
      </x:c>
      <x:c r="K36" s="26" t="str">
        <x:f>IF(D36=H36,"same","review")</x:f>
        <x:v>same</x:v>
      </x:c>
      <x:c r="L36" s="26" t="str">
        <x:v>FinBERT ile uyumlu.</x:v>
      </x:c>
    </x:row>
    <x:row r="37">
      <x:c r="A37" s="26" t="str">
        <x:v>REUTERS_ANN_00686</x:v>
      </x:c>
      <x:c r="B37" s="27" t="n">
        <x:v>39090</x:v>
      </x:c>
      <x:c r="C37" s="26" t="n">
        <x:v>1</x:v>
      </x:c>
      <x:c r="D37" s="26" t="str">
        <x:v>positive</x:v>
      </x:c>
      <x:c r="E37" s="28" t="n">
        <x:v>0.883111298084259</x:v>
      </x:c>
      <x:c r="F37" s="26" t="str">
        <x:v>ncr to spin off teradata software business</x:v>
      </x:c>
      <x:c r="G37" s="26" t="str">
        <x:v>NCR, Teradata yazılım işini ayrı bir şirket olarak ayıracak</x:v>
      </x:c>
      <x:c r="H37" s="26" t="str">
        <x:v>positive</x:v>
      </x:c>
      <x:c r="I37" s="29" t="n">
        <x:v>0.78</x:v>
      </x:c>
      <x:c r="J37" s="26" t="str">
        <x:v>Ayrışma odaklanma ve değer açığa çıkarma potansiyeli taşıdığı için hafif olumlu.</x:v>
      </x:c>
      <x:c r="K37" s="26" t="str">
        <x:f>IF(D37=H37,"same","review")</x:f>
        <x:v>same</x:v>
      </x:c>
      <x:c r="L37" s="26" t="str">
        <x:v>FinBERT ile uyumlu.</x:v>
      </x:c>
    </x:row>
    <x:row r="38">
      <x:c r="A38" s="26" t="str">
        <x:v>REUTERS_ANN_00687</x:v>
      </x:c>
      <x:c r="B38" s="27" t="n">
        <x:v>39143</x:v>
      </x:c>
      <x:c r="C38" s="26" t="n">
        <x:v>-1</x:v>
      </x:c>
      <x:c r="D38" s="26" t="str">
        <x:v>negative</x:v>
      </x:c>
      <x:c r="E38" s="28" t="n">
        <x:v>0.7994387745857239</x:v>
      </x:c>
      <x:c r="F38" s="26" t="str">
        <x:v>u.s. charges 13 in insider trading</x:v>
      </x:c>
      <x:c r="G38" s="26" t="str">
        <x:v>ABD içeriden öğrenenlerin ticareti kapsamında 13 kişiyi suçladı</x:v>
      </x:c>
      <x:c r="H38" s="26" t="str">
        <x:v>negative</x:v>
      </x:c>
      <x:c r="I38" s="29" t="n">
        <x:v>0.88</x:v>
      </x:c>
      <x:c r="J38" s="26" t="str">
        <x:v>İçeriden öğrenenlerin ticareti suçlamaları finansal piyasa ve şirketler için negatif hukuki sinyal.</x:v>
      </x:c>
      <x:c r="K38" s="26" t="str">
        <x:f>IF(D38=H38,"same","review")</x:f>
        <x:v>same</x:v>
      </x:c>
      <x:c r="L38" s="26" t="str">
        <x:v>FinBERT ile uyumlu.</x:v>
      </x:c>
    </x:row>
    <x:row r="39">
      <x:c r="A39" s="26" t="str">
        <x:v>REUTERS_ANN_00688</x:v>
      </x:c>
      <x:c r="B39" s="27" t="n">
        <x:v>39167</x:v>
      </x:c>
      <x:c r="C39" s="26" t="n">
        <x:v>0</x:v>
      </x:c>
      <x:c r="D39" s="26" t="str">
        <x:v>neutral</x:v>
      </x:c>
      <x:c r="E39" s="28" t="n">
        <x:v>0.5089427828788757</x:v>
      </x:c>
      <x:c r="F39" s="26" t="str">
        <x:v>chile spence mine to produce 180,000t copper in 07</x:v>
      </x:c>
      <x:c r="G39" s="26" t="str">
        <x:v>Şili’deki Spence madeni 2007’de 180 bin ton bakır üretecek</x:v>
      </x:c>
      <x:c r="H39" s="26" t="str">
        <x:v>positive</x:v>
      </x:c>
      <x:c r="I39" s="29" t="n">
        <x:v>0.75</x:v>
      </x:c>
      <x:c r="J39" s="26" t="str">
        <x:v>Belirgin üretim hedefi gelir ve arz kapasitesi açısından olumlu okunabilir.</x:v>
      </x:c>
      <x:c r="K39" s="26" t="str">
        <x:f>IF(D39=H39,"same","review")</x:f>
        <x:v>review</x:v>
      </x:c>
      <x:c r="L39" s="26" t="str">
        <x:v>FinBERT farklı; başlığın baskın sinyali positive olarak değerlendirildi.</x:v>
      </x:c>
    </x:row>
    <x:row r="40">
      <x:c r="A40" s="26" t="str">
        <x:v>REUTERS_ANN_00689</x:v>
      </x:c>
      <x:c r="B40" s="27" t="n">
        <x:v>39192</x:v>
      </x:c>
      <x:c r="C40" s="26" t="n">
        <x:v>1</x:v>
      </x:c>
      <x:c r="D40" s="26" t="str">
        <x:v>positive</x:v>
      </x:c>
      <x:c r="E40" s="28" t="n">
        <x:v>0.8951746225357056</x:v>
      </x:c>
      <x:c r="F40" s="26" t="str">
        <x:v>dow nears 13,000 on strong earnings</x:v>
      </x:c>
      <x:c r="G40" s="26" t="str">
        <x:v>Dow güçlü kârlarla 13.000 seviyesine yaklaştı</x:v>
      </x:c>
      <x:c r="H40" s="26" t="str">
        <x:v>positive</x:v>
      </x:c>
      <x:c r="I40" s="29" t="n">
        <x:v>0.93</x:v>
      </x:c>
      <x:c r="J40" s="26" t="str">
        <x:v>Endeksin yükselmesi ve güçlü kârlar açık pozitif piyasa sinyali.</x:v>
      </x:c>
      <x:c r="K40" s="26" t="str">
        <x:f>IF(D40=H40,"same","review")</x:f>
        <x:v>same</x:v>
      </x:c>
      <x:c r="L40" s="26" t="str">
        <x:v>FinBERT ile uyumlu.</x:v>
      </x:c>
    </x:row>
    <x:row r="41">
      <x:c r="A41" s="26" t="str">
        <x:v>REUTERS_ANN_00690</x:v>
      </x:c>
      <x:c r="B41" s="27" t="n">
        <x:v>39182</x:v>
      </x:c>
      <x:c r="C41" s="26" t="n">
        <x:v>1</x:v>
      </x:c>
      <x:c r="D41" s="26" t="str">
        <x:v>positive</x:v>
      </x:c>
      <x:c r="E41" s="28" t="n">
        <x:v>0.9518433809280396</x:v>
      </x:c>
      <x:c r="F41" s="26" t="str">
        <x:v>mylan raises 2007 earnings forecast</x:v>
      </x:c>
      <x:c r="G41" s="26" t="str">
        <x:v>Mylan 2007 kâr tahminini yükseltti</x:v>
      </x:c>
      <x:c r="H41" s="26" t="str">
        <x:v>positive</x:v>
      </x:c>
      <x:c r="I41" s="29" t="n">
        <x:v>0.94</x:v>
      </x:c>
      <x:c r="J41" s="26" t="str">
        <x:v>Kâr tahmininin artırılması şirket görünümü için net olumlu.</x:v>
      </x:c>
      <x:c r="K41" s="26" t="str">
        <x:f>IF(D41=H41,"same","review")</x:f>
        <x:v>same</x:v>
      </x:c>
      <x:c r="L41" s="26" t="str">
        <x:v>FinBERT ile uyumlu.</x:v>
      </x:c>
    </x:row>
    <x:row r="42">
      <x:c r="A42" s="26" t="str">
        <x:v>REUTERS_ANN_00691</x:v>
      </x:c>
      <x:c r="B42" s="27" t="n">
        <x:v>39086</x:v>
      </x:c>
      <x:c r="C42" s="26" t="n">
        <x:v>1</x:v>
      </x:c>
      <x:c r="D42" s="26" t="str">
        <x:v>positive</x:v>
      </x:c>
      <x:c r="E42" s="28" t="n">
        <x:v>0.9509319067001344</x:v>
      </x:c>
      <x:c r="F42" s="26" t="str">
        <x:v>cvs, rite aid post better-than-expected december sales</x:v>
      </x:c>
      <x:c r="G42" s="26" t="str">
        <x:v>CVS ve Rite Aid aralık satışlarında beklentilerin üzerinde sonuç açıkladı</x:v>
      </x:c>
      <x:c r="H42" s="26" t="str">
        <x:v>positive</x:v>
      </x:c>
      <x:c r="I42" s="29" t="n">
        <x:v>0.93</x:v>
      </x:c>
      <x:c r="J42" s="26" t="str">
        <x:v>Beklenti üstü satışlar perakende performansı açısından olumlu.</x:v>
      </x:c>
      <x:c r="K42" s="26" t="str">
        <x:f>IF(D42=H42,"same","review")</x:f>
        <x:v>same</x:v>
      </x:c>
      <x:c r="L42" s="26" t="str">
        <x:v>FinBERT ile uyumlu.</x:v>
      </x:c>
    </x:row>
    <x:row r="43">
      <x:c r="A43" s="26" t="str">
        <x:v>REUTERS_ANN_00692</x:v>
      </x:c>
      <x:c r="B43" s="27" t="n">
        <x:v>39154</x:v>
      </x:c>
      <x:c r="C43" s="26" t="n">
        <x:v>1</x:v>
      </x:c>
      <x:c r="D43" s="26" t="str">
        <x:v>positive</x:v>
      </x:c>
      <x:c r="E43" s="28" t="n">
        <x:v>0.8618578314781189</x:v>
      </x:c>
      <x:c r="F43" s="26" t="str">
        <x:v>gmac to get $1 bln from gm, cites subprime pressure</x:v>
      </x:c>
      <x:c r="G43" s="26" t="str">
        <x:v>GMAC, GM’den 1 milyar dolar alacak; subprime baskısına atıf yaptı</x:v>
      </x:c>
      <x:c r="H43" s="26" t="str">
        <x:v>neutral</x:v>
      </x:c>
      <x:c r="I43" s="29" t="n">
        <x:v>0.66</x:v>
      </x:c>
      <x:c r="J43" s="26" t="str">
        <x:v>Likidite desteği olumlu, subprime baskısı olumsuz; başlık karışık sinyal veriyor.</x:v>
      </x:c>
      <x:c r="K43" s="26" t="str">
        <x:f>IF(D43=H43,"same","review")</x:f>
        <x:v>review</x:v>
      </x:c>
      <x:c r="L43" s="26" t="str">
        <x:v>FinBERT farklı; başlığın baskın sinyali neutral olarak değerlendirildi.</x:v>
      </x:c>
    </x:row>
    <x:row r="44">
      <x:c r="A44" s="26" t="str">
        <x:v>REUTERS_ANN_00693</x:v>
      </x:c>
      <x:c r="B44" s="27" t="n">
        <x:v>39071</x:v>
      </x:c>
      <x:c r="C44" s="26" t="n">
        <x:v>-1</x:v>
      </x:c>
      <x:c r="D44" s="26" t="str">
        <x:v>negative</x:v>
      </x:c>
      <x:c r="E44" s="28" t="n">
        <x:v>0.974240243434906</x:v>
      </x:c>
      <x:c r="F44" s="26" t="str">
        <x:v>home loan demand slumps as refinancing plunges</x:v>
      </x:c>
      <x:c r="G44" s="26" t="str">
        <x:v>Konut kredisi talebi, yeniden finansmanın sert düşmesiyle geriledi</x:v>
      </x:c>
      <x:c r="H44" s="26" t="str">
        <x:v>negative</x:v>
      </x:c>
      <x:c r="I44" s="29" t="n">
        <x:v>0.93</x:v>
      </x:c>
      <x:c r="J44" s="26" t="str">
        <x:v>Kredi talebindeki çöküş konut/finans piyasası için açık negatif sinyal.</x:v>
      </x:c>
      <x:c r="K44" s="26" t="str">
        <x:f>IF(D44=H44,"same","review")</x:f>
        <x:v>same</x:v>
      </x:c>
      <x:c r="L44" s="26" t="str">
        <x:v>FinBERT ile uyumlu.</x:v>
      </x:c>
    </x:row>
    <x:row r="45">
      <x:c r="A45" s="26" t="str">
        <x:v>REUTERS_ANN_00694</x:v>
      </x:c>
      <x:c r="B45" s="27" t="n">
        <x:v>39065</x:v>
      </x:c>
      <x:c r="C45" s="26" t="n">
        <x:v>0</x:v>
      </x:c>
      <x:c r="D45" s="26" t="str">
        <x:v>neutral</x:v>
      </x:c>
      <x:c r="E45" s="28" t="n">
        <x:v>0.7230224609375</x:v>
      </x:c>
      <x:c r="F45" s="26" t="str">
        <x:v>merck says sirna deal clears antitrust hurdle</x:v>
      </x:c>
      <x:c r="G45" s="26" t="str">
        <x:v>Merck, Sirna anlaşmasının antitröst engelini aştığını söyledi</x:v>
      </x:c>
      <x:c r="H45" s="26" t="str">
        <x:v>positive</x:v>
      </x:c>
      <x:c r="I45" s="29" t="n">
        <x:v>0.78</x:v>
      </x:c>
      <x:c r="J45" s="26" t="str">
        <x:v>Düzenleyici engelin aşılması anlaşmanın tamamlanma ihtimalini artırır.</x:v>
      </x:c>
      <x:c r="K45" s="26" t="str">
        <x:f>IF(D45=H45,"same","review")</x:f>
        <x:v>review</x:v>
      </x:c>
      <x:c r="L45" s="26" t="str">
        <x:v>FinBERT farklı; başlığın baskın sinyali positive olarak değerlendirildi.</x:v>
      </x:c>
    </x:row>
    <x:row r="46">
      <x:c r="A46" s="26" t="str">
        <x:v>REUTERS_ANN_00695</x:v>
      </x:c>
      <x:c r="B46" s="27" t="n">
        <x:v>39176</x:v>
      </x:c>
      <x:c r="C46" s="26" t="n">
        <x:v>0</x:v>
      </x:c>
      <x:c r="D46" s="26" t="str">
        <x:v>neutral</x:v>
      </x:c>
      <x:c r="E46" s="28" t="n">
        <x:v>0.589167594909668</x:v>
      </x:c>
      <x:c r="F46" s="26" t="str">
        <x:v>apollo working with banks on ipo source</x:v>
      </x:c>
      <x:c r="G46" s="26" t="str">
        <x:v>Apollo bankalarla halka arz üzerinde çalışıyor</x:v>
      </x:c>
      <x:c r="H46" s="26" t="str">
        <x:v>neutral</x:v>
      </x:c>
      <x:c r="I46" s="29" t="n">
        <x:v>0.7</x:v>
      </x:c>
      <x:c r="J46" s="26" t="str">
        <x:v>Halka arz hazırlığı haber niteliğinde; kesin fiyatlama veya sonuç yok.</x:v>
      </x:c>
      <x:c r="K46" s="26" t="str">
        <x:f>IF(D46=H46,"same","review")</x:f>
        <x:v>same</x:v>
      </x:c>
      <x:c r="L46" s="26" t="str">
        <x:v>FinBERT ile uyumlu.</x:v>
      </x:c>
    </x:row>
    <x:row r="47">
      <x:c r="A47" s="26" t="str">
        <x:v>REUTERS_ANN_00696</x:v>
      </x:c>
      <x:c r="B47" s="27" t="n">
        <x:v>39169</x:v>
      </x:c>
      <x:c r="C47" s="26" t="n">
        <x:v>0</x:v>
      </x:c>
      <x:c r="D47" s="26" t="str">
        <x:v>neutral</x:v>
      </x:c>
      <x:c r="E47" s="28" t="n">
        <x:v>0.748542308807373</x:v>
      </x:c>
      <x:c r="F47" s="26" t="str">
        <x:v>delta air plans for stock to trade on nyse in may</x:v>
      </x:c>
      <x:c r="G47" s="26" t="str">
        <x:v>Delta Air hisselerinin mayısta NYSE’de işlem görmesi planlanıyor</x:v>
      </x:c>
      <x:c r="H47" s="26" t="str">
        <x:v>positive</x:v>
      </x:c>
      <x:c r="I47" s="29" t="n">
        <x:v>0.76</x:v>
      </x:c>
      <x:c r="J47" s="26" t="str">
        <x:v>NYSE’de işlem görme planı yeniden yapılanma ve piyasa erişimi açısından olumlu.</x:v>
      </x:c>
      <x:c r="K47" s="26" t="str">
        <x:f>IF(D47=H47,"same","review")</x:f>
        <x:v>review</x:v>
      </x:c>
      <x:c r="L47" s="26" t="str">
        <x:v>FinBERT farklı; başlığın baskın sinyali positive olarak değerlendirildi.</x:v>
      </x:c>
    </x:row>
    <x:row r="48">
      <x:c r="A48" s="26" t="str">
        <x:v>REUTERS_ANN_00697</x:v>
      </x:c>
      <x:c r="B48" s="27" t="n">
        <x:v>39080</x:v>
      </x:c>
      <x:c r="C48" s="26" t="n">
        <x:v>-1</x:v>
      </x:c>
      <x:c r="D48" s="26" t="str">
        <x:v>negative</x:v>
      </x:c>
      <x:c r="E48" s="28" t="n">
        <x:v>0.6576632857322693</x:v>
      </x:c>
      <x:c r="F48" s="26" t="str">
        <x:v>ny state settles with metlife for $19 million</x:v>
      </x:c>
      <x:c r="G48" s="26" t="str">
        <x:v>New York eyaleti MetLife ile 19 milyon dolarlık uzlaşmaya vardı</x:v>
      </x:c>
      <x:c r="H48" s="26" t="str">
        <x:v>negative</x:v>
      </x:c>
      <x:c r="I48" s="29" t="n">
        <x:v>0.74</x:v>
      </x:c>
      <x:c r="J48" s="26" t="str">
        <x:v>Uzlaşma maliyet ve hukuki risk içerdiği için hafif olumsuz.</x:v>
      </x:c>
      <x:c r="K48" s="26" t="str">
        <x:f>IF(D48=H48,"same","review")</x:f>
        <x:v>same</x:v>
      </x:c>
      <x:c r="L48" s="26" t="str">
        <x:v>FinBERT ile uyumlu.</x:v>
      </x:c>
    </x:row>
    <x:row r="49">
      <x:c r="A49" s="26" t="str">
        <x:v>REUTERS_ANN_00698</x:v>
      </x:c>
      <x:c r="B49" s="27" t="n">
        <x:v>39114</x:v>
      </x:c>
      <x:c r="C49" s="26" t="n">
        <x:v>-1</x:v>
      </x:c>
      <x:c r="D49" s="26" t="str">
        <x:v>negative</x:v>
      </x:c>
      <x:c r="E49" s="28" t="n">
        <x:v>0.9355833530426024</x:v>
      </x:c>
      <x:c r="F49" s="26" t="str">
        <x:v>toyota takes early sales lead with no. 2 us spot</x:v>
      </x:c>
      <x:c r="G49" s="26" t="str">
        <x:v>Toyota erken satış liderliğini alarak ABD’de ikinci sıraya yükseldi</x:v>
      </x:c>
      <x:c r="H49" s="26" t="str">
        <x:v>positive</x:v>
      </x:c>
      <x:c r="I49" s="29" t="n">
        <x:v>0.87</x:v>
      </x:c>
      <x:c r="J49" s="26" t="str">
        <x:v>Satış liderliği ve pazar payı kazanımı şirket için olumlu.</x:v>
      </x:c>
      <x:c r="K49" s="26" t="str">
        <x:f>IF(D49=H49,"same","review")</x:f>
        <x:v>review</x:v>
      </x:c>
      <x:c r="L49" s="26" t="str">
        <x:v>FinBERT farklı; başlığın baskın sinyali positive olarak değerlendirildi.</x:v>
      </x:c>
    </x:row>
    <x:row r="50">
      <x:c r="A50" s="26" t="str">
        <x:v>REUTERS_ANN_00699</x:v>
      </x:c>
      <x:c r="B50" s="27" t="n">
        <x:v>39191</x:v>
      </x:c>
      <x:c r="C50" s="26" t="n">
        <x:v>0</x:v>
      </x:c>
      <x:c r="D50" s="26" t="str">
        <x:v>neutral</x:v>
      </x:c>
      <x:c r="E50" s="28" t="n">
        <x:v>0.5022293925285339</x:v>
      </x:c>
      <x:c r="F50" s="26" t="str">
        <x:v>nintendos wii still no. 1 new game console</x:v>
      </x:c>
      <x:c r="G50" s="26" t="str">
        <x:v>Nintendo’nun Wii’si yeni oyun konsolları arasında hâlâ bir numara</x:v>
      </x:c>
      <x:c r="H50" s="26" t="str">
        <x:v>positive</x:v>
      </x:c>
      <x:c r="I50" s="29" t="n">
        <x:v>0.88</x:v>
      </x:c>
      <x:c r="J50" s="26" t="str">
        <x:v>Ürünün pazar liderliğini koruması talep ve satış görünümü için olumlu.</x:v>
      </x:c>
      <x:c r="K50" s="26" t="str">
        <x:f>IF(D50=H50,"same","review")</x:f>
        <x:v>review</x:v>
      </x:c>
      <x:c r="L50" s="26" t="str">
        <x:v>FinBERT farklı; başlığın baskın sinyali positive olarak değerlendirildi.</x:v>
      </x:c>
    </x:row>
    <x:row r="51">
      <x:c r="A51" s="26" t="str">
        <x:v>REUTERS_ANN_00700</x:v>
      </x:c>
      <x:c r="B51" s="27" t="n">
        <x:v>39182</x:v>
      </x:c>
      <x:c r="C51" s="26" t="n">
        <x:v>-1</x:v>
      </x:c>
      <x:c r="D51" s="26" t="str">
        <x:v>negative</x:v>
      </x:c>
      <x:c r="E51" s="28" t="n">
        <x:v>0.9645330905914308</x:v>
      </x:c>
      <x:c r="F51" s="26" t="str">
        <x:v>workers go on strike at rexam can plants</x:v>
      </x:c>
      <x:c r="G51" s="26" t="str">
        <x:v>Rexam kutu fabrikalarında işçiler greve gitti</x:v>
      </x:c>
      <x:c r="H51" s="26" t="str">
        <x:v>negative</x:v>
      </x:c>
      <x:c r="I51" s="29" t="n">
        <x:v>0.92</x:v>
      </x:c>
      <x:c r="J51" s="26" t="str">
        <x:v>Grev üretim ve operasyon sürekliliği açısından negatif risk yaratır.</x:v>
      </x:c>
      <x:c r="K51" s="26" t="str">
        <x:f>IF(D51=H51,"same","review")</x:f>
        <x:v>same</x:v>
      </x:c>
      <x:c r="L51" s="26" t="str">
        <x:v>FinBERT ile uyumlu.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K2:K51">
    <x:cfRule type="expression" dxfId="3" priority="4">
      <x:formula>K2="review"</x:formula>
    </x:cfRule>
    <x:cfRule type="expression" dxfId="4" priority="5">
      <x:formula>K2="same"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1654ca51e46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48" t="str">
        <x:v>REUTERS ANNOTATION BATCH 014</x:v>
      </x:c>
      <x:c r="B1" s="48"/>
    </x:row>
    <x:row r="2">
      <x:c r="A2" s="49" t="str">
        <x:v>Rows</x:v>
      </x:c>
      <x:c r="B2" s="26" t="str">
        <x:v>650 - 699</x:v>
      </x:c>
    </x:row>
    <x:row r="3">
      <x:c r="A3" s="49" t="str">
        <x:v>Toplam satır</x:v>
      </x:c>
      <x:c r="B3" s="26" t="n">
        <x:f>COUNTA(Annotations!A2:A51)</x:f>
        <x:v>50</x:v>
      </x:c>
    </x:row>
    <x:row r="4">
      <x:c r="A4" s="49" t="str">
        <x:v>ChatGPT positive</x:v>
      </x:c>
      <x:c r="B4" s="26" t="n">
        <x:f>COUNTIF(Annotations!H2:H51,"positive")</x:f>
        <x:v>22</x:v>
      </x:c>
    </x:row>
    <x:row r="5">
      <x:c r="A5" s="49" t="str">
        <x:v>ChatGPT neutral</x:v>
      </x:c>
      <x:c r="B5" s="26" t="n">
        <x:f>COUNTIF(Annotations!H2:H51,"neutral")</x:f>
        <x:v>10</x:v>
      </x:c>
    </x:row>
    <x:row r="6">
      <x:c r="A6" s="49" t="str">
        <x:v>ChatGPT negative</x:v>
      </x:c>
      <x:c r="B6" s="26" t="n">
        <x:f>COUNTIF(Annotations!H2:H51,"negative")</x:f>
        <x:v>18</x:v>
      </x:c>
    </x:row>
    <x:row r="7">
      <x:c r="A7" s="49" t="str">
        <x:v>FinBERT ile aynı</x:v>
      </x:c>
      <x:c r="B7" s="26" t="n">
        <x:f>COUNTIF(Annotations!K2:K51,"same")</x:f>
        <x:v>34</x:v>
      </x:c>
    </x:row>
    <x:row r="8">
      <x:c r="A8" s="49" t="str">
        <x:v>FinBERT farklı / review</x:v>
      </x:c>
      <x:c r="B8" s="26" t="n">
        <x:f>COUNTIF(Annotations!K2:K51,"review")</x:f>
        <x:v>16</x:v>
      </x:c>
    </x:row>
    <x:row r="9">
      <x:c r="A9" s="49" t="str">
        <x:v>Kaynak</x:v>
      </x:c>
      <x:c r="B9" s="26" t="str">
        <x:v>Pasted text(51).txt</x:v>
      </x:c>
    </x:row>
    <x:row r="10">
      <x:c r="A10" s="49" t="str">
        <x:v>Not</x:v>
      </x:c>
      <x:c r="B10" s="26" t="str">
        <x:v>Çeviri ve etiketleme haber başlığındaki baskın finansal/piyasa sinyaline göre yapılmıştır.</x:v>
      </x:c>
    </x:row>
  </x:sheetData>
  <x:mergeCells>
    <x:mergeCell ref="A1:B1"/>
  </x:mergeCells>
  <x:pageMargins left="0.7" right="0.7" top="0.75" bottom="0.75" header="0.3" footer="0.3"/>
</x:worksheet>
</file>