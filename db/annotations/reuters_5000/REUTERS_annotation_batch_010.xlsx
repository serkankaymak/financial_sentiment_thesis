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269c16915143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65466b6c59f94055"/>
    <x:sheet xmlns:r="http://schemas.openxmlformats.org/officeDocument/2006/relationships" name="summary" sheetId="2" r:id="R4ff4438621da4d81"/>
    <x:sheet xmlns:r="http://schemas.openxmlformats.org/officeDocument/2006/relationships" name="categories" sheetId="3" r:id="R9088d4c5c5c244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"/>
    <x:numFmt numFmtId="202" formatCode="0.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8">
    <x:dxf>
      <x:fill>
        <x:patternFill patternType="solid">
          <x:bgColor rgb="D9EAD3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ec730659f04901" /><Relationship Type="http://schemas.openxmlformats.org/officeDocument/2006/relationships/theme" Target="/xl/theme/theme1.xml" Id="R90e091e4dc9a4732" /><Relationship Type="http://schemas.openxmlformats.org/officeDocument/2006/relationships/sharedStrings" Target="/xl/sharedStrings.xml" Id="Raac74e4af05d46b4" /><Relationship Type="http://schemas.openxmlformats.org/officeDocument/2006/relationships/worksheet" Target="/xl/worksheets/sheet1.xml" Id="R65466b6c59f94055" /><Relationship Type="http://schemas.openxmlformats.org/officeDocument/2006/relationships/worksheet" Target="/xl/worksheets/sheet2.xml" Id="R4ff4438621da4d81" /><Relationship Type="http://schemas.openxmlformats.org/officeDocument/2006/relationships/worksheet" Target="/xl/worksheets/sheet3.xml" Id="R9088d4c5c5c2440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91a76a61eb44ad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ChatGPT Label Distribution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Count</c:v>
          </c:tx>
          <c:cat>
            <c:strRef>
              <c:f>'summary'!$D$7:$D$9</c:f>
              <c:strCache>
                <c:ptCount val="0"/>
              </c:strCache>
            </c:strRef>
          </c:cat>
          <c:val>
            <c:numRef>
              <c:f>'summary'!$E$7:$E$9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10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1a76a61eb44ad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utersAnnotations010" displayName="ReutersAnnotations010" ref="A1:L51" headerRowCount="1">
  <x:tableColumns count="12">
    <x:tableColumn id="1" name="annotation_id"/>
    <x:tableColumn id="2" name="date"/>
    <x:tableColumn id="3" name="finbert_score"/>
    <x:tableColumn id="4" name="finbert_label"/>
    <x:tableColumn id="5" name="finbert_confidence"/>
    <x:tableColumn id="6" name="text"/>
    <x:tableColumn id="7" name="text_tr"/>
    <x:tableColumn id="8" name="chatgpt_label"/>
    <x:tableColumn id="9" name="chatgpt_confidence"/>
    <x:tableColumn id="10" name="chatgpt_reason_tr"/>
    <x:tableColumn id="11" name="finbert_comparison"/>
    <x:tableColumn id="12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7ff7e856b04d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ef9fb08520a4edf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14" hidden="0" customWidth="1"/>
    <x:col min="5" max="5" width="16" hidden="0" customWidth="1"/>
    <x:col min="6" max="6" width="42" hidden="0" customWidth="1"/>
    <x:col min="7" max="7" width="46" hidden="0" customWidth="1"/>
    <x:col min="8" max="8" width="14" hidden="0" customWidth="1"/>
    <x:col min="9" max="9" width="16" hidden="0" customWidth="1"/>
    <x:col min="10" max="10" width="55" hidden="0" customWidth="1"/>
    <x:col min="11" max="11" width="18" hidden="0" customWidth="1"/>
    <x:col min="12" max="12" width="34" hidden="0" customWidth="1"/>
  </x:cols>
  <x:sheetData>
    <x:row r="1" ht="28" customHeight="1">
      <x:c r="A1" s="5" t="str">
        <x:v>annotation_id</x:v>
      </x:c>
      <x:c r="B1" s="5" t="str">
        <x:v>date</x:v>
      </x:c>
      <x:c r="C1" s="5" t="str">
        <x:v>finbert_score</x:v>
      </x:c>
      <x:c r="D1" s="5" t="str">
        <x:v>finbert_label</x:v>
      </x:c>
      <x:c r="E1" s="5" t="str">
        <x:v>finbert_confidence</x:v>
      </x:c>
      <x:c r="F1" s="5" t="str">
        <x:v>text</x:v>
      </x:c>
      <x:c r="G1" s="5" t="str">
        <x:v>text_tr</x:v>
      </x:c>
      <x:c r="H1" s="5" t="str">
        <x:v>chatgpt_label</x:v>
      </x:c>
      <x:c r="I1" s="5" t="str">
        <x:v>chatgpt_confidence</x:v>
      </x:c>
      <x:c r="J1" s="5" t="str">
        <x:v>chatgpt_reason_tr</x:v>
      </x:c>
      <x:c r="K1" s="5" t="str">
        <x:v>finbert_comparison</x:v>
      </x:c>
      <x:c r="L1" s="5" t="str">
        <x:v>row_note</x:v>
      </x:c>
    </x:row>
    <x:row r="2" ht="54" customHeight="1">
      <x:c r="A2" s="12" t="str">
        <x:v>REUTERS_ANN_00451</x:v>
      </x:c>
      <x:c r="B2" s="14" t="n">
        <x:v>39063</x:v>
      </x:c>
      <x:c r="C2" s="12" t="n">
        <x:v>0</x:v>
      </x:c>
      <x:c r="D2" s="12" t="str">
        <x:v>neutral</x:v>
      </x:c>
      <x:c r="E2" s="16" t="n">
        <x:v>0.947402834892273</x:v>
      </x:c>
      <x:c r="F2" s="12" t="str">
        <x:v>chronology-bid approaches for the london stock exchange</x:v>
      </x:c>
      <x:c r="G2" s="12" t="str">
        <x:v>Londra Borsası için yapılan teklif yaklaşımlarının kronolojisi</x:v>
      </x:c>
      <x:c r="H2" s="12" t="str">
        <x:v>neutral</x:v>
      </x:c>
      <x:c r="I2" s="18" t="n">
        <x:v>0.96</x:v>
      </x:c>
      <x:c r="J2" s="12" t="str">
        <x:v>Kronoloji/factbox niteliğinde; doğrudan olumlu ya da olumsuz piyasa sinyali vermiyor.</x:v>
      </x:c>
      <x:c r="K2" s="12" t="str">
        <x:f>IF(D2=H2,"same","different/review")</x:f>
        <x:v>same</x:v>
      </x:c>
      <x:c r="L2" s="12" t="str">
        <x:f>IF(K2="same","FinBERT etiketiyle uyumlu","FinBERT etiketiyle farklı; manuel gözden geçirme önerilir")</x:f>
        <x:v>FinBERT etiketiyle uyumlu</x:v>
      </x:c>
    </x:row>
    <x:row r="3" ht="54" customHeight="1">
      <x:c r="A3" s="12" t="str">
        <x:v>REUTERS_ANN_00452</x:v>
      </x:c>
      <x:c r="B3" s="14" t="n">
        <x:v>39113</x:v>
      </x:c>
      <x:c r="C3" s="12" t="n">
        <x:v>1</x:v>
      </x:c>
      <x:c r="D3" s="12" t="str">
        <x:v>positive</x:v>
      </x:c>
      <x:c r="E3" s="16" t="n">
        <x:v>0.9183403849601746</x:v>
      </x:c>
      <x:c r="F3" s="12" t="str">
        <x:v>dow closes at record high after fed</x:v>
      </x:c>
      <x:c r="G3" s="12" t="str">
        <x:v>Dow, Fed sonrası rekor seviyeden kapandı</x:v>
      </x:c>
      <x:c r="H3" s="12" t="str">
        <x:v>positive</x:v>
      </x:c>
      <x:c r="I3" s="18" t="n">
        <x:v>0.96</x:v>
      </x:c>
      <x:c r="J3" s="12" t="str">
        <x:v>Endeksin rekor kapanış yapması açık biçimde olumlu piyasa sinyali.</x:v>
      </x:c>
      <x:c r="K3" s="12" t="str">
        <x:f>IF(D3=H3,"same","different/review")</x:f>
        <x:v>same</x:v>
      </x:c>
      <x:c r="L3" s="12" t="str">
        <x:f>IF(K3="same","FinBERT etiketiyle uyumlu","FinBERT etiketiyle farklı; manuel gözden geçirme önerilir")</x:f>
        <x:v>FinBERT etiketiyle uyumlu</x:v>
      </x:c>
    </x:row>
    <x:row r="4" ht="54" customHeight="1">
      <x:c r="A4" s="12" t="str">
        <x:v>REUTERS_ANN_00453</x:v>
      </x:c>
      <x:c r="B4" s="14" t="n">
        <x:v>39094</x:v>
      </x:c>
      <x:c r="C4" s="12" t="n">
        <x:v>1</x:v>
      </x:c>
      <x:c r="D4" s="12" t="str">
        <x:v>positive</x:v>
      </x:c>
      <x:c r="E4" s="16" t="n">
        <x:v>0.6429129242897034</x:v>
      </x:c>
      <x:c r="F4" s="12" t="str">
        <x:v>aol signs napster as music subscription service</x:v>
      </x:c>
      <x:c r="G4" s="12" t="str">
        <x:v>AOL, müzik abonelik hizmeti için Napster ile anlaşma imzaladı</x:v>
      </x:c>
      <x:c r="H4" s="12" t="str">
        <x:v>positive</x:v>
      </x:c>
      <x:c r="I4" s="18" t="n">
        <x:v>0.75</x:v>
      </x:c>
      <x:c r="J4" s="12" t="str">
        <x:v>Yeni hizmet/iş birliği büyüme ve ürün genişlemesi açısından hafif olumlu.</x:v>
      </x:c>
      <x:c r="K4" s="12" t="str">
        <x:f>IF(D4=H4,"same","different/review")</x:f>
        <x:v>same</x:v>
      </x:c>
      <x:c r="L4" s="12" t="str">
        <x:f>IF(K4="same","FinBERT etiketiyle uyumlu","FinBERT etiketiyle farklı; manuel gözden geçirme önerilir")</x:f>
        <x:v>FinBERT etiketiyle uyumlu</x:v>
      </x:c>
    </x:row>
    <x:row r="5" ht="54" customHeight="1">
      <x:c r="A5" s="12" t="str">
        <x:v>REUTERS_ANN_00454</x:v>
      </x:c>
      <x:c r="B5" s="14" t="n">
        <x:v>39143</x:v>
      </x:c>
      <x:c r="C5" s="12" t="n">
        <x:v>-1</x:v>
      </x:c>
      <x:c r="D5" s="12" t="str">
        <x:v>negative</x:v>
      </x:c>
      <x:c r="E5" s="16" t="n">
        <x:v>0.5675544738769531</x:v>
      </x:c>
      <x:c r="F5" s="12" t="str">
        <x:v>feds poole says u.s. not heading into recession</x:v>
      </x:c>
      <x:c r="G5" s="12" t="str">
        <x:v>Fed'den Poole, ABD'nin resesyona doğru gitmediğini söyledi</x:v>
      </x:c>
      <x:c r="H5" s="12" t="str">
        <x:v>positive</x:v>
      </x:c>
      <x:c r="I5" s="18" t="n">
        <x:v>0.84</x:v>
      </x:c>
      <x:c r="J5" s="12" t="str">
        <x:v>Resesyon beklenmediği mesajı makro görünüm açısından olumlu; FinBERT olumsuzu kaçırmış olabilir.</x:v>
      </x:c>
      <x:c r="K5" s="12" t="str">
        <x:f>IF(D5=H5,"same","different/review")</x:f>
        <x:v>different/review</x:v>
      </x:c>
      <x:c r="L5" s="12" t="str">
        <x:f>IF(K5="same","FinBERT etiketiyle uyumlu","FinBERT etiketiyle farklı; manuel gözden geçirme önerilir")</x:f>
        <x:v>FinBERT etiketiyle farklı; manuel gözden geçirme önerilir</x:v>
      </x:c>
    </x:row>
    <x:row r="6" ht="54" customHeight="1">
      <x:c r="A6" s="12" t="str">
        <x:v>REUTERS_ANN_00455</x:v>
      </x:c>
      <x:c r="B6" s="14" t="n">
        <x:v>39016</x:v>
      </x:c>
      <x:c r="C6" s="12" t="n">
        <x:v>1</x:v>
      </x:c>
      <x:c r="D6" s="12" t="str">
        <x:v>positive</x:v>
      </x:c>
      <x:c r="E6" s="16" t="n">
        <x:v>0.8518890738487244</x:v>
      </x:c>
      <x:c r="F6" s="12" t="str">
        <x:v>jobless claims rose in latest week</x:v>
      </x:c>
      <x:c r="G6" s="12" t="str">
        <x:v>İşsizlik başvuruları son haftada arttı</x:v>
      </x:c>
      <x:c r="H6" s="12" t="str">
        <x:v>negative</x:v>
      </x:c>
      <x:c r="I6" s="18" t="n">
        <x:v>0.9</x:v>
      </x:c>
      <x:c r="J6" s="12" t="str">
        <x:v>İşsizlik başvurularındaki artış istihdam piyasası açısından olumsuz sinyal.</x:v>
      </x:c>
      <x:c r="K6" s="12" t="str">
        <x:f>IF(D6=H6,"same","different/review")</x:f>
        <x:v>different/review</x:v>
      </x:c>
      <x:c r="L6" s="12" t="str">
        <x:f>IF(K6="same","FinBERT etiketiyle uyumlu","FinBERT etiketiyle farklı; manuel gözden geçirme önerilir")</x:f>
        <x:v>FinBERT etiketiyle farklı; manuel gözden geçirme önerilir</x:v>
      </x:c>
    </x:row>
    <x:row r="7" ht="54" customHeight="1">
      <x:c r="A7" s="12" t="str">
        <x:v>REUTERS_ANN_00456</x:v>
      </x:c>
      <x:c r="B7" s="14" t="n">
        <x:v>39154</x:v>
      </x:c>
      <x:c r="C7" s="12" t="n">
        <x:v>-1</x:v>
      </x:c>
      <x:c r="D7" s="12" t="str">
        <x:v>negative</x:v>
      </x:c>
      <x:c r="E7" s="16" t="n">
        <x:v>0.8224331140518188</x:v>
      </x:c>
      <x:c r="F7" s="12" t="str">
        <x:v>lenders initiate foreclosures at record pace</x:v>
      </x:c>
      <x:c r="G7" s="12" t="str">
        <x:v>Kredi verenler haciz süreçlerini rekor hızda başlattı</x:v>
      </x:c>
      <x:c r="H7" s="12" t="str">
        <x:v>negative</x:v>
      </x:c>
      <x:c r="I7" s="18" t="n">
        <x:v>0.96</x:v>
      </x:c>
      <x:c r="J7" s="12" t="str">
        <x:v>Hacizlerin rekor seviyede başlaması kredi/konut piyasası için güçlü olumsuz sinyal.</x:v>
      </x:c>
      <x:c r="K7" s="12" t="str">
        <x:f>IF(D7=H7,"same","different/review")</x:f>
        <x:v>same</x:v>
      </x:c>
      <x:c r="L7" s="12" t="str">
        <x:f>IF(K7="same","FinBERT etiketiyle uyumlu","FinBERT etiketiyle farklı; manuel gözden geçirme önerilir")</x:f>
        <x:v>FinBERT etiketiyle uyumlu</x:v>
      </x:c>
    </x:row>
    <x:row r="8" ht="54" customHeight="1">
      <x:c r="A8" s="12" t="str">
        <x:v>REUTERS_ANN_00457</x:v>
      </x:c>
      <x:c r="B8" s="14" t="n">
        <x:v>39164</x:v>
      </x:c>
      <x:c r="C8" s="12" t="n">
        <x:v>0</x:v>
      </x:c>
      <x:c r="D8" s="12" t="str">
        <x:v>neutral</x:v>
      </x:c>
      <x:c r="E8" s="16" t="n">
        <x:v>0.8457959294319153</x:v>
      </x:c>
      <x:c r="F8" s="12" t="str">
        <x:v>client consent at center of citigroup insider case</x:v>
      </x:c>
      <x:c r="G8" s="12" t="str">
        <x:v>Citigroup içeriden bilgi davasının merkezinde müşteri rızası var</x:v>
      </x:c>
      <x:c r="H8" s="12" t="str">
        <x:v>negative</x:v>
      </x:c>
      <x:c r="I8" s="18" t="n">
        <x:v>0.7</x:v>
      </x:c>
      <x:c r="J8" s="12" t="str">
        <x:v>İçeriden bilgi/regülasyon davası itibarı ve hukuki risk nedeniyle olumsuz tona sahip.</x:v>
      </x:c>
      <x:c r="K8" s="12" t="str">
        <x:f>IF(D8=H8,"same","different/review")</x:f>
        <x:v>different/review</x:v>
      </x:c>
      <x:c r="L8" s="12" t="str">
        <x:f>IF(K8="same","FinBERT etiketiyle uyumlu","FinBERT etiketiyle farklı; manuel gözden geçirme önerilir")</x:f>
        <x:v>FinBERT etiketiyle farklı; manuel gözden geçirme önerilir</x:v>
      </x:c>
    </x:row>
    <x:row r="9" ht="54" customHeight="1">
      <x:c r="A9" s="12" t="str">
        <x:v>REUTERS_ANN_00458</x:v>
      </x:c>
      <x:c r="B9" s="14" t="n">
        <x:v>39041</x:v>
      </x:c>
      <x:c r="C9" s="12" t="n">
        <x:v>0</x:v>
      </x:c>
      <x:c r="D9" s="12" t="str">
        <x:v>neutral</x:v>
      </x:c>
      <x:c r="E9" s="16" t="n">
        <x:v>0.518610417842865</x:v>
      </x:c>
      <x:c r="F9" s="12" t="str">
        <x:v>td bank to pay $3.2 billion for rest of td banknorth</x:v>
      </x:c>
      <x:c r="G9" s="12" t="str">
        <x:v>TD Bank, TD Banknorth'un kalan hisseleri için 3,2 milyar dolar ödeyecek</x:v>
      </x:c>
      <x:c r="H9" s="12" t="str">
        <x:v>neutral</x:v>
      </x:c>
      <x:c r="I9" s="18" t="n">
        <x:v>0.72</x:v>
      </x:c>
      <x:c r="J9" s="12" t="str">
        <x:v>M&amp;A işlemi haberidir; başlık tek başına net olumlu/olumsuz etki göstermiyor.</x:v>
      </x:c>
      <x:c r="K9" s="12" t="str">
        <x:f>IF(D9=H9,"same","different/review")</x:f>
        <x:v>same</x:v>
      </x:c>
      <x:c r="L9" s="12" t="str">
        <x:f>IF(K9="same","FinBERT etiketiyle uyumlu","FinBERT etiketiyle farklı; manuel gözden geçirme önerilir")</x:f>
        <x:v>FinBERT etiketiyle uyumlu</x:v>
      </x:c>
    </x:row>
    <x:row r="10" ht="54" customHeight="1">
      <x:c r="A10" s="12" t="str">
        <x:v>REUTERS_ANN_00459</x:v>
      </x:c>
      <x:c r="B10" s="14" t="n">
        <x:v>39016</x:v>
      </x:c>
      <x:c r="C10" s="12" t="n">
        <x:v>1</x:v>
      </x:c>
      <x:c r="D10" s="12" t="str">
        <x:v>positive</x:v>
      </x:c>
      <x:c r="E10" s="16" t="n">
        <x:v>0.9518519043922424</x:v>
      </x:c>
      <x:c r="F10" s="12" t="str">
        <x:v>raytheon profit up, sees 2007 below wall st</x:v>
      </x:c>
      <x:c r="G10" s="12" t="str">
        <x:v>Raytheon kârı arttı ancak 2007 beklentisi Wall Street tahminlerinin altında</x:v>
      </x:c>
      <x:c r="H10" s="12" t="str">
        <x:v>neutral</x:v>
      </x:c>
      <x:c r="I10" s="18" t="n">
        <x:v>0.64</x:v>
      </x:c>
      <x:c r="J10" s="12" t="str">
        <x:v>Kâr artışı olumlu fakat 2007 beklentisinin tahmin altı olması karışık sinyal yaratıyor.</x:v>
      </x:c>
      <x:c r="K10" s="12" t="str">
        <x:f>IF(D10=H10,"same","different/review")</x:f>
        <x:v>different/review</x:v>
      </x:c>
      <x:c r="L10" s="12" t="str">
        <x:f>IF(K10="same","FinBERT etiketiyle uyumlu","FinBERT etiketiyle farklı; manuel gözden geçirme önerilir")</x:f>
        <x:v>FinBERT etiketiyle farklı; manuel gözden geçirme önerilir</x:v>
      </x:c>
    </x:row>
    <x:row r="11" ht="54" customHeight="1">
      <x:c r="A11" s="12" t="str">
        <x:v>REUTERS_ANN_00460</x:v>
      </x:c>
      <x:c r="B11" s="14" t="n">
        <x:v>39154</x:v>
      </x:c>
      <x:c r="C11" s="12" t="n">
        <x:v>-1</x:v>
      </x:c>
      <x:c r="D11" s="12" t="str">
        <x:v>negative</x:v>
      </x:c>
      <x:c r="E11" s="16" t="n">
        <x:v>0.9190387725830078</x:v>
      </x:c>
      <x:c r="F11" s="12" t="str">
        <x:v>wall street banks walloped by mortgage worries</x:v>
      </x:c>
      <x:c r="G11" s="12" t="str">
        <x:v>Wall Street bankaları mortgage endişeleriyle sert darbe aldı</x:v>
      </x:c>
      <x:c r="H11" s="12" t="str">
        <x:v>negative</x:v>
      </x:c>
      <x:c r="I11" s="18" t="n">
        <x:v>0.96</x:v>
      </x:c>
      <x:c r="J11" s="12" t="str">
        <x:v>Mortgage endişeleri nedeniyle bankaların baskı görmesi açık olumsuz sinyal.</x:v>
      </x:c>
      <x:c r="K11" s="12" t="str">
        <x:f>IF(D11=H11,"same","different/review")</x:f>
        <x:v>same</x:v>
      </x:c>
      <x:c r="L11" s="12" t="str">
        <x:f>IF(K11="same","FinBERT etiketiyle uyumlu","FinBERT etiketiyle farklı; manuel gözden geçirme önerilir")</x:f>
        <x:v>FinBERT etiketiyle uyumlu</x:v>
      </x:c>
    </x:row>
    <x:row r="12" ht="54" customHeight="1">
      <x:c r="A12" s="12" t="str">
        <x:v>REUTERS_ANN_00461</x:v>
      </x:c>
      <x:c r="B12" s="14" t="n">
        <x:v>39048</x:v>
      </x:c>
      <x:c r="C12" s="12" t="n">
        <x:v>-1</x:v>
      </x:c>
      <x:c r="D12" s="12" t="str">
        <x:v>negative</x:v>
      </x:c>
      <x:c r="E12" s="16" t="n">
        <x:v>0.9719821214675904</x:v>
      </x:c>
      <x:c r="F12" s="12" t="str">
        <x:v>u.s. auto sales slowing say forecasts report</x:v>
      </x:c>
      <x:c r="G12" s="12" t="str">
        <x:v>Tahminlere göre ABD otomobil satışları yavaşlıyor</x:v>
      </x:c>
      <x:c r="H12" s="12" t="str">
        <x:v>negative</x:v>
      </x:c>
      <x:c r="I12" s="18" t="n">
        <x:v>0.94</x:v>
      </x:c>
      <x:c r="J12" s="12" t="str">
        <x:v>Satışlarda yavaşlama otomotiv sektörü için olumsuz beklenti.</x:v>
      </x:c>
      <x:c r="K12" s="12" t="str">
        <x:f>IF(D12=H12,"same","different/review")</x:f>
        <x:v>same</x:v>
      </x:c>
      <x:c r="L12" s="12" t="str">
        <x:f>IF(K12="same","FinBERT etiketiyle uyumlu","FinBERT etiketiyle farklı; manuel gözden geçirme önerilir")</x:f>
        <x:v>FinBERT etiketiyle uyumlu</x:v>
      </x:c>
    </x:row>
    <x:row r="13" ht="54" customHeight="1">
      <x:c r="A13" s="12" t="str">
        <x:v>REUTERS_ANN_00462</x:v>
      </x:c>
      <x:c r="B13" s="14" t="n">
        <x:v>39153</x:v>
      </x:c>
      <x:c r="C13" s="12" t="n">
        <x:v>-1</x:v>
      </x:c>
      <x:c r="D13" s="12" t="str">
        <x:v>negative</x:v>
      </x:c>
      <x:c r="E13" s="16" t="n">
        <x:v>0.909132480621338</x:v>
      </x:c>
      <x:c r="F13" s="12" t="str">
        <x:v>alliance boots rejects kkrs $18.8 bln approach</x:v>
      </x:c>
      <x:c r="G13" s="12" t="str">
        <x:v>Alliance Boots, KKR'nin 18,8 milyar dolarlık yaklaşımını reddetti</x:v>
      </x:c>
      <x:c r="H13" s="12" t="str">
        <x:v>negative</x:v>
      </x:c>
      <x:c r="I13" s="18" t="n">
        <x:v>0.74</x:v>
      </x:c>
      <x:c r="J13" s="12" t="str">
        <x:v>Satın alma teklifinin reddi kısa vadeli anlaşma/primin gerçekleşmeme riskini artırıyor.</x:v>
      </x:c>
      <x:c r="K13" s="12" t="str">
        <x:f>IF(D13=H13,"same","different/review")</x:f>
        <x:v>same</x:v>
      </x:c>
      <x:c r="L13" s="12" t="str">
        <x:f>IF(K13="same","FinBERT etiketiyle uyumlu","FinBERT etiketiyle farklı; manuel gözden geçirme önerilir")</x:f>
        <x:v>FinBERT etiketiyle uyumlu</x:v>
      </x:c>
    </x:row>
    <x:row r="14" ht="54" customHeight="1">
      <x:c r="A14" s="12" t="str">
        <x:v>REUTERS_ANN_00463</x:v>
      </x:c>
      <x:c r="B14" s="14" t="n">
        <x:v>39104</x:v>
      </x:c>
      <x:c r="C14" s="12" t="n">
        <x:v>-1</x:v>
      </x:c>
      <x:c r="D14" s="12" t="str">
        <x:v>negative</x:v>
      </x:c>
      <x:c r="E14" s="16" t="n">
        <x:v>0.833772599697113</x:v>
      </x:c>
      <x:c r="F14" s="12" t="str">
        <x:v>ford loses $1 bln a year on counterfeit auto parts</x:v>
      </x:c>
      <x:c r="G14" s="12" t="str">
        <x:v>Ford sahte otomobil parçaları nedeniyle yılda 1 milyar dolar kaybediyor</x:v>
      </x:c>
      <x:c r="H14" s="12" t="str">
        <x:v>negative</x:v>
      </x:c>
      <x:c r="I14" s="18" t="n">
        <x:v>0.97</x:v>
      </x:c>
      <x:c r="J14" s="12" t="str">
        <x:v>Büyük tutarlı kayıp doğrudan şirket kârlılığı ve marka riski açısından olumsuz.</x:v>
      </x:c>
      <x:c r="K14" s="12" t="str">
        <x:f>IF(D14=H14,"same","different/review")</x:f>
        <x:v>same</x:v>
      </x:c>
      <x:c r="L14" s="12" t="str">
        <x:f>IF(K14="same","FinBERT etiketiyle uyumlu","FinBERT etiketiyle farklı; manuel gözden geçirme önerilir")</x:f>
        <x:v>FinBERT etiketiyle uyumlu</x:v>
      </x:c>
    </x:row>
    <x:row r="15" ht="54" customHeight="1">
      <x:c r="A15" s="12" t="str">
        <x:v>REUTERS_ANN_00464</x:v>
      </x:c>
      <x:c r="B15" s="14" t="n">
        <x:v>39015</x:v>
      </x:c>
      <x:c r="C15" s="12" t="n">
        <x:v>1</x:v>
      </x:c>
      <x:c r="D15" s="12" t="str">
        <x:v>positive</x:v>
      </x:c>
      <x:c r="E15" s="16" t="n">
        <x:v>0.8288891911506653</x:v>
      </x:c>
      <x:c r="F15" s="12" t="str">
        <x:v>altria promises january details for kraft</x:v>
      </x:c>
      <x:c r="G15" s="12" t="str">
        <x:v>Altria, Kraft için ocak ayında ayrıntı vereceğini söyledi</x:v>
      </x:c>
      <x:c r="H15" s="12" t="str">
        <x:v>neutral</x:v>
      </x:c>
      <x:c r="I15" s="18" t="n">
        <x:v>0.66</x:v>
      </x:c>
      <x:c r="J15" s="12" t="str">
        <x:v>Gelecek açıklamaya dair süreç bilgisi; mevcut finansal sonuç ya da kesin değer etkisi yok.</x:v>
      </x:c>
      <x:c r="K15" s="12" t="str">
        <x:f>IF(D15=H15,"same","different/review")</x:f>
        <x:v>different/review</x:v>
      </x:c>
      <x:c r="L15" s="12" t="str">
        <x:f>IF(K15="same","FinBERT etiketiyle uyumlu","FinBERT etiketiyle farklı; manuel gözden geçirme önerilir")</x:f>
        <x:v>FinBERT etiketiyle farklı; manuel gözden geçirme önerilir</x:v>
      </x:c>
    </x:row>
    <x:row r="16" ht="54" customHeight="1">
      <x:c r="A16" s="12" t="str">
        <x:v>REUTERS_ANN_00465</x:v>
      </x:c>
      <x:c r="B16" s="14" t="n">
        <x:v>39178</x:v>
      </x:c>
      <x:c r="C16" s="12" t="n">
        <x:v>0</x:v>
      </x:c>
      <x:c r="D16" s="12" t="str">
        <x:v>neutral</x:v>
      </x:c>
      <x:c r="E16" s="16" t="n">
        <x:v>0.7278193831443787</x:v>
      </x:c>
      <x:c r="F16" s="12" t="str">
        <x:v>aol launches search ad service with google</x:v>
      </x:c>
      <x:c r="G16" s="12" t="str">
        <x:v>AOL, Google ile arama reklam hizmeti başlattı</x:v>
      </x:c>
      <x:c r="H16" s="12" t="str">
        <x:v>positive</x:v>
      </x:c>
      <x:c r="I16" s="18" t="n">
        <x:v>0.8</x:v>
      </x:c>
      <x:c r="J16" s="12" t="str">
        <x:v>Google iş birliğiyle yeni reklam hizmeti gelir potansiyeli açısından olumlu.</x:v>
      </x:c>
      <x:c r="K16" s="12" t="str">
        <x:f>IF(D16=H16,"same","different/review")</x:f>
        <x:v>different/review</x:v>
      </x:c>
      <x:c r="L16" s="12" t="str">
        <x:f>IF(K16="same","FinBERT etiketiyle uyumlu","FinBERT etiketiyle farklı; manuel gözden geçirme önerilir")</x:f>
        <x:v>FinBERT etiketiyle farklı; manuel gözden geçirme önerilir</x:v>
      </x:c>
    </x:row>
    <x:row r="17" ht="54" customHeight="1">
      <x:c r="A17" s="12" t="str">
        <x:v>REUTERS_ANN_00466</x:v>
      </x:c>
      <x:c r="B17" s="14" t="n">
        <x:v>39101</x:v>
      </x:c>
      <x:c r="C17" s="12" t="n">
        <x:v>1</x:v>
      </x:c>
      <x:c r="D17" s="12" t="str">
        <x:v>positive</x:v>
      </x:c>
      <x:c r="E17" s="16" t="n">
        <x:v>0.5002362132072449</x:v>
      </x:c>
      <x:c r="F17" s="12" t="str">
        <x:v>delta plans to present us air bid to board soon</x:v>
      </x:c>
      <x:c r="G17" s="12" t="str">
        <x:v>Delta, US Air teklifini yakında yönetim kuruluna sunmayı planlıyor</x:v>
      </x:c>
      <x:c r="H17" s="12" t="str">
        <x:v>neutral</x:v>
      </x:c>
      <x:c r="I17" s="18" t="n">
        <x:v>0.7</x:v>
      </x:c>
      <x:c r="J17" s="12" t="str">
        <x:v>Teklifin kurula sunulması süreç bilgisidir; kabul/red ya da finansal etki henüz net değil.</x:v>
      </x:c>
      <x:c r="K17" s="12" t="str">
        <x:f>IF(D17=H17,"same","different/review")</x:f>
        <x:v>different/review</x:v>
      </x:c>
      <x:c r="L17" s="12" t="str">
        <x:f>IF(K17="same","FinBERT etiketiyle uyumlu","FinBERT etiketiyle farklı; manuel gözden geçirme önerilir")</x:f>
        <x:v>FinBERT etiketiyle farklı; manuel gözden geçirme önerilir</x:v>
      </x:c>
    </x:row>
    <x:row r="18" ht="54" customHeight="1">
      <x:c r="A18" s="12" t="str">
        <x:v>REUTERS_ANN_00467</x:v>
      </x:c>
      <x:c r="B18" s="14" t="n">
        <x:v>39052</x:v>
      </x:c>
      <x:c r="C18" s="12" t="n">
        <x:v>0</x:v>
      </x:c>
      <x:c r="D18" s="12" t="str">
        <x:v>neutral</x:v>
      </x:c>
      <x:c r="E18" s="16" t="n">
        <x:v>0.8444703817367554</x:v>
      </x:c>
      <x:c r="F18" s="12" t="str">
        <x:v>keycorp sells champion mortgage to hsbc, fortress</x:v>
      </x:c>
      <x:c r="G18" s="12" t="str">
        <x:v>KeyCorp, Champion Mortgage'ı HSBC ve Fortress'a sattı</x:v>
      </x:c>
      <x:c r="H18" s="12" t="str">
        <x:v>neutral</x:v>
      </x:c>
      <x:c r="I18" s="18" t="n">
        <x:v>0.78</x:v>
      </x:c>
      <x:c r="J18" s="12" t="str">
        <x:v>Varlık satışı/M&amp;A haberi; başlık tek başına net yönlü piyasa etkisi vermiyor.</x:v>
      </x:c>
      <x:c r="K18" s="12" t="str">
        <x:f>IF(D18=H18,"same","different/review")</x:f>
        <x:v>same</x:v>
      </x:c>
      <x:c r="L18" s="12" t="str">
        <x:f>IF(K18="same","FinBERT etiketiyle uyumlu","FinBERT etiketiyle farklı; manuel gözden geçirme önerilir")</x:f>
        <x:v>FinBERT etiketiyle uyumlu</x:v>
      </x:c>
    </x:row>
    <x:row r="19" ht="54" customHeight="1">
      <x:c r="A19" s="12" t="str">
        <x:v>REUTERS_ANN_00468</x:v>
      </x:c>
      <x:c r="B19" s="14" t="n">
        <x:v>39087</x:v>
      </x:c>
      <x:c r="C19" s="12" t="n">
        <x:v>1</x:v>
      </x:c>
      <x:c r="D19" s="12" t="str">
        <x:v>positive</x:v>
      </x:c>
      <x:c r="E19" s="16" t="n">
        <x:v>0.945780634880066</x:v>
      </x:c>
      <x:c r="F19" s="12" t="str">
        <x:v>best buy, circuit city raise outlooks on dec sales</x:v>
      </x:c>
      <x:c r="G19" s="12" t="str">
        <x:v>Best Buy ve Circuit City, aralık satışları sonrası beklentilerini yükseltti</x:v>
      </x:c>
      <x:c r="H19" s="12" t="str">
        <x:v>positive</x:v>
      </x:c>
      <x:c r="I19" s="18" t="n">
        <x:v>0.96</x:v>
      </x:c>
      <x:c r="J19" s="12" t="str">
        <x:v>Beklentilerin yükseltilmesi ve satışların güçlü görünmesi açık olumlu sinyal.</x:v>
      </x:c>
      <x:c r="K19" s="12" t="str">
        <x:f>IF(D19=H19,"same","different/review")</x:f>
        <x:v>same</x:v>
      </x:c>
      <x:c r="L19" s="12" t="str">
        <x:f>IF(K19="same","FinBERT etiketiyle uyumlu","FinBERT etiketiyle farklı; manuel gözden geçirme önerilir")</x:f>
        <x:v>FinBERT etiketiyle uyumlu</x:v>
      </x:c>
    </x:row>
    <x:row r="20" ht="54" customHeight="1">
      <x:c r="A20" s="12" t="str">
        <x:v>REUTERS_ANN_00469</x:v>
      </x:c>
      <x:c r="B20" s="14" t="n">
        <x:v>39156</x:v>
      </x:c>
      <x:c r="C20" s="12" t="n">
        <x:v>1</x:v>
      </x:c>
      <x:c r="D20" s="12" t="str">
        <x:v>positive</x:v>
      </x:c>
      <x:c r="E20" s="16" t="n">
        <x:v>0.4260835349559784</x:v>
      </x:c>
      <x:c r="F20" s="12" t="str">
        <x:v>express scripts says ready to raise caremark bid</x:v>
      </x:c>
      <x:c r="G20" s="12" t="str">
        <x:v>Express Scripts, Caremark teklifini artırmaya hazır olduğunu söyledi</x:v>
      </x:c>
      <x:c r="H20" s="12" t="str">
        <x:v>positive</x:v>
      </x:c>
      <x:c r="I20" s="18" t="n">
        <x:v>0.78</x:v>
      </x:c>
      <x:c r="J20" s="12" t="str">
        <x:v>Teklifin yükseltilebileceği haberi hedef şirket değeri ve anlaşma rekabeti açısından olumlu.</x:v>
      </x:c>
      <x:c r="K20" s="12" t="str">
        <x:f>IF(D20=H20,"same","different/review")</x:f>
        <x:v>same</x:v>
      </x:c>
      <x:c r="L20" s="12" t="str">
        <x:f>IF(K20="same","FinBERT etiketiyle uyumlu","FinBERT etiketiyle farklı; manuel gözden geçirme önerilir")</x:f>
        <x:v>FinBERT etiketiyle uyumlu</x:v>
      </x:c>
    </x:row>
    <x:row r="21" ht="54" customHeight="1">
      <x:c r="A21" s="12" t="str">
        <x:v>REUTERS_ANN_00470</x:v>
      </x:c>
      <x:c r="B21" s="14" t="n">
        <x:v>39091</x:v>
      </x:c>
      <x:c r="C21" s="12" t="n">
        <x:v>1</x:v>
      </x:c>
      <x:c r="D21" s="12" t="str">
        <x:v>positive</x:v>
      </x:c>
      <x:c r="E21" s="16" t="n">
        <x:v>0.5500302910804749</x:v>
      </x:c>
      <x:c r="F21" s="12" t="str">
        <x:v>visa, nokia turn mobile phones into mobile wallets</x:v>
      </x:c>
      <x:c r="G21" s="12" t="str">
        <x:v>Visa ve Nokia cep telefonlarını mobil cüzdana dönüştürüyor</x:v>
      </x:c>
      <x:c r="H21" s="12" t="str">
        <x:v>positive</x:v>
      </x:c>
      <x:c r="I21" s="18" t="n">
        <x:v>0.82</x:v>
      </x:c>
      <x:c r="J21" s="12" t="str">
        <x:v>Yeni ödeme teknolojisi/iş birliği büyüme ve inovasyon açısından olumlu.</x:v>
      </x:c>
      <x:c r="K21" s="12" t="str">
        <x:f>IF(D21=H21,"same","different/review")</x:f>
        <x:v>same</x:v>
      </x:c>
      <x:c r="L21" s="12" t="str">
        <x:f>IF(K21="same","FinBERT etiketiyle uyumlu","FinBERT etiketiyle farklı; manuel gözden geçirme önerilir")</x:f>
        <x:v>FinBERT etiketiyle uyumlu</x:v>
      </x:c>
    </x:row>
    <x:row r="22" ht="54" customHeight="1">
      <x:c r="A22" s="12" t="str">
        <x:v>REUTERS_ANN_00471</x:v>
      </x:c>
      <x:c r="B22" s="14" t="n">
        <x:v>39207</x:v>
      </x:c>
      <x:c r="C22" s="12" t="n">
        <x:v>0</x:v>
      </x:c>
      <x:c r="D22" s="12" t="str">
        <x:v>neutral</x:v>
      </x:c>
      <x:c r="E22" s="16" t="n">
        <x:v>0.5241329073905945</x:v>
      </x:c>
      <x:c r="F22" s="12" t="str">
        <x:v>buffett says may hire 4 cios, insurance to weaken</x:v>
      </x:c>
      <x:c r="G22" s="12" t="str">
        <x:v>Buffett dört yatırım yöneticisi işe alabileceğini, sigortanın zayıflayacağını söyledi</x:v>
      </x:c>
      <x:c r="H22" s="12" t="str">
        <x:v>neutral</x:v>
      </x:c>
      <x:c r="I22" s="18" t="n">
        <x:v>0.58</x:v>
      </x:c>
      <x:c r="J22" s="12" t="str">
        <x:v>Yönetim planı ve sigortada zayıflama birlikte karışık; net yön sınırlı.</x:v>
      </x:c>
      <x:c r="K22" s="12" t="str">
        <x:f>IF(D22=H22,"same","different/review")</x:f>
        <x:v>same</x:v>
      </x:c>
      <x:c r="L22" s="12" t="str">
        <x:f>IF(K22="same","FinBERT etiketiyle uyumlu","FinBERT etiketiyle farklı; manuel gözden geçirme önerilir")</x:f>
        <x:v>FinBERT etiketiyle uyumlu</x:v>
      </x:c>
    </x:row>
    <x:row r="23" ht="54" customHeight="1">
      <x:c r="A23" s="12" t="str">
        <x:v>REUTERS_ANN_00472</x:v>
      </x:c>
      <x:c r="B23" s="14" t="n">
        <x:v>39118</x:v>
      </x:c>
      <x:c r="C23" s="12" t="n">
        <x:v>0</x:v>
      </x:c>
      <x:c r="D23" s="12" t="str">
        <x:v>neutral</x:v>
      </x:c>
      <x:c r="E23" s="16" t="n">
        <x:v>0.6546873450279236</x:v>
      </x:c>
      <x:c r="F23" s="12" t="str">
        <x:v>apple and beatles settle trademark squabble</x:v>
      </x:c>
      <x:c r="G23" s="12" t="str">
        <x:v>Apple ve Beatles ticari marka anlaşmazlığını çözdü</x:v>
      </x:c>
      <x:c r="H23" s="12" t="str">
        <x:v>positive</x:v>
      </x:c>
      <x:c r="I23" s="18" t="n">
        <x:v>0.86</x:v>
      </x:c>
      <x:c r="J23" s="12" t="str">
        <x:v>Hukuki anlaşmazlığın çözülmesi Apple için belirsizliği azaltan olumlu gelişme.</x:v>
      </x:c>
      <x:c r="K23" s="12" t="str">
        <x:f>IF(D23=H23,"same","different/review")</x:f>
        <x:v>different/review</x:v>
      </x:c>
      <x:c r="L23" s="12" t="str">
        <x:f>IF(K23="same","FinBERT etiketiyle uyumlu","FinBERT etiketiyle farklı; manuel gözden geçirme önerilir")</x:f>
        <x:v>FinBERT etiketiyle farklı; manuel gözden geçirme önerilir</x:v>
      </x:c>
    </x:row>
    <x:row r="24" ht="54" customHeight="1">
      <x:c r="A24" s="12" t="str">
        <x:v>REUTERS_ANN_00473</x:v>
      </x:c>
      <x:c r="B24" s="14" t="n">
        <x:v>39154</x:v>
      </x:c>
      <x:c r="C24" s="12" t="n">
        <x:v>-1</x:v>
      </x:c>
      <x:c r="D24" s="12" t="str">
        <x:v>negative</x:v>
      </x:c>
      <x:c r="E24" s="16" t="n">
        <x:v>0.9592790007591248</x:v>
      </x:c>
      <x:c r="F24" s="12" t="str">
        <x:v>corrected hr block delays filing quarterly report</x:v>
      </x:c>
      <x:c r="G24" s="12" t="str">
        <x:v>Düzeltilmiş: H&amp;R Block çeyrek rapor sunumunu erteledi</x:v>
      </x:c>
      <x:c r="H24" s="12" t="str">
        <x:v>negative</x:v>
      </x:c>
      <x:c r="I24" s="18" t="n">
        <x:v>0.93</x:v>
      </x:c>
      <x:c r="J24" s="12" t="str">
        <x:v>Finansal raporlamada gecikme belirsizlik ve muhasebe/operasyon riski yaratır.</x:v>
      </x:c>
      <x:c r="K24" s="12" t="str">
        <x:f>IF(D24=H24,"same","different/review")</x:f>
        <x:v>same</x:v>
      </x:c>
      <x:c r="L24" s="12" t="str">
        <x:f>IF(K24="same","FinBERT etiketiyle uyumlu","FinBERT etiketiyle farklı; manuel gözden geçirme önerilir")</x:f>
        <x:v>FinBERT etiketiyle uyumlu</x:v>
      </x:c>
    </x:row>
    <x:row r="25" ht="54" customHeight="1">
      <x:c r="A25" s="12" t="str">
        <x:v>REUTERS_ANN_00474</x:v>
      </x:c>
      <x:c r="B25" s="14" t="n">
        <x:v>39108</x:v>
      </x:c>
      <x:c r="C25" s="12" t="n">
        <x:v>0</x:v>
      </x:c>
      <x:c r="D25" s="12" t="str">
        <x:v>neutral</x:v>
      </x:c>
      <x:c r="E25" s="16" t="n">
        <x:v>0.8669082522392273</x:v>
      </x:c>
      <x:c r="F25" s="12" t="str">
        <x:v>wal-mart not participating in february new york fashion week</x:v>
      </x:c>
      <x:c r="G25" s="12" t="str">
        <x:v>Wal-Mart şubat ayındaki New York Moda Haftası'na katılmayacak</x:v>
      </x:c>
      <x:c r="H25" s="12" t="str">
        <x:v>neutral</x:v>
      </x:c>
      <x:c r="I25" s="18" t="n">
        <x:v>0.88</x:v>
      </x:c>
      <x:c r="J25" s="12" t="str">
        <x:v>Katılım kararı operasyonel/marka haberi; finansal açıdan net yönlü sinyal yok.</x:v>
      </x:c>
      <x:c r="K25" s="12" t="str">
        <x:f>IF(D25=H25,"same","different/review")</x:f>
        <x:v>same</x:v>
      </x:c>
      <x:c r="L25" s="12" t="str">
        <x:f>IF(K25="same","FinBERT etiketiyle uyumlu","FinBERT etiketiyle farklı; manuel gözden geçirme önerilir")</x:f>
        <x:v>FinBERT etiketiyle uyumlu</x:v>
      </x:c>
    </x:row>
    <x:row r="26" ht="54" customHeight="1">
      <x:c r="A26" s="12" t="str">
        <x:v>REUTERS_ANN_00475</x:v>
      </x:c>
      <x:c r="B26" s="14" t="n">
        <x:v>39038</x:v>
      </x:c>
      <x:c r="C26" s="12" t="n">
        <x:v>0</x:v>
      </x:c>
      <x:c r="D26" s="12" t="str">
        <x:v>neutral</x:v>
      </x:c>
      <x:c r="E26" s="16" t="n">
        <x:v>0.8638781905174255</x:v>
      </x:c>
      <x:c r="F26" s="12" t="str">
        <x:v>daimlerchrysler says talks with chery on-going</x:v>
      </x:c>
      <x:c r="G26" s="12" t="str">
        <x:v>DaimlerChrysler, Chery ile görüşmelerin sürdüğünü söyledi</x:v>
      </x:c>
      <x:c r="H26" s="12" t="str">
        <x:v>neutral</x:v>
      </x:c>
      <x:c r="I26" s="18" t="n">
        <x:v>0.86</x:v>
      </x:c>
      <x:c r="J26" s="12" t="str">
        <x:v>Devam eden görüşme haberi; sonuçlanmış olumlu/olumsuz finansal etki yok.</x:v>
      </x:c>
      <x:c r="K26" s="12" t="str">
        <x:f>IF(D26=H26,"same","different/review")</x:f>
        <x:v>same</x:v>
      </x:c>
      <x:c r="L26" s="12" t="str">
        <x:f>IF(K26="same","FinBERT etiketiyle uyumlu","FinBERT etiketiyle farklı; manuel gözden geçirme önerilir")</x:f>
        <x:v>FinBERT etiketiyle uyumlu</x:v>
      </x:c>
    </x:row>
    <x:row r="27" ht="54" customHeight="1">
      <x:c r="A27" s="12" t="str">
        <x:v>REUTERS_ANN_00476</x:v>
      </x:c>
      <x:c r="B27" s="14" t="n">
        <x:v>39063</x:v>
      </x:c>
      <x:c r="C27" s="12" t="n">
        <x:v>0</x:v>
      </x:c>
      <x:c r="D27" s="12" t="str">
        <x:v>neutral</x:v>
      </x:c>
      <x:c r="E27" s="16" t="n">
        <x:v>0.8964471220970154</x:v>
      </x:c>
      <x:c r="F27" s="12" t="str">
        <x:v>delta board discusses us airways bid paper</x:v>
      </x:c>
      <x:c r="G27" s="12" t="str">
        <x:v>Habere göre Delta yönetim kurulu US Airways teklifini görüştü</x:v>
      </x:c>
      <x:c r="H27" s="12" t="str">
        <x:v>neutral</x:v>
      </x:c>
      <x:c r="I27" s="18" t="n">
        <x:v>0.84</x:v>
      </x:c>
      <x:c r="J27" s="12" t="str">
        <x:v>Yönetim kurulunun teklif görüşmesi süreç bilgisidir; henüz karar yok.</x:v>
      </x:c>
      <x:c r="K27" s="12" t="str">
        <x:f>IF(D27=H27,"same","different/review")</x:f>
        <x:v>same</x:v>
      </x:c>
      <x:c r="L27" s="12" t="str">
        <x:f>IF(K27="same","FinBERT etiketiyle uyumlu","FinBERT etiketiyle farklı; manuel gözden geçirme önerilir")</x:f>
        <x:v>FinBERT etiketiyle uyumlu</x:v>
      </x:c>
    </x:row>
    <x:row r="28" ht="54" customHeight="1">
      <x:c r="A28" s="12" t="str">
        <x:v>REUTERS_ANN_00477</x:v>
      </x:c>
      <x:c r="B28" s="14" t="n">
        <x:v>39055</x:v>
      </x:c>
      <x:c r="C28" s="12" t="n">
        <x:v>0</x:v>
      </x:c>
      <x:c r="D28" s="12" t="str">
        <x:v>neutral</x:v>
      </x:c>
      <x:c r="E28" s="16" t="n">
        <x:v>0.9010336399078368</x:v>
      </x:c>
      <x:c r="F28" s="12" t="str">
        <x:v>icahn goes it alone with changed bid for reckson</x:v>
      </x:c>
      <x:c r="G28" s="12" t="str">
        <x:v>Icahn, Reckson için değiştirilmiş teklifle tek başına ilerliyor</x:v>
      </x:c>
      <x:c r="H28" s="12" t="str">
        <x:v>neutral</x:v>
      </x:c>
      <x:c r="I28" s="18" t="n">
        <x:v>0.76</x:v>
      </x:c>
      <x:c r="J28" s="12" t="str">
        <x:v>Teklif yapısındaki değişim M&amp;A sürecine dair; net piyasa yönü sınırlı.</x:v>
      </x:c>
      <x:c r="K28" s="12" t="str">
        <x:f>IF(D28=H28,"same","different/review")</x:f>
        <x:v>same</x:v>
      </x:c>
      <x:c r="L28" s="12" t="str">
        <x:f>IF(K28="same","FinBERT etiketiyle uyumlu","FinBERT etiketiyle farklı; manuel gözden geçirme önerilir")</x:f>
        <x:v>FinBERT etiketiyle uyumlu</x:v>
      </x:c>
    </x:row>
    <x:row r="29" ht="54" customHeight="1">
      <x:c r="A29" s="12" t="str">
        <x:v>REUTERS_ANN_00478</x:v>
      </x:c>
      <x:c r="B29" s="14" t="n">
        <x:v>39205</x:v>
      </x:c>
      <x:c r="C29" s="12" t="n">
        <x:v>0</x:v>
      </x:c>
      <x:c r="D29" s="12" t="str">
        <x:v>neutral</x:v>
      </x:c>
      <x:c r="E29" s="16" t="n">
        <x:v>0.8597050309181213</x:v>
      </x:c>
      <x:c r="F29" s="12" t="str">
        <x:v>apple unveils plans to go greener</x:v>
      </x:c>
      <x:c r="G29" s="12" t="str">
        <x:v>Apple daha çevreci olma planlarını açıkladı</x:v>
      </x:c>
      <x:c r="H29" s="12" t="str">
        <x:v>positive</x:v>
      </x:c>
      <x:c r="I29" s="18" t="n">
        <x:v>0.72</x:v>
      </x:c>
      <x:c r="J29" s="12" t="str">
        <x:v>ESG/itibar ve uzun vadeli marka algısı açısından hafif olumlu.</x:v>
      </x:c>
      <x:c r="K29" s="12" t="str">
        <x:f>IF(D29=H29,"same","different/review")</x:f>
        <x:v>different/review</x:v>
      </x:c>
      <x:c r="L29" s="12" t="str">
        <x:f>IF(K29="same","FinBERT etiketiyle uyumlu","FinBERT etiketiyle farklı; manuel gözden geçirme önerilir")</x:f>
        <x:v>FinBERT etiketiyle farklı; manuel gözden geçirme önerilir</x:v>
      </x:c>
    </x:row>
    <x:row r="30" ht="54" customHeight="1">
      <x:c r="A30" s="12" t="str">
        <x:v>REUTERS_ANN_00479</x:v>
      </x:c>
      <x:c r="B30" s="14" t="n">
        <x:v>39105</x:v>
      </x:c>
      <x:c r="C30" s="12" t="n">
        <x:v>-1</x:v>
      </x:c>
      <x:c r="D30" s="12" t="str">
        <x:v>negative</x:v>
      </x:c>
      <x:c r="E30" s="16" t="n">
        <x:v>0.9722408652305604</x:v>
      </x:c>
      <x:c r="F30" s="12" t="str">
        <x:v>united air parent posts quarterly loss</x:v>
      </x:c>
      <x:c r="G30" s="12" t="str">
        <x:v>United Air'in ana şirketi çeyreklik zarar açıkladı</x:v>
      </x:c>
      <x:c r="H30" s="12" t="str">
        <x:v>negative</x:v>
      </x:c>
      <x:c r="I30" s="18" t="n">
        <x:v>0.97</x:v>
      </x:c>
      <x:c r="J30" s="12" t="str">
        <x:v>Çeyreklik zarar açıklaması doğrudan olumsuz finansal sonuç.</x:v>
      </x:c>
      <x:c r="K30" s="12" t="str">
        <x:f>IF(D30=H30,"same","different/review")</x:f>
        <x:v>same</x:v>
      </x:c>
      <x:c r="L30" s="12" t="str">
        <x:f>IF(K30="same","FinBERT etiketiyle uyumlu","FinBERT etiketiyle farklı; manuel gözden geçirme önerilir")</x:f>
        <x:v>FinBERT etiketiyle uyumlu</x:v>
      </x:c>
    </x:row>
    <x:row r="31" ht="54" customHeight="1">
      <x:c r="A31" s="12" t="str">
        <x:v>REUTERS_ANN_00480</x:v>
      </x:c>
      <x:c r="B31" s="14" t="n">
        <x:v>39022</x:v>
      </x:c>
      <x:c r="C31" s="12" t="n">
        <x:v>-1</x:v>
      </x:c>
      <x:c r="D31" s="12" t="str">
        <x:v>negative</x:v>
      </x:c>
      <x:c r="E31" s="16" t="n">
        <x:v>0.417901873588562</x:v>
      </x:c>
      <x:c r="F31" s="12" t="str">
        <x:v>private sector adds 128,000 jobs in oct survey</x:v>
      </x:c>
      <x:c r="G31" s="12" t="str">
        <x:v>Ankete göre özel sektör ekimde 128.000 istihdam ekledi</x:v>
      </x:c>
      <x:c r="H31" s="12" t="str">
        <x:v>positive</x:v>
      </x:c>
      <x:c r="I31" s="18" t="n">
        <x:v>0.88</x:v>
      </x:c>
      <x:c r="J31" s="12" t="str">
        <x:v>İstihdam artışı makroekonomik aktivite açısından olumlu sinyal.</x:v>
      </x:c>
      <x:c r="K31" s="12" t="str">
        <x:f>IF(D31=H31,"same","different/review")</x:f>
        <x:v>different/review</x:v>
      </x:c>
      <x:c r="L31" s="12" t="str">
        <x:f>IF(K31="same","FinBERT etiketiyle uyumlu","FinBERT etiketiyle farklı; manuel gözden geçirme önerilir")</x:f>
        <x:v>FinBERT etiketiyle farklı; manuel gözden geçirme önerilir</x:v>
      </x:c>
    </x:row>
    <x:row r="32" ht="54" customHeight="1">
      <x:c r="A32" s="12" t="str">
        <x:v>REUTERS_ANN_00481</x:v>
      </x:c>
      <x:c r="B32" s="14" t="n">
        <x:v>39202</x:v>
      </x:c>
      <x:c r="C32" s="12" t="n">
        <x:v>1</x:v>
      </x:c>
      <x:c r="D32" s="12" t="str">
        <x:v>positive</x:v>
      </x:c>
      <x:c r="E32" s="16" t="n">
        <x:v>0.8719261288642883</x:v>
      </x:c>
      <x:c r="F32" s="12" t="str">
        <x:v>deutsche boerse to buy ise for $2.8 billion</x:v>
      </x:c>
      <x:c r="G32" s="12" t="str">
        <x:v>Deutsche Börse, ISE'yi 2,8 milyar dolara satın alacak</x:v>
      </x:c>
      <x:c r="H32" s="12" t="str">
        <x:v>positive</x:v>
      </x:c>
      <x:c r="I32" s="18" t="n">
        <x:v>0.7</x:v>
      </x:c>
      <x:c r="J32" s="12" t="str">
        <x:v>Stratejik satın alma büyüme/ölçek kazanımı açısından olumlu değerlendirilebilir.</x:v>
      </x:c>
      <x:c r="K32" s="12" t="str">
        <x:f>IF(D32=H32,"same","different/review")</x:f>
        <x:v>same</x:v>
      </x:c>
      <x:c r="L32" s="12" t="str">
        <x:f>IF(K32="same","FinBERT etiketiyle uyumlu","FinBERT etiketiyle farklı; manuel gözden geçirme önerilir")</x:f>
        <x:v>FinBERT etiketiyle uyumlu</x:v>
      </x:c>
    </x:row>
    <x:row r="33" ht="54" customHeight="1">
      <x:c r="A33" s="12" t="str">
        <x:v>REUTERS_ANN_00482</x:v>
      </x:c>
      <x:c r="B33" s="14" t="n">
        <x:v>39192</x:v>
      </x:c>
      <x:c r="C33" s="12" t="n">
        <x:v>1</x:v>
      </x:c>
      <x:c r="D33" s="12" t="str">
        <x:v>positive</x:v>
      </x:c>
      <x:c r="E33" s="16" t="n">
        <x:v>0.949712574481964</x:v>
      </x:c>
      <x:c r="F33" s="12" t="str">
        <x:v>schlumberger profit rises, tops wall street view</x:v>
      </x:c>
      <x:c r="G33" s="12" t="str">
        <x:v>Schlumberger kârı arttı ve Wall Street beklentisini aştı</x:v>
      </x:c>
      <x:c r="H33" s="12" t="str">
        <x:v>positive</x:v>
      </x:c>
      <x:c r="I33" s="18" t="n">
        <x:v>0.98</x:v>
      </x:c>
      <x:c r="J33" s="12" t="str">
        <x:v>Kâr artışı ve beklenti aşımı çok güçlü olumlu sinyal.</x:v>
      </x:c>
      <x:c r="K33" s="12" t="str">
        <x:f>IF(D33=H33,"same","different/review")</x:f>
        <x:v>same</x:v>
      </x:c>
      <x:c r="L33" s="12" t="str">
        <x:f>IF(K33="same","FinBERT etiketiyle uyumlu","FinBERT etiketiyle farklı; manuel gözden geçirme önerilir")</x:f>
        <x:v>FinBERT etiketiyle uyumlu</x:v>
      </x:c>
    </x:row>
    <x:row r="34" ht="54" customHeight="1">
      <x:c r="A34" s="12" t="str">
        <x:v>REUTERS_ANN_00483</x:v>
      </x:c>
      <x:c r="B34" s="14" t="n">
        <x:v>39182</x:v>
      </x:c>
      <x:c r="C34" s="12" t="n">
        <x:v>-1</x:v>
      </x:c>
      <x:c r="D34" s="12" t="str">
        <x:v>negative</x:v>
      </x:c>
      <x:c r="E34" s="16" t="n">
        <x:v>0.911906123161316</x:v>
      </x:c>
      <x:c r="F34" s="12" t="str">
        <x:v>emi concerns grow at warner music</x:v>
      </x:c>
      <x:c r="G34" s="12" t="str">
        <x:v>Warner Music'te EMI ile ilgili endişeler artıyor</x:v>
      </x:c>
      <x:c r="H34" s="12" t="str">
        <x:v>negative</x:v>
      </x:c>
      <x:c r="I34" s="18" t="n">
        <x:v>0.86</x:v>
      </x:c>
      <x:c r="J34" s="12" t="str">
        <x:v>Endişelerin artması anlaşma/strateji belirsizliği ve risk algısı nedeniyle olumsuz.</x:v>
      </x:c>
      <x:c r="K34" s="12" t="str">
        <x:f>IF(D34=H34,"same","different/review")</x:f>
        <x:v>same</x:v>
      </x:c>
      <x:c r="L34" s="12" t="str">
        <x:f>IF(K34="same","FinBERT etiketiyle uyumlu","FinBERT etiketiyle farklı; manuel gözden geçirme önerilir")</x:f>
        <x:v>FinBERT etiketiyle uyumlu</x:v>
      </x:c>
    </x:row>
    <x:row r="35" ht="54" customHeight="1">
      <x:c r="A35" s="12" t="str">
        <x:v>REUTERS_ANN_00484</x:v>
      </x:c>
      <x:c r="B35" s="14" t="n">
        <x:v>39094</x:v>
      </x:c>
      <x:c r="C35" s="12" t="n">
        <x:v>1</x:v>
      </x:c>
      <x:c r="D35" s="12" t="str">
        <x:v>positive</x:v>
      </x:c>
      <x:c r="E35" s="16" t="n">
        <x:v>0.8215333223342896</x:v>
      </x:c>
      <x:c r="F35" s="12" t="str">
        <x:v>wal-mart ad account goes to interpublic, publicis cos</x:v>
      </x:c>
      <x:c r="G35" s="12" t="str">
        <x:v>Wal-Mart reklam hesabı Interpublic ve Publicis şirketlerine gidiyor</x:v>
      </x:c>
      <x:c r="H35" s="12" t="str">
        <x:v>positive</x:v>
      </x:c>
      <x:c r="I35" s="18" t="n">
        <x:v>0.74</x:v>
      </x:c>
      <x:c r="J35" s="12" t="str">
        <x:v>Büyük müşteri hesabı kazanımı reklam şirketleri için gelir açısından olumlu.</x:v>
      </x:c>
      <x:c r="K35" s="12" t="str">
        <x:f>IF(D35=H35,"same","different/review")</x:f>
        <x:v>same</x:v>
      </x:c>
      <x:c r="L35" s="12" t="str">
        <x:f>IF(K35="same","FinBERT etiketiyle uyumlu","FinBERT etiketiyle farklı; manuel gözden geçirme önerilir")</x:f>
        <x:v>FinBERT etiketiyle uyumlu</x:v>
      </x:c>
    </x:row>
    <x:row r="36" ht="54" customHeight="1">
      <x:c r="A36" s="12" t="str">
        <x:v>REUTERS_ANN_00485</x:v>
      </x:c>
      <x:c r="B36" s="14" t="n">
        <x:v>39029</x:v>
      </x:c>
      <x:c r="C36" s="12" t="n">
        <x:v>1</x:v>
      </x:c>
      <x:c r="D36" s="12" t="str">
        <x:v>positive</x:v>
      </x:c>
      <x:c r="E36" s="16" t="n">
        <x:v>0.922950029373169</x:v>
      </x:c>
      <x:c r="F36" s="12" t="str">
        <x:v>oil up nearly $1 as u.s. fuel stocks fall</x:v>
      </x:c>
      <x:c r="G36" s="12" t="str">
        <x:v>ABD yakıt stokları düşünce petrol yaklaşık 1 dolar yükseldi</x:v>
      </x:c>
      <x:c r="H36" s="12" t="str">
        <x:v>positive</x:v>
      </x:c>
      <x:c r="I36" s="18" t="n">
        <x:v>0.82</x:v>
      </x:c>
      <x:c r="J36" s="12" t="str">
        <x:v>Petrol fiyat artışı enerji/emtia açısından olumlu fiyat hareketi; makroda karışık olabilir.</x:v>
      </x:c>
      <x:c r="K36" s="12" t="str">
        <x:f>IF(D36=H36,"same","different/review")</x:f>
        <x:v>same</x:v>
      </x:c>
      <x:c r="L36" s="12" t="str">
        <x:f>IF(K36="same","FinBERT etiketiyle uyumlu","FinBERT etiketiyle farklı; manuel gözden geçirme önerilir")</x:f>
        <x:v>FinBERT etiketiyle uyumlu</x:v>
      </x:c>
    </x:row>
    <x:row r="37" ht="54" customHeight="1">
      <x:c r="A37" s="12" t="str">
        <x:v>REUTERS_ANN_00486</x:v>
      </x:c>
      <x:c r="B37" s="14" t="n">
        <x:v>39128</x:v>
      </x:c>
      <x:c r="C37" s="12" t="n">
        <x:v>1</x:v>
      </x:c>
      <x:c r="D37" s="12" t="str">
        <x:v>positive</x:v>
      </x:c>
      <x:c r="E37" s="16" t="n">
        <x:v>0.9480717182159424</x:v>
      </x:c>
      <x:c r="F37" s="12" t="str">
        <x:v>molson coors quarterly profit beats view, shares jump</x:v>
      </x:c>
      <x:c r="G37" s="12" t="str">
        <x:v>Molson Coors çeyreklik kârda beklentiyi aştı, hisseleri sıçradı</x:v>
      </x:c>
      <x:c r="H37" s="12" t="str">
        <x:v>positive</x:v>
      </x:c>
      <x:c r="I37" s="18" t="n">
        <x:v>0.98</x:v>
      </x:c>
      <x:c r="J37" s="12" t="str">
        <x:v>Beklenti aşımı ve hisse yükselişi güçlü olumlu sinyal.</x:v>
      </x:c>
      <x:c r="K37" s="12" t="str">
        <x:f>IF(D37=H37,"same","different/review")</x:f>
        <x:v>same</x:v>
      </x:c>
      <x:c r="L37" s="12" t="str">
        <x:f>IF(K37="same","FinBERT etiketiyle uyumlu","FinBERT etiketiyle farklı; manuel gözden geçirme önerilir")</x:f>
        <x:v>FinBERT etiketiyle uyumlu</x:v>
      </x:c>
    </x:row>
    <x:row r="38" ht="54" customHeight="1">
      <x:c r="A38" s="12" t="str">
        <x:v>REUTERS_ANN_00487</x:v>
      </x:c>
      <x:c r="B38" s="14" t="n">
        <x:v>39078</x:v>
      </x:c>
      <x:c r="C38" s="12" t="n">
        <x:v>-1</x:v>
      </x:c>
      <x:c r="D38" s="12" t="str">
        <x:v>negative</x:v>
      </x:c>
      <x:c r="E38" s="16" t="n">
        <x:v>0.8980874419212341</x:v>
      </x:c>
      <x:c r="F38" s="12" t="str">
        <x:v>burger kings uk sales to be hurt by ad ban report</x:v>
      </x:c>
      <x:c r="G38" s="12" t="str">
        <x:v>Habere göre Burger King'in İngiltere satışları reklam yasağından zarar görecek</x:v>
      </x:c>
      <x:c r="H38" s="12" t="str">
        <x:v>negative</x:v>
      </x:c>
      <x:c r="I38" s="18" t="n">
        <x:v>0.92</x:v>
      </x:c>
      <x:c r="J38" s="12" t="str">
        <x:v>Satışların zarar göreceği beklentisi şirket performansı açısından olumsuz.</x:v>
      </x:c>
      <x:c r="K38" s="12" t="str">
        <x:f>IF(D38=H38,"same","different/review")</x:f>
        <x:v>same</x:v>
      </x:c>
      <x:c r="L38" s="12" t="str">
        <x:f>IF(K38="same","FinBERT etiketiyle uyumlu","FinBERT etiketiyle farklı; manuel gözden geçirme önerilir")</x:f>
        <x:v>FinBERT etiketiyle uyumlu</x:v>
      </x:c>
    </x:row>
    <x:row r="39" ht="54" customHeight="1">
      <x:c r="A39" s="12" t="str">
        <x:v>REUTERS_ANN_00488</x:v>
      </x:c>
      <x:c r="B39" s="14" t="n">
        <x:v>39048</x:v>
      </x:c>
      <x:c r="C39" s="12" t="n">
        <x:v>0</x:v>
      </x:c>
      <x:c r="D39" s="12" t="str">
        <x:v>neutral</x:v>
      </x:c>
      <x:c r="E39" s="16" t="n">
        <x:v>0.6938204765319824</x:v>
      </x:c>
      <x:c r="F39" s="12" t="str">
        <x:v>delta retired pilots to get $800 mln in claims</x:v>
      </x:c>
      <x:c r="G39" s="12" t="str">
        <x:v>Delta'nın emekli pilotları 800 milyon dolarlık alacak hakkı elde edecek</x:v>
      </x:c>
      <x:c r="H39" s="12" t="str">
        <x:v>neutral</x:v>
      </x:c>
      <x:c r="I39" s="18" t="n">
        <x:v>0.62</x:v>
      </x:c>
      <x:c r="J39" s="12" t="str">
        <x:v>Talep/borç düzenlemesi haberi; şirket üzerindeki net finansal etki başlıkta yeterince açık değil.</x:v>
      </x:c>
      <x:c r="K39" s="12" t="str">
        <x:f>IF(D39=H39,"same","different/review")</x:f>
        <x:v>same</x:v>
      </x:c>
      <x:c r="L39" s="12" t="str">
        <x:f>IF(K39="same","FinBERT etiketiyle uyumlu","FinBERT etiketiyle farklı; manuel gözden geçirme önerilir")</x:f>
        <x:v>FinBERT etiketiyle uyumlu</x:v>
      </x:c>
    </x:row>
    <x:row r="40" ht="54" customHeight="1">
      <x:c r="A40" s="12" t="str">
        <x:v>REUTERS_ANN_00489</x:v>
      </x:c>
      <x:c r="B40" s="14" t="n">
        <x:v>39059</x:v>
      </x:c>
      <x:c r="C40" s="12" t="n">
        <x:v>-1</x:v>
      </x:c>
      <x:c r="D40" s="12" t="str">
        <x:v>negative</x:v>
      </x:c>
      <x:c r="E40" s="16" t="n">
        <x:v>0.955869436264038</x:v>
      </x:c>
      <x:c r="F40" s="12" t="str">
        <x:v>global markets-u.s. jobs data fails to convince investors</x:v>
      </x:c>
      <x:c r="G40" s="12" t="str">
        <x:v>Küresel piyasalar: ABD istihdam verisi yatırımcıları ikna edemedi</x:v>
      </x:c>
      <x:c r="H40" s="12" t="str">
        <x:v>negative</x:v>
      </x:c>
      <x:c r="I40" s="18" t="n">
        <x:v>0.9</x:v>
      </x:c>
      <x:c r="J40" s="12" t="str">
        <x:v>Yatırımcıların ikna olmaması ve verinin güven vermemesi piyasa duyarlılığı için olumsuz.</x:v>
      </x:c>
      <x:c r="K40" s="12" t="str">
        <x:f>IF(D40=H40,"same","different/review")</x:f>
        <x:v>same</x:v>
      </x:c>
      <x:c r="L40" s="12" t="str">
        <x:f>IF(K40="same","FinBERT etiketiyle uyumlu","FinBERT etiketiyle farklı; manuel gözden geçirme önerilir")</x:f>
        <x:v>FinBERT etiketiyle uyumlu</x:v>
      </x:c>
    </x:row>
    <x:row r="41" ht="54" customHeight="1">
      <x:c r="A41" s="12" t="str">
        <x:v>REUTERS_ANN_00490</x:v>
      </x:c>
      <x:c r="B41" s="14" t="n">
        <x:v>39113</x:v>
      </x:c>
      <x:c r="C41" s="12" t="n">
        <x:v>-1</x:v>
      </x:c>
      <x:c r="D41" s="12" t="str">
        <x:v>negative</x:v>
      </x:c>
      <x:c r="E41" s="16" t="n">
        <x:v>0.9517686367034912</x:v>
      </x:c>
      <x:c r="F41" s="12" t="str">
        <x:v>chubb posts higher fourth-quarter earnings</x:v>
      </x:c>
      <x:c r="G41" s="12" t="str">
        <x:v>Chubb daha yüksek dördüncü çeyrek kârı açıkladı</x:v>
      </x:c>
      <x:c r="H41" s="12" t="str">
        <x:v>positive</x:v>
      </x:c>
      <x:c r="I41" s="18" t="n">
        <x:v>0.95</x:v>
      </x:c>
      <x:c r="J41" s="12" t="str">
        <x:v>Daha yüksek kâr açıklanması açık olumlu finansal sonuç.</x:v>
      </x:c>
      <x:c r="K41" s="12" t="str">
        <x:f>IF(D41=H41,"same","different/review")</x:f>
        <x:v>different/review</x:v>
      </x:c>
      <x:c r="L41" s="12" t="str">
        <x:f>IF(K41="same","FinBERT etiketiyle uyumlu","FinBERT etiketiyle farklı; manuel gözden geçirme önerilir")</x:f>
        <x:v>FinBERT etiketiyle farklı; manuel gözden geçirme önerilir</x:v>
      </x:c>
    </x:row>
    <x:row r="42" ht="54" customHeight="1">
      <x:c r="A42" s="12" t="str">
        <x:v>REUTERS_ANN_00491</x:v>
      </x:c>
      <x:c r="B42" s="14" t="n">
        <x:v>39187</x:v>
      </x:c>
      <x:c r="C42" s="12" t="n">
        <x:v>-1</x:v>
      </x:c>
      <x:c r="D42" s="12" t="str">
        <x:v>negative</x:v>
      </x:c>
      <x:c r="E42" s="16" t="n">
        <x:v>0.6672347187995911</x:v>
      </x:c>
      <x:c r="F42" s="12" t="str">
        <x:v>china citic bank ipo draws keen overseas demand</x:v>
      </x:c>
      <x:c r="G42" s="12" t="str">
        <x:v>China CITIC Bank halka arzı yurtdışından güçlü talep gördü</x:v>
      </x:c>
      <x:c r="H42" s="12" t="str">
        <x:v>positive</x:v>
      </x:c>
      <x:c r="I42" s="18" t="n">
        <x:v>0.92</x:v>
      </x:c>
      <x:c r="J42" s="12" t="str">
        <x:v>Güçlü yurtdışı talep halka arz ve yatırımcı ilgisi açısından olumlu.</x:v>
      </x:c>
      <x:c r="K42" s="12" t="str">
        <x:f>IF(D42=H42,"same","different/review")</x:f>
        <x:v>different/review</x:v>
      </x:c>
      <x:c r="L42" s="12" t="str">
        <x:f>IF(K42="same","FinBERT etiketiyle uyumlu","FinBERT etiketiyle farklı; manuel gözden geçirme önerilir")</x:f>
        <x:v>FinBERT etiketiyle farklı; manuel gözden geçirme önerilir</x:v>
      </x:c>
    </x:row>
    <x:row r="43" ht="54" customHeight="1">
      <x:c r="A43" s="12" t="str">
        <x:v>REUTERS_ANN_00492</x:v>
      </x:c>
      <x:c r="B43" s="14" t="n">
        <x:v>39016</x:v>
      </x:c>
      <x:c r="C43" s="12" t="n">
        <x:v>-1</x:v>
      </x:c>
      <x:c r="D43" s="12" t="str">
        <x:v>negative</x:v>
      </x:c>
      <x:c r="E43" s="16" t="n">
        <x:v>0.9699674248695374</x:v>
      </x:c>
      <x:c r="F43" s="12" t="str">
        <x:v>wendys third-quarter earnings fall slightly</x:v>
      </x:c>
      <x:c r="G43" s="12" t="str">
        <x:v>Wendy's üçüncü çeyrek kârı hafifçe düştü</x:v>
      </x:c>
      <x:c r="H43" s="12" t="str">
        <x:v>negative</x:v>
      </x:c>
      <x:c r="I43" s="18" t="n">
        <x:v>0.88</x:v>
      </x:c>
      <x:c r="J43" s="12" t="str">
        <x:v>Kârın düşmesi olumsuz; düşüş hafif olduğu için güven orta-yüksek.</x:v>
      </x:c>
      <x:c r="K43" s="12" t="str">
        <x:f>IF(D43=H43,"same","different/review")</x:f>
        <x:v>same</x:v>
      </x:c>
      <x:c r="L43" s="12" t="str">
        <x:f>IF(K43="same","FinBERT etiketiyle uyumlu","FinBERT etiketiyle farklı; manuel gözden geçirme önerilir")</x:f>
        <x:v>FinBERT etiketiyle uyumlu</x:v>
      </x:c>
    </x:row>
    <x:row r="44" ht="54" customHeight="1">
      <x:c r="A44" s="12" t="str">
        <x:v>REUTERS_ANN_00493</x:v>
      </x:c>
      <x:c r="B44" s="14" t="n">
        <x:v>39182</x:v>
      </x:c>
      <x:c r="C44" s="12" t="n">
        <x:v>-1</x:v>
      </x:c>
      <x:c r="D44" s="12" t="str">
        <x:v>negative</x:v>
      </x:c>
      <x:c r="E44" s="16" t="n">
        <x:v>0.9709126949310304</x:v>
      </x:c>
      <x:c r="F44" s="12" t="str">
        <x:v>economists cut gdp forecast for 2007</x:v>
      </x:c>
      <x:c r="G44" s="12" t="str">
        <x:v>Ekonomistler 2007 GSYH büyüme tahminini düşürdü</x:v>
      </x:c>
      <x:c r="H44" s="12" t="str">
        <x:v>negative</x:v>
      </x:c>
      <x:c r="I44" s="18" t="n">
        <x:v>0.95</x:v>
      </x:c>
      <x:c r="J44" s="12" t="str">
        <x:v>GSYH tahminlerinin düşürülmesi makro görünüm açısından olumsuz.</x:v>
      </x:c>
      <x:c r="K44" s="12" t="str">
        <x:f>IF(D44=H44,"same","different/review")</x:f>
        <x:v>same</x:v>
      </x:c>
      <x:c r="L44" s="12" t="str">
        <x:f>IF(K44="same","FinBERT etiketiyle uyumlu","FinBERT etiketiyle farklı; manuel gözden geçirme önerilir")</x:f>
        <x:v>FinBERT etiketiyle uyumlu</x:v>
      </x:c>
    </x:row>
    <x:row r="45" ht="54" customHeight="1">
      <x:c r="A45" s="12" t="str">
        <x:v>REUTERS_ANN_00494</x:v>
      </x:c>
      <x:c r="B45" s="14" t="n">
        <x:v>39153</x:v>
      </x:c>
      <x:c r="C45" s="12" t="n">
        <x:v>0</x:v>
      </x:c>
      <x:c r="D45" s="12" t="str">
        <x:v>neutral</x:v>
      </x:c>
      <x:c r="E45" s="16" t="n">
        <x:v>0.5109363198280334</x:v>
      </x:c>
      <x:c r="F45" s="12" t="str">
        <x:v>nj jury awards plaintiff $20 mln in vioxx case</x:v>
      </x:c>
      <x:c r="G45" s="12" t="str">
        <x:v>New Jersey jürisi Vioxx davasında davacıya 20 milyon dolar tazminat verdi</x:v>
      </x:c>
      <x:c r="H45" s="12" t="str">
        <x:v>negative</x:v>
      </x:c>
      <x:c r="I45" s="18" t="n">
        <x:v>0.84</x:v>
      </x:c>
      <x:c r="J45" s="12" t="str">
        <x:v>Tazminat kararı ilgili şirket için hukuki maliyet/risk anlamına gelir.</x:v>
      </x:c>
      <x:c r="K45" s="12" t="str">
        <x:f>IF(D45=H45,"same","different/review")</x:f>
        <x:v>different/review</x:v>
      </x:c>
      <x:c r="L45" s="12" t="str">
        <x:f>IF(K45="same","FinBERT etiketiyle uyumlu","FinBERT etiketiyle farklı; manuel gözden geçirme önerilir")</x:f>
        <x:v>FinBERT etiketiyle farklı; manuel gözden geçirme önerilir</x:v>
      </x:c>
    </x:row>
    <x:row r="46" ht="54" customHeight="1">
      <x:c r="A46" s="12" t="str">
        <x:v>REUTERS_ANN_00495</x:v>
      </x:c>
      <x:c r="B46" s="14" t="n">
        <x:v>39183</x:v>
      </x:c>
      <x:c r="C46" s="12" t="n">
        <x:v>-1</x:v>
      </x:c>
      <x:c r="D46" s="12" t="str">
        <x:v>negative</x:v>
      </x:c>
      <x:c r="E46" s="16" t="n">
        <x:v>0.8976337313652039</x:v>
      </x:c>
      <x:c r="F46" s="12" t="str">
        <x:v>citigroup settles with ex-wealth chief thomson</x:v>
      </x:c>
      <x:c r="G46" s="12" t="str">
        <x:v>Citigroup eski varlık yönetimi yöneticisi Thomson ile uzlaştı</x:v>
      </x:c>
      <x:c r="H46" s="12" t="str">
        <x:v>neutral</x:v>
      </x:c>
      <x:c r="I46" s="18" t="n">
        <x:v>0.58</x:v>
      </x:c>
      <x:c r="J46" s="12" t="str">
        <x:v>Hukuki anlaşmazlığın kapanması olabilir; başlıkta maliyet veya olumsuz sonuç net değil.</x:v>
      </x:c>
      <x:c r="K46" s="12" t="str">
        <x:f>IF(D46=H46,"same","different/review")</x:f>
        <x:v>different/review</x:v>
      </x:c>
      <x:c r="L46" s="12" t="str">
        <x:f>IF(K46="same","FinBERT etiketiyle uyumlu","FinBERT etiketiyle farklı; manuel gözden geçirme önerilir")</x:f>
        <x:v>FinBERT etiketiyle farklı; manuel gözden geçirme önerilir</x:v>
      </x:c>
    </x:row>
    <x:row r="47" ht="54" customHeight="1">
      <x:c r="A47" s="12" t="str">
        <x:v>REUTERS_ANN_00496</x:v>
      </x:c>
      <x:c r="B47" s="14" t="n">
        <x:v>39201</x:v>
      </x:c>
      <x:c r="C47" s="12" t="n">
        <x:v>1</x:v>
      </x:c>
      <x:c r="D47" s="12" t="str">
        <x:v>positive</x:v>
      </x:c>
      <x:c r="E47" s="16" t="n">
        <x:v>0.4906778037548065</x:v>
      </x:c>
      <x:c r="F47" s="12" t="str">
        <x:v>pirelli sells t.italia control to telefonica, banks</x:v>
      </x:c>
      <x:c r="G47" s="12" t="str">
        <x:v>Pirelli, Telecom Italia kontrolünü Telefonica ve bankalara satıyor</x:v>
      </x:c>
      <x:c r="H47" s="12" t="str">
        <x:v>neutral</x:v>
      </x:c>
      <x:c r="I47" s="18" t="n">
        <x:v>0.7</x:v>
      </x:c>
      <x:c r="J47" s="12" t="str">
        <x:v>Varlık/kontrol satışı M&amp;A haberi; tek başına yönlü finansal etki net değil.</x:v>
      </x:c>
      <x:c r="K47" s="12" t="str">
        <x:f>IF(D47=H47,"same","different/review")</x:f>
        <x:v>different/review</x:v>
      </x:c>
      <x:c r="L47" s="12" t="str">
        <x:f>IF(K47="same","FinBERT etiketiyle uyumlu","FinBERT etiketiyle farklı; manuel gözden geçirme önerilir")</x:f>
        <x:v>FinBERT etiketiyle farklı; manuel gözden geçirme önerilir</x:v>
      </x:c>
    </x:row>
    <x:row r="48" ht="54" customHeight="1">
      <x:c r="A48" s="12" t="str">
        <x:v>REUTERS_ANN_00497</x:v>
      </x:c>
      <x:c r="B48" s="14" t="n">
        <x:v>39017</x:v>
      </x:c>
      <x:c r="C48" s="12" t="n">
        <x:v>-1</x:v>
      </x:c>
      <x:c r="D48" s="12" t="str">
        <x:v>negative</x:v>
      </x:c>
      <x:c r="E48" s="16" t="n">
        <x:v>0.9742013216018676</x:v>
      </x:c>
      <x:c r="F48" s="12" t="str">
        <x:v>instant view-u.s. q3 gdp growth weaker than expected</x:v>
      </x:c>
      <x:c r="G48" s="12" t="str">
        <x:v>Anlık yorum: ABD üçüncü çeyrek GSYH büyümesi beklenenden zayıf</x:v>
      </x:c>
      <x:c r="H48" s="12" t="str">
        <x:v>negative</x:v>
      </x:c>
      <x:c r="I48" s="18" t="n">
        <x:v>0.96</x:v>
      </x:c>
      <x:c r="J48" s="12" t="str">
        <x:v>Beklentiden zayıf GSYH büyümesi açık olumsuz makro veri.</x:v>
      </x:c>
      <x:c r="K48" s="12" t="str">
        <x:f>IF(D48=H48,"same","different/review")</x:f>
        <x:v>same</x:v>
      </x:c>
      <x:c r="L48" s="12" t="str">
        <x:f>IF(K48="same","FinBERT etiketiyle uyumlu","FinBERT etiketiyle farklı; manuel gözden geçirme önerilir")</x:f>
        <x:v>FinBERT etiketiyle uyumlu</x:v>
      </x:c>
    </x:row>
    <x:row r="49" ht="54" customHeight="1">
      <x:c r="A49" s="12" t="str">
        <x:v>REUTERS_ANN_00498</x:v>
      </x:c>
      <x:c r="B49" s="14" t="n">
        <x:v>39147</x:v>
      </x:c>
      <x:c r="C49" s="12" t="n">
        <x:v>-1</x:v>
      </x:c>
      <x:c r="D49" s="12" t="str">
        <x:v>negative</x:v>
      </x:c>
      <x:c r="E49" s="16" t="n">
        <x:v>0.5681625008583069</x:v>
      </x:c>
      <x:c r="F49" s="12" t="str">
        <x:v>judge upholds jurys vioxx verdict</x:v>
      </x:c>
      <x:c r="G49" s="12" t="str">
        <x:v>Hakim, Vioxx davasındaki jüri kararını onadı</x:v>
      </x:c>
      <x:c r="H49" s="12" t="str">
        <x:v>negative</x:v>
      </x:c>
      <x:c r="I49" s="18" t="n">
        <x:v>0.82</x:v>
      </x:c>
      <x:c r="J49" s="12" t="str">
        <x:v>Olumsuz hukuki kararın onanması ilgili şirket için risk/maliyet anlamına gelir.</x:v>
      </x:c>
      <x:c r="K49" s="12" t="str">
        <x:f>IF(D49=H49,"same","different/review")</x:f>
        <x:v>same</x:v>
      </x:c>
      <x:c r="L49" s="12" t="str">
        <x:f>IF(K49="same","FinBERT etiketiyle uyumlu","FinBERT etiketiyle farklı; manuel gözden geçirme önerilir")</x:f>
        <x:v>FinBERT etiketiyle uyumlu</x:v>
      </x:c>
    </x:row>
    <x:row r="50" ht="54" customHeight="1">
      <x:c r="A50" s="12" t="str">
        <x:v>REUTERS_ANN_00499</x:v>
      </x:c>
      <x:c r="B50" s="14" t="n">
        <x:v>39071</x:v>
      </x:c>
      <x:c r="C50" s="12" t="n">
        <x:v>-1</x:v>
      </x:c>
      <x:c r="D50" s="12" t="str">
        <x:v>negative</x:v>
      </x:c>
      <x:c r="E50" s="16" t="n">
        <x:v>0.4857823550701141</x:v>
      </x:c>
      <x:c r="F50" s="12" t="str">
        <x:v>us airways says delta creditors evaluating offer</x:v>
      </x:c>
      <x:c r="G50" s="12" t="str">
        <x:v>US Airways, Delta alacaklılarının teklifi değerlendirdiğini söyledi</x:v>
      </x:c>
      <x:c r="H50" s="12" t="str">
        <x:v>neutral</x:v>
      </x:c>
      <x:c r="I50" s="18" t="n">
        <x:v>0.66</x:v>
      </x:c>
      <x:c r="J50" s="12" t="str">
        <x:v>Teklif değerlendirme süreci; kabul/red veya finansal sonuç henüz net değil.</x:v>
      </x:c>
      <x:c r="K50" s="12" t="str">
        <x:f>IF(D50=H50,"same","different/review")</x:f>
        <x:v>different/review</x:v>
      </x:c>
      <x:c r="L50" s="12" t="str">
        <x:f>IF(K50="same","FinBERT etiketiyle uyumlu","FinBERT etiketiyle farklı; manuel gözden geçirme önerilir")</x:f>
        <x:v>FinBERT etiketiyle farklı; manuel gözden geçirme önerilir</x:v>
      </x:c>
    </x:row>
    <x:row r="51" ht="54" customHeight="1">
      <x:c r="A51" s="12" t="str">
        <x:v>REUTERS_ANN_00500</x:v>
      </x:c>
      <x:c r="B51" s="14" t="n">
        <x:v>39198</x:v>
      </x:c>
      <x:c r="C51" s="12" t="n">
        <x:v>1</x:v>
      </x:c>
      <x:c r="D51" s="12" t="str">
        <x:v>positive</x:v>
      </x:c>
      <x:c r="E51" s="16" t="n">
        <x:v>0.6408465504646301</x:v>
      </x:c>
      <x:c r="F51" s="12" t="str">
        <x:v>abn amro to open books to rbs, fortis, santander</x:v>
      </x:c>
      <x:c r="G51" s="12" t="str">
        <x:v>ABN Amro, defterlerini RBS, Fortis ve Santander'e açacak</x:v>
      </x:c>
      <x:c r="H51" s="12" t="str">
        <x:v>positive</x:v>
      </x:c>
      <x:c r="I51" s="18" t="n">
        <x:v>0.74</x:v>
      </x:c>
      <x:c r="J51" s="12" t="str">
        <x:v>Satın alma incelemesine kapı açılması anlaşma ihtimalini ve rekabeti artırarak olumlu algılanabilir.</x:v>
      </x:c>
      <x:c r="K51" s="12" t="str">
        <x:f>IF(D51=H51,"same","different/review")</x:f>
        <x:v>same</x:v>
      </x:c>
      <x:c r="L51" s="12" t="str">
        <x:f>IF(K51="same","FinBERT etiketiyle uyumlu","FinBERT etiketiyle farklı; manuel gözden geçirme önerilir")</x:f>
        <x:v>FinBERT etiketiyle uyumlu</x:v>
      </x:c>
    </x:row>
  </x:sheetData>
  <x:conditionalFormatting sqref="D2:D51">
    <x:cfRule type="expression" dxfId="0" priority="1">
      <x:formula>INDIRECT("RC",FALSE)="positive"</x:formula>
    </x:cfRule>
    <x:cfRule type="expression" dxfId="1" priority="2">
      <x:formula>INDIRECT("RC",FALSE)="negative"</x:formula>
    </x:cfRule>
    <x:cfRule type="expression" dxfId="2" priority="3">
      <x:formula>INDIRECT("RC",FALSE)="neutral"</x:formula>
    </x:cfRule>
  </x:conditionalFormatting>
  <x:conditionalFormatting sqref="H2:H51">
    <x:cfRule type="expression" dxfId="3" priority="4">
      <x:formula>INDIRECT("RC",FALSE)="positive"</x:formula>
    </x:cfRule>
    <x:cfRule type="expression" dxfId="4" priority="5">
      <x:formula>INDIRECT("RC",FALSE)="negative"</x:formula>
    </x:cfRule>
    <x:cfRule type="expression" dxfId="5" priority="6">
      <x:formula>INDIRECT("RC",FALSE)="neutral"</x:formula>
    </x:cfRule>
  </x:conditionalFormatting>
  <x:conditionalFormatting sqref="K2:K51">
    <x:cfRule type="expression" dxfId="6" priority="7">
      <x:formula>K2="same"</x:formula>
    </x:cfRule>
    <x:cfRule type="expression" dxfId="7" priority="8">
      <x:formula>K2="different/review"</x:formula>
    </x:cfRule>
  </x:conditionalFormatting>
  <x:dataValidations count="1">
    <x:dataValidation type="list" sqref="H2:H51">
      <x:formula1>categories!$A$2:$A$4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7ff7e856b04d3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4" max="4" width="18" hidden="0" customWidth="1"/>
    <x:col min="5" max="5" width="18" hidden="0" customWidth="1"/>
  </x:cols>
  <x:sheetData>
    <x:row r="1">
      <x:c r="A1" s="32" t="str">
        <x:v>REUTERS Annotation Batch 010</x:v>
      </x:c>
      <x:c r="B1" s="10"/>
      <x:c r="C1"/>
      <x:c r="D1"/>
    </x:row>
    <x:row r="2">
      <x:c r="A2" s="10" t="str">
        <x:v>Rows</x:v>
      </x:c>
      <x:c r="B2" s="10" t="n">
        <x:v>50</x:v>
      </x:c>
      <x:c r="C2"/>
      <x:c r="D2"/>
    </x:row>
    <x:row r="3">
      <x:c r="A3" s="10" t="str">
        <x:v>Range</x:v>
      </x:c>
      <x:c r="B3" s="10" t="str">
        <x:v>450 - 499</x:v>
      </x:c>
      <x:c r="C3"/>
      <x:c r="D3"/>
    </x:row>
    <x:row r="4">
      <x:c r="A4" s="10" t="str">
        <x:v>Output file</x:v>
      </x:c>
      <x:c r="B4" s="10" t="str">
        <x:v>REUTERS_annotation_batch_010.xlsx</x:v>
      </x:c>
      <x:c r="C4"/>
      <x:c r="D4"/>
    </x:row>
    <x:row r="5">
      <x:c r="A5" s="10"/>
      <x:c r="B5" s="10"/>
      <x:c r="C5"/>
      <x:c r="D5"/>
    </x:row>
    <x:row r="6">
      <x:c r="A6" s="23" t="str">
        <x:v>Metric</x:v>
      </x:c>
      <x:c r="B6" s="23" t="str">
        <x:v>Value</x:v>
      </x:c>
      <x:c r="C6"/>
      <x:c r="D6" s="5" t="str">
        <x:v>ChatGPT label</x:v>
      </x:c>
      <x:c r="E6" s="5" t="str">
        <x:v>Count</x:v>
      </x:c>
    </x:row>
    <x:row r="7">
      <x:c r="A7" s="10" t="str">
        <x:v>Total rows</x:v>
      </x:c>
      <x:c r="B7" s="10" t="n">
        <x:f>COUNTA(annotations!A2:A51)</x:f>
        <x:v>50</x:v>
      </x:c>
      <x:c r="C7"/>
      <x:c r="D7" t="str">
        <x:v>positive</x:v>
      </x:c>
      <x:c r="E7" t="n">
        <x:f>COUNTIF(annotations!H2:H51,"positive")</x:f>
        <x:v>18</x:v>
      </x:c>
    </x:row>
    <x:row r="8">
      <x:c r="A8" s="10" t="str">
        <x:v>ChatGPT positive</x:v>
      </x:c>
      <x:c r="B8" s="10" t="n">
        <x:f>COUNTIF(annotations!H2:H51,"positive")</x:f>
        <x:v>18</x:v>
      </x:c>
      <x:c r="C8"/>
      <x:c r="D8" t="str">
        <x:v>neutral</x:v>
      </x:c>
      <x:c r="E8" t="n">
        <x:f>COUNTIF(annotations!H2:H51,"neutral")</x:f>
        <x:v>15</x:v>
      </x:c>
    </x:row>
    <x:row r="9">
      <x:c r="A9" s="10" t="str">
        <x:v>ChatGPT neutral</x:v>
      </x:c>
      <x:c r="B9" s="10" t="n">
        <x:f>COUNTIF(annotations!H2:H51,"neutral")</x:f>
        <x:v>15</x:v>
      </x:c>
      <x:c r="C9"/>
      <x:c r="D9" t="str">
        <x:v>negative</x:v>
      </x:c>
      <x:c r="E9" t="n">
        <x:f>COUNTIF(annotations!H2:H51,"negative")</x:f>
        <x:v>17</x:v>
      </x:c>
    </x:row>
    <x:row r="10">
      <x:c r="A10" s="10" t="str">
        <x:v>ChatGPT negative</x:v>
      </x:c>
      <x:c r="B10" s="10" t="n">
        <x:f>COUNTIF(annotations!H2:H51,"negative")</x:f>
        <x:v>17</x:v>
      </x:c>
      <x:c r="C10"/>
      <x:c r="D10"/>
    </x:row>
    <x:row r="11">
      <x:c r="A11" s="10" t="str">
        <x:v>FinBERT same</x:v>
      </x:c>
      <x:c r="B11" s="10" t="n">
        <x:f>COUNTIF(annotations!K2:K51,"same")</x:f>
        <x:v>34</x:v>
      </x:c>
      <x:c r="C11"/>
      <x:c r="D11"/>
    </x:row>
    <x:row r="12">
      <x:c r="A12" s="10" t="str">
        <x:v>Different / review</x:v>
      </x:c>
      <x:c r="B12" s="10" t="n">
        <x:f>COUNTIF(annotations!K2:K51,"different/review")</x:f>
        <x:v>16</x:v>
      </x:c>
      <x:c r="C12"/>
      <x:c r="D12"/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bef9fb08520a4edf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</x:cols>
  <x:sheetData>
    <x:row r="1">
      <x:c r="A1" s="23" t="str">
        <x:v>sentiment_labels</x:v>
      </x:c>
    </x:row>
    <x:row r="2">
      <x:c r="A2" s="10" t="str">
        <x:v>positive</x:v>
      </x:c>
    </x:row>
    <x:row r="3">
      <x:c r="A3" s="10" t="str">
        <x:v>neutral</x:v>
      </x:c>
    </x:row>
    <x:row r="4">
      <x:c r="A4" s="10" t="str">
        <x:v>negative</x:v>
      </x:c>
    </x:row>
  </x:sheetData>
  <x:pageMargins left="0.7" right="0.7" top="0.75" bottom="0.75" header="0.3" footer="0.3"/>
</x:worksheet>
</file>