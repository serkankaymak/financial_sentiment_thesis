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9caf91850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57364a7cdb04201"/>
    <x:sheet xmlns:r="http://schemas.openxmlformats.org/officeDocument/2006/relationships" name="Summary" sheetId="2" r:id="R8e98dbdf44df4911"/>
    <x:sheet xmlns:r="http://schemas.openxmlformats.org/officeDocument/2006/relationships" name="Label_Guide" sheetId="3" r:id="R8d8902ab7fc1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d8a0394f349f5" /><Relationship Type="http://schemas.openxmlformats.org/officeDocument/2006/relationships/theme" Target="/xl/theme/theme1.xml" Id="R64d0ad8247f44386" /><Relationship Type="http://schemas.openxmlformats.org/officeDocument/2006/relationships/sharedStrings" Target="/xl/sharedStrings.xml" Id="R59230d2602204d1b" /><Relationship Type="http://schemas.openxmlformats.org/officeDocument/2006/relationships/worksheet" Target="/xl/worksheets/sheet1.xml" Id="R557364a7cdb04201" /><Relationship Type="http://schemas.openxmlformats.org/officeDocument/2006/relationships/worksheet" Target="/xl/worksheets/sheet2.xml" Id="R8e98dbdf44df4911" /><Relationship Type="http://schemas.openxmlformats.org/officeDocument/2006/relationships/worksheet" Target="/xl/worksheets/sheet3.xml" Id="R8d8902ab7fc14df2" /></Relationships>
</file>

<file path=xl/tables/table1.xml><?xml version="1.0" encoding="utf-8"?>
<x:table xmlns:x="http://schemas.openxmlformats.org/spreadsheetml/2006/main" id="1" name="ReutersAnnotationsBatch011" displayName="ReutersAnnotationsBatch011" ref="A1:N51" headerRowCount="1">
  <x:tableColumns count="14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label"/>
    <x:tableColumn id="9" name="chatgpt_score"/>
    <x:tableColumn id="10" name="chatgpt_confidence"/>
    <x:tableColumn id="11" name="chatgpt_reason_tr"/>
    <x:tableColumn id="12" name="finbert_match"/>
    <x:tableColumn id="13" name="review_flag"/>
    <x:tableColumn id="14" name="annotation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810f915e72409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40" hidden="0" customWidth="1"/>
    <x:col min="4" max="4" width="44" hidden="0" customWidth="1"/>
    <x:col min="5" max="5" width="12" hidden="0" customWidth="1"/>
    <x:col min="6" max="6" width="14" hidden="0" customWidth="1"/>
    <x:col min="7" max="7" width="17" hidden="0" customWidth="1"/>
    <x:col min="8" max="8" width="14" hidden="0" customWidth="1"/>
    <x:col min="9" max="9" width="13" hidden="0" customWidth="1"/>
    <x:col min="10" max="10" width="18" hidden="0" customWidth="1"/>
    <x:col min="11" max="11" width="46" hidden="0" customWidth="1"/>
    <x:col min="12" max="12" width="18" hidden="0" customWidth="1"/>
    <x:col min="13" max="13" width="12" hidden="0" customWidth="1"/>
    <x:col min="14" max="14" width="24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chatgpt_score</x:v>
      </x:c>
      <x:c r="J1" s="6" t="str">
        <x:v>chatgpt_confidence</x:v>
      </x:c>
      <x:c r="K1" s="6" t="str">
        <x:v>chatgpt_reason_tr</x:v>
      </x:c>
      <x:c r="L1" s="6" t="str">
        <x:v>finbert_match</x:v>
      </x:c>
      <x:c r="M1" s="6" t="str">
        <x:v>review_flag</x:v>
      </x:c>
      <x:c r="N1" s="6" t="str">
        <x:v>annotation_note</x:v>
      </x:c>
    </x:row>
    <x:row r="2">
      <x:c r="A2" s="13" t="str">
        <x:v>REUTERS_ANN_00501</x:v>
      </x:c>
      <x:c r="B2" s="16" t="n">
        <x:v>39120</x:v>
      </x:c>
      <x:c r="C2" s="13" t="str">
        <x:v>lazard earnings soar, shares jump</x:v>
      </x:c>
      <x:c r="D2" s="13" t="str">
        <x:v>Lazard’ın kârı hızla arttı, hisseleri sıçradı.</x:v>
      </x:c>
      <x:c r="E2" s="13" t="n">
        <x:v>1</x:v>
      </x:c>
      <x:c r="F2" s="13" t="str">
        <x:v>positive</x:v>
      </x:c>
      <x:c r="G2" s="18" t="n">
        <x:v>0.9472126364707948</x:v>
      </x:c>
      <x:c r="H2" s="13" t="str">
        <x:v>positive</x:v>
      </x:c>
      <x:c r="I2" s="13" t="n">
        <x:f>IF(H2="positive",1,IF(H2="negative",-1,0))</x:f>
        <x:v>1</x:v>
      </x:c>
      <x:c r="J2" s="20" t="n">
        <x:v>0.96</x:v>
      </x:c>
      <x:c r="K2" s="13" t="str">
        <x:v>Kâr artışı ve hisse yükselişi açık biçimde olumlu şirket sinyali veriyor.</x:v>
      </x:c>
      <x:c r="L2" s="13" t="str">
        <x:f>IF(F2=H2,"same","different/review")</x:f>
        <x:v>same</x:v>
      </x:c>
      <x:c r="M2" s="13" t="str">
        <x:f>IF(L2="same","OK","REVIEW")</x:f>
        <x:v>OK</x:v>
      </x:c>
      <x:c r="N2" s="13" t="str">
        <x:v>Manuel ChatGPT kontrolü tamamlandı</x:v>
      </x:c>
    </x:row>
    <x:row r="3">
      <x:c r="A3" s="13" t="str">
        <x:v>REUTERS_ANN_00502</x:v>
      </x:c>
      <x:c r="B3" s="16" t="n">
        <x:v>39093</x:v>
      </x:c>
      <x:c r="C3" s="13" t="str">
        <x:v>economy outside housing, cars in good shape bies</x:v>
      </x:c>
      <x:c r="D3" s="13" t="str">
        <x:v>Bies’e göre konut ve otomobil dışında ekonomi iyi durumda.</x:v>
      </x:c>
      <x:c r="E3" s="13" t="n">
        <x:v>1</x:v>
      </x:c>
      <x:c r="F3" s="13" t="str">
        <x:v>positive</x:v>
      </x:c>
      <x:c r="G3" s="18" t="n">
        <x:v>0.4137135446071625</x:v>
      </x:c>
      <x:c r="H3" s="13" t="str">
        <x:v>positive</x:v>
      </x:c>
      <x:c r="I3" s="13" t="n">
        <x:f>IF(H3="positive",1,IF(H3="negative",-1,0))</x:f>
        <x:v>1</x:v>
      </x:c>
      <x:c r="J3" s="20" t="n">
        <x:v>0.78</x:v>
      </x:c>
      <x:c r="K3" s="13" t="str">
        <x:v>Konut ve otomobil hariç ekonominin iyi durumda olduğu vurgulanıyor; olumlu ama kapsam sınırlı.</x:v>
      </x:c>
      <x:c r="L3" s="13" t="str">
        <x:f>IF(F3=H3,"same","different/review")</x:f>
        <x:v>same</x:v>
      </x:c>
      <x:c r="M3" s="13" t="str">
        <x:f>IF(L3="same","OK","REVIEW")</x:f>
        <x:v>OK</x:v>
      </x:c>
      <x:c r="N3" s="13" t="str">
        <x:v>Manuel ChatGPT kontrolü tamamlandı</x:v>
      </x:c>
    </x:row>
    <x:row r="4">
      <x:c r="A4" s="13" t="str">
        <x:v>REUTERS_ANN_00503</x:v>
      </x:c>
      <x:c r="B4" s="16" t="n">
        <x:v>39204</x:v>
      </x:c>
      <x:c r="C4" s="13" t="str">
        <x:v>cigna profit falls, but beats wall street views</x:v>
      </x:c>
      <x:c r="D4" s="13" t="str">
        <x:v>Cigna’nın kârı düştü, ancak Wall Street beklentilerini aştı.</x:v>
      </x:c>
      <x:c r="E4" s="13" t="n">
        <x:v>-1</x:v>
      </x:c>
      <x:c r="F4" s="13" t="str">
        <x:v>negative</x:v>
      </x:c>
      <x:c r="G4" s="18" t="n">
        <x:v>0.9761775732040404</x:v>
      </x:c>
      <x:c r="H4" s="13" t="str">
        <x:v>neutral</x:v>
      </x:c>
      <x:c r="I4" s="13" t="n">
        <x:f>IF(H4="positive",1,IF(H4="negative",-1,0))</x:f>
        <x:v>0</x:v>
      </x:c>
      <x:c r="J4" s="20" t="n">
        <x:v>0.7</x:v>
      </x:c>
      <x:c r="K4" s="13" t="str">
        <x:v>Kâr düşüşü olumsuz, beklentilerin aşılması olumlu; başlık karışık sinyal verdiği için nötr.</x:v>
      </x:c>
      <x:c r="L4" s="13" t="str">
        <x:f>IF(F4=H4,"same","different/review")</x:f>
        <x:v>different/review</x:v>
      </x:c>
      <x:c r="M4" s="13" t="str">
        <x:f>IF(L4="same","OK","REVIEW")</x:f>
        <x:v>REVIEW</x:v>
      </x:c>
      <x:c r="N4" s="13" t="str">
        <x:v>Manuel ChatGPT kontrolü tamamlandı</x:v>
      </x:c>
    </x:row>
    <x:row r="5">
      <x:c r="A5" s="13" t="str">
        <x:v>REUTERS_ANN_00504</x:v>
      </x:c>
      <x:c r="B5" s="16" t="n">
        <x:v>39203</x:v>
      </x:c>
      <x:c r="C5" s="13" t="str">
        <x:v>media stocks jump on news corp.s dow jones bid</x:v>
      </x:c>
      <x:c r="D5" s="13" t="str">
        <x:v>News Corp.’un Dow Jones teklifi haberiyle medya hisseleri sıçradı.</x:v>
      </x:c>
      <x:c r="E5" s="13" t="n">
        <x:v>1</x:v>
      </x:c>
      <x:c r="F5" s="13" t="str">
        <x:v>positive</x:v>
      </x:c>
      <x:c r="G5" s="18" t="n">
        <x:v>0.915006458759308</x:v>
      </x:c>
      <x:c r="H5" s="13" t="str">
        <x:v>positive</x:v>
      </x:c>
      <x:c r="I5" s="13" t="n">
        <x:f>IF(H5="positive",1,IF(H5="negative",-1,0))</x:f>
        <x:v>1</x:v>
      </x:c>
      <x:c r="J5" s="20" t="n">
        <x:v>0.94</x:v>
      </x:c>
      <x:c r="K5" s="13" t="str">
        <x:v>Hisselerde sıçrama ve satın alma teklifi beklentisi piyasa açısından olumlu.</x:v>
      </x:c>
      <x:c r="L5" s="13" t="str">
        <x:f>IF(F5=H5,"same","different/review")</x:f>
        <x:v>same</x:v>
      </x:c>
      <x:c r="M5" s="13" t="str">
        <x:f>IF(L5="same","OK","REVIEW")</x:f>
        <x:v>OK</x:v>
      </x:c>
      <x:c r="N5" s="13" t="str">
        <x:v>Manuel ChatGPT kontrolü tamamlandı</x:v>
      </x:c>
    </x:row>
    <x:row r="6">
      <x:c r="A6" s="13" t="str">
        <x:v>REUTERS_ANN_00505</x:v>
      </x:c>
      <x:c r="B6" s="16" t="n">
        <x:v>39188</x:v>
      </x:c>
      <x:c r="C6" s="13" t="str">
        <x:v>dutch philips beats q1 profit forecast, sales slow</x:v>
      </x:c>
      <x:c r="D6" s="13" t="str">
        <x:v>Hollandalı Philips ilk çeyrek kâr tahminini aştı, satışlar yavaşladı.</x:v>
      </x:c>
      <x:c r="E6" s="13" t="n">
        <x:v>-1</x:v>
      </x:c>
      <x:c r="F6" s="13" t="str">
        <x:v>negative</x:v>
      </x:c>
      <x:c r="G6" s="18" t="n">
        <x:v>0.8605089783668518</x:v>
      </x:c>
      <x:c r="H6" s="13" t="str">
        <x:v>neutral</x:v>
      </x:c>
      <x:c r="I6" s="13" t="n">
        <x:f>IF(H6="positive",1,IF(H6="negative",-1,0))</x:f>
        <x:v>0</x:v>
      </x:c>
      <x:c r="J6" s="20" t="n">
        <x:v>0.72</x:v>
      </x:c>
      <x:c r="K6" s="13" t="str">
        <x:v>Kârın tahmini aşması olumlu, satışların yavaşlaması olumsuz; karışık sinyal.</x:v>
      </x:c>
      <x:c r="L6" s="13" t="str">
        <x:f>IF(F6=H6,"same","different/review")</x:f>
        <x:v>different/review</x:v>
      </x:c>
      <x:c r="M6" s="13" t="str">
        <x:f>IF(L6="same","OK","REVIEW")</x:f>
        <x:v>REVIEW</x:v>
      </x:c>
      <x:c r="N6" s="13" t="str">
        <x:v>Manuel ChatGPT kontrolü tamamlandı</x:v>
      </x:c>
    </x:row>
    <x:row r="7">
      <x:c r="A7" s="13" t="str">
        <x:v>REUTERS_ANN_00506</x:v>
      </x:c>
      <x:c r="B7" s="16" t="n">
        <x:v>39155</x:v>
      </x:c>
      <x:c r="C7" s="13" t="str">
        <x:v>factbox-global financial market movements since late february</x:v>
      </x:c>
      <x:c r="D7" s="13" t="str">
        <x:v>Bilgi kutusu: Şubat sonundan bu yana küresel finans piyasası hareketleri.</x:v>
      </x:c>
      <x:c r="E7" s="13" t="n">
        <x:v>-1</x:v>
      </x:c>
      <x:c r="F7" s="13" t="str">
        <x:v>negative</x:v>
      </x:c>
      <x:c r="G7" s="18" t="n">
        <x:v>0.8939042687416077</x:v>
      </x:c>
      <x:c r="H7" s="13" t="str">
        <x:v>neutral</x:v>
      </x:c>
      <x:c r="I7" s="13" t="n">
        <x:f>IF(H7="positive",1,IF(H7="negative",-1,0))</x:f>
        <x:v>0</x:v>
      </x:c>
      <x:c r="J7" s="20" t="n">
        <x:v>0.9</x:v>
      </x:c>
      <x:c r="K7" s="13" t="str">
        <x:v>Factbox türü açıklayıcı başlık; doğrudan yönlü sentiment taşımıyor.</x:v>
      </x:c>
      <x:c r="L7" s="13" t="str">
        <x:f>IF(F7=H7,"same","different/review")</x:f>
        <x:v>different/review</x:v>
      </x:c>
      <x:c r="M7" s="13" t="str">
        <x:f>IF(L7="same","OK","REVIEW")</x:f>
        <x:v>REVIEW</x:v>
      </x:c>
      <x:c r="N7" s="13" t="str">
        <x:v>Manuel ChatGPT kontrolü tamamlandı</x:v>
      </x:c>
    </x:row>
    <x:row r="8">
      <x:c r="A8" s="13" t="str">
        <x:v>REUTERS_ANN_00507</x:v>
      </x:c>
      <x:c r="B8" s="16" t="n">
        <x:v>39047</x:v>
      </x:c>
      <x:c r="C8" s="13" t="str">
        <x:v>lse plans price cuts to beat new platform -paper</x:v>
      </x:c>
      <x:c r="D8" s="13" t="str">
        <x:v>LSE, yeni platformu yenmek için fiyat indirimleri planlıyor - gazete.</x:v>
      </x:c>
      <x:c r="E8" s="13" t="n">
        <x:v>-1</x:v>
      </x:c>
      <x:c r="F8" s="13" t="str">
        <x:v>negative</x:v>
      </x:c>
      <x:c r="G8" s="18" t="n">
        <x:v>0.8140033483505249</x:v>
      </x:c>
      <x:c r="H8" s="13" t="str">
        <x:v>negative</x:v>
      </x:c>
      <x:c r="I8" s="13" t="n">
        <x:f>IF(H8="positive",1,IF(H8="negative",-1,0))</x:f>
        <x:v>-1</x:v>
      </x:c>
      <x:c r="J8" s="20" t="n">
        <x:v>0.75</x:v>
      </x:c>
      <x:c r="K8" s="13" t="str">
        <x:v>Fiyat indirimleri rekabet baskısı ve marj riski anlamına gelebilir.</x:v>
      </x:c>
      <x:c r="L8" s="13" t="str">
        <x:f>IF(F8=H8,"same","different/review")</x:f>
        <x:v>same</x:v>
      </x:c>
      <x:c r="M8" s="13" t="str">
        <x:f>IF(L8="same","OK","REVIEW")</x:f>
        <x:v>OK</x:v>
      </x:c>
      <x:c r="N8" s="13" t="str">
        <x:v>Manuel ChatGPT kontrolü tamamlandı</x:v>
      </x:c>
    </x:row>
    <x:row r="9">
      <x:c r="A9" s="13" t="str">
        <x:v>REUTERS_ANN_00508</x:v>
      </x:c>
      <x:c r="B9" s="16" t="n">
        <x:v>39085</x:v>
      </x:c>
      <x:c r="C9" s="13" t="str">
        <x:v>gm, ford december u.s. sales down, toyota gains</x:v>
      </x:c>
      <x:c r="D9" s="13" t="str">
        <x:v>GM ve Ford’un Aralık ABD satışları düştü, Toyota kazanç sağladı.</x:v>
      </x:c>
      <x:c r="E9" s="13" t="n">
        <x:v>-1</x:v>
      </x:c>
      <x:c r="F9" s="13" t="str">
        <x:v>negative</x:v>
      </x:c>
      <x:c r="G9" s="18" t="n">
        <x:v>0.9752718806266784</x:v>
      </x:c>
      <x:c r="H9" s="13" t="str">
        <x:v>negative</x:v>
      </x:c>
      <x:c r="I9" s="13" t="n">
        <x:f>IF(H9="positive",1,IF(H9="negative",-1,0))</x:f>
        <x:v>-1</x:v>
      </x:c>
      <x:c r="J9" s="20" t="n">
        <x:v>0.82</x:v>
      </x:c>
      <x:c r="K9" s="13" t="str">
        <x:v>Başlıkta GM ve Ford satış düşüşü öne çıkıyor; sektör açısından baskı var.</x:v>
      </x:c>
      <x:c r="L9" s="13" t="str">
        <x:f>IF(F9=H9,"same","different/review")</x:f>
        <x:v>same</x:v>
      </x:c>
      <x:c r="M9" s="13" t="str">
        <x:f>IF(L9="same","OK","REVIEW")</x:f>
        <x:v>OK</x:v>
      </x:c>
      <x:c r="N9" s="13" t="str">
        <x:v>Manuel ChatGPT kontrolü tamamlandı</x:v>
      </x:c>
    </x:row>
    <x:row r="10">
      <x:c r="A10" s="13" t="str">
        <x:v>REUTERS_ANN_00509</x:v>
      </x:c>
      <x:c r="B10" s="16" t="n">
        <x:v>39031</x:v>
      </x:c>
      <x:c r="C10" s="13" t="str">
        <x:v>shire sues andrx for patent infringement</x:v>
      </x:c>
      <x:c r="D10" s="13" t="str">
        <x:v>Shire, patent ihlali nedeniyle Andrx’e dava açtı.</x:v>
      </x:c>
      <x:c r="E10" s="13" t="n">
        <x:v>-1</x:v>
      </x:c>
      <x:c r="F10" s="13" t="str">
        <x:v>negative</x:v>
      </x:c>
      <x:c r="G10" s="18" t="n">
        <x:v>0.5639583468437195</x:v>
      </x:c>
      <x:c r="H10" s="13" t="str">
        <x:v>negative</x:v>
      </x:c>
      <x:c r="I10" s="13" t="n">
        <x:f>IF(H10="positive",1,IF(H10="negative",-1,0))</x:f>
        <x:v>-1</x:v>
      </x:c>
      <x:c r="J10" s="20" t="n">
        <x:v>0.84</x:v>
      </x:c>
      <x:c r="K10" s="13" t="str">
        <x:v>Patent davası hukuki risk ve belirsizlik oluşturur.</x:v>
      </x:c>
      <x:c r="L10" s="13" t="str">
        <x:f>IF(F10=H10,"same","different/review")</x:f>
        <x:v>same</x:v>
      </x:c>
      <x:c r="M10" s="13" t="str">
        <x:f>IF(L10="same","OK","REVIEW")</x:f>
        <x:v>OK</x:v>
      </x:c>
      <x:c r="N10" s="13" t="str">
        <x:v>Manuel ChatGPT kontrolü tamamlandı</x:v>
      </x:c>
    </x:row>
    <x:row r="11">
      <x:c r="A11" s="13" t="str">
        <x:v>REUTERS_ANN_00510</x:v>
      </x:c>
      <x:c r="B11" s="16" t="n">
        <x:v>39072</x:v>
      </x:c>
      <x:c r="C11" s="13" t="str">
        <x:v>eli lillys zyprexa data didnt match paper</x:v>
      </x:c>
      <x:c r="D11" s="13" t="str">
        <x:v>Eli Lilly’nin Zyprexa verileri gazetedeki bilgilerle uyuşmadı.</x:v>
      </x:c>
      <x:c r="E11" s="13" t="n">
        <x:v>0</x:v>
      </x:c>
      <x:c r="F11" s="13" t="str">
        <x:v>neutral</x:v>
      </x:c>
      <x:c r="G11" s="18" t="n">
        <x:v>0.8302844762802124</x:v>
      </x:c>
      <x:c r="H11" s="13" t="str">
        <x:v>negative</x:v>
      </x:c>
      <x:c r="I11" s="13" t="n">
        <x:f>IF(H11="positive",1,IF(H11="negative",-1,0))</x:f>
        <x:v>-1</x:v>
      </x:c>
      <x:c r="J11" s="20" t="n">
        <x:v>0.76</x:v>
      </x:c>
      <x:c r="K11" s="13" t="str">
        <x:v>İlaç verilerindeki tutarsızlık güven ve regülasyon riski yaratır.</x:v>
      </x:c>
      <x:c r="L11" s="13" t="str">
        <x:f>IF(F11=H11,"same","different/review")</x:f>
        <x:v>different/review</x:v>
      </x:c>
      <x:c r="M11" s="13" t="str">
        <x:f>IF(L11="same","OK","REVIEW")</x:f>
        <x:v>REVIEW</x:v>
      </x:c>
      <x:c r="N11" s="13" t="str">
        <x:v>Manuel ChatGPT kontrolü tamamlandı</x:v>
      </x:c>
    </x:row>
    <x:row r="12">
      <x:c r="A12" s="13" t="str">
        <x:v>REUTERS_ANN_00511</x:v>
      </x:c>
      <x:c r="B12" s="16" t="n">
        <x:v>39190</x:v>
      </x:c>
      <x:c r="C12" s="13" t="str">
        <x:v>state farm seeks louisiana pact on hurricane cases</x:v>
      </x:c>
      <x:c r="D12" s="13" t="str">
        <x:v>State Farm, kasırga davaları için Louisiana ile anlaşma arıyor.</x:v>
      </x:c>
      <x:c r="E12" s="13" t="n">
        <x:v>1</x:v>
      </x:c>
      <x:c r="F12" s="13" t="str">
        <x:v>positive</x:v>
      </x:c>
      <x:c r="G12" s="18" t="n">
        <x:v>0.7774323225021362</x:v>
      </x:c>
      <x:c r="H12" s="13" t="str">
        <x:v>neutral</x:v>
      </x:c>
      <x:c r="I12" s="13" t="n">
        <x:f>IF(H12="positive",1,IF(H12="negative",-1,0))</x:f>
        <x:v>0</x:v>
      </x:c>
      <x:c r="J12" s="20" t="n">
        <x:v>0.66</x:v>
      </x:c>
      <x:c r="K12" s="13" t="str">
        <x:v>Uzlaşma arayışı olumlu olabilir ancak hukuki süreç devam ediyor; yön net değil.</x:v>
      </x:c>
      <x:c r="L12" s="13" t="str">
        <x:f>IF(F12=H12,"same","different/review")</x:f>
        <x:v>different/review</x:v>
      </x:c>
      <x:c r="M12" s="13" t="str">
        <x:f>IF(L12="same","OK","REVIEW")</x:f>
        <x:v>REVIEW</x:v>
      </x:c>
      <x:c r="N12" s="13" t="str">
        <x:v>Manuel ChatGPT kontrolü tamamlandı</x:v>
      </x:c>
    </x:row>
    <x:row r="13">
      <x:c r="A13" s="13" t="str">
        <x:v>REUTERS_ANN_00512</x:v>
      </x:c>
      <x:c r="B13" s="16" t="n">
        <x:v>39029</x:v>
      </x:c>
      <x:c r="C13" s="13" t="str">
        <x:v>google ceo denies rumor of youtube legal reserve</x:v>
      </x:c>
      <x:c r="D13" s="13" t="str">
        <x:v>Google CEO’su, YouTube için hukuki karşılık ayrıldığı söylentisini reddetti.</x:v>
      </x:c>
      <x:c r="E13" s="13" t="n">
        <x:v>0</x:v>
      </x:c>
      <x:c r="F13" s="13" t="str">
        <x:v>neutral</x:v>
      </x:c>
      <x:c r="G13" s="18" t="n">
        <x:v>0.8053152561187744</x:v>
      </x:c>
      <x:c r="H13" s="13" t="str">
        <x:v>neutral</x:v>
      </x:c>
      <x:c r="I13" s="13" t="n">
        <x:f>IF(H13="positive",1,IF(H13="negative",-1,0))</x:f>
        <x:v>0</x:v>
      </x:c>
      <x:c r="J13" s="20" t="n">
        <x:v>0.72</x:v>
      </x:c>
      <x:c r="K13" s="13" t="str">
        <x:v>Söylentinin reddi bilgi niteliğinde; doğrudan finansal yön zayıf.</x:v>
      </x:c>
      <x:c r="L13" s="13" t="str">
        <x:f>IF(F13=H13,"same","different/review")</x:f>
        <x:v>same</x:v>
      </x:c>
      <x:c r="M13" s="13" t="str">
        <x:f>IF(L13="same","OK","REVIEW")</x:f>
        <x:v>OK</x:v>
      </x:c>
      <x:c r="N13" s="13" t="str">
        <x:v>Manuel ChatGPT kontrolü tamamlandı</x:v>
      </x:c>
    </x:row>
    <x:row r="14">
      <x:c r="A14" s="13" t="str">
        <x:v>REUTERS_ANN_00513</x:v>
      </x:c>
      <x:c r="B14" s="16" t="n">
        <x:v>39093</x:v>
      </x:c>
      <x:c r="C14" s="13" t="str">
        <x:v>euronext regulator committee okays nyse merger</x:v>
      </x:c>
      <x:c r="D14" s="13" t="str">
        <x:v>Euronext düzenleyici komitesi NYSE birleşmesini onayladı.</x:v>
      </x:c>
      <x:c r="E14" s="13" t="n">
        <x:v>0</x:v>
      </x:c>
      <x:c r="F14" s="13" t="str">
        <x:v>neutral</x:v>
      </x:c>
      <x:c r="G14" s="18" t="n">
        <x:v>0.774023711681366</x:v>
      </x:c>
      <x:c r="H14" s="13" t="str">
        <x:v>positive</x:v>
      </x:c>
      <x:c r="I14" s="13" t="n">
        <x:f>IF(H14="positive",1,IF(H14="negative",-1,0))</x:f>
        <x:v>1</x:v>
      </x:c>
      <x:c r="J14" s="20" t="n">
        <x:v>0.86</x:v>
      </x:c>
      <x:c r="K14" s="13" t="str">
        <x:v>Birleşme onayı işlem ilerlemesi açısından olumlu.</x:v>
      </x:c>
      <x:c r="L14" s="13" t="str">
        <x:f>IF(F14=H14,"same","different/review")</x:f>
        <x:v>different/review</x:v>
      </x:c>
      <x:c r="M14" s="13" t="str">
        <x:f>IF(L14="same","OK","REVIEW")</x:f>
        <x:v>REVIEW</x:v>
      </x:c>
      <x:c r="N14" s="13" t="str">
        <x:v>Manuel ChatGPT kontrolü tamamlandı</x:v>
      </x:c>
    </x:row>
    <x:row r="15">
      <x:c r="A15" s="13" t="str">
        <x:v>REUTERS_ANN_00514</x:v>
      </x:c>
      <x:c r="B15" s="16" t="n">
        <x:v>39116</x:v>
      </x:c>
      <x:c r="C15" s="13" t="str">
        <x:v>chrysler reassuring dealers after inventory crisis</x:v>
      </x:c>
      <x:c r="D15" s="13" t="str">
        <x:v>Chrysler, stok krizi sonrası bayilere güvence veriyor.</x:v>
      </x:c>
      <x:c r="E15" s="13" t="n">
        <x:v>-1</x:v>
      </x:c>
      <x:c r="F15" s="13" t="str">
        <x:v>negative</x:v>
      </x:c>
      <x:c r="G15" s="18" t="n">
        <x:v>0.9586840271949768</x:v>
      </x:c>
      <x:c r="H15" s="13" t="str">
        <x:v>negative</x:v>
      </x:c>
      <x:c r="I15" s="13" t="n">
        <x:f>IF(H15="positive",1,IF(H15="negative",-1,0))</x:f>
        <x:v>-1</x:v>
      </x:c>
      <x:c r="J15" s="20" t="n">
        <x:v>0.84</x:v>
      </x:c>
      <x:c r="K15" s="13" t="str">
        <x:v>Stok krizi olumsuz temel sorun; güvence verilmesi riski tamamen kaldırmıyor.</x:v>
      </x:c>
      <x:c r="L15" s="13" t="str">
        <x:f>IF(F15=H15,"same","different/review")</x:f>
        <x:v>same</x:v>
      </x:c>
      <x:c r="M15" s="13" t="str">
        <x:f>IF(L15="same","OK","REVIEW")</x:f>
        <x:v>OK</x:v>
      </x:c>
      <x:c r="N15" s="13" t="str">
        <x:v>Manuel ChatGPT kontrolü tamamlandı</x:v>
      </x:c>
    </x:row>
    <x:row r="16">
      <x:c r="A16" s="13" t="str">
        <x:v>REUTERS_ANN_00515</x:v>
      </x:c>
      <x:c r="B16" s="16" t="n">
        <x:v>39169</x:v>
      </x:c>
      <x:c r="C16" s="13" t="str">
        <x:v>beazer facing widespread probe</x:v>
      </x:c>
      <x:c r="D16" s="13" t="str">
        <x:v>Beazer geniş kapsamlı bir soruşturmayla karşı karşıya.</x:v>
      </x:c>
      <x:c r="E16" s="13" t="n">
        <x:v>-1</x:v>
      </x:c>
      <x:c r="F16" s="13" t="str">
        <x:v>negative</x:v>
      </x:c>
      <x:c r="G16" s="18" t="n">
        <x:v>0.9654000401496888</x:v>
      </x:c>
      <x:c r="H16" s="13" t="str">
        <x:v>negative</x:v>
      </x:c>
      <x:c r="I16" s="13" t="n">
        <x:f>IF(H16="positive",1,IF(H16="negative",-1,0))</x:f>
        <x:v>-1</x:v>
      </x:c>
      <x:c r="J16" s="20" t="n">
        <x:v>0.95</x:v>
      </x:c>
      <x:c r="K16" s="13" t="str">
        <x:v>Geniş soruşturma açık hukuki ve itibar riski taşıyor.</x:v>
      </x:c>
      <x:c r="L16" s="13" t="str">
        <x:f>IF(F16=H16,"same","different/review")</x:f>
        <x:v>same</x:v>
      </x:c>
      <x:c r="M16" s="13" t="str">
        <x:f>IF(L16="same","OK","REVIEW")</x:f>
        <x:v>OK</x:v>
      </x:c>
      <x:c r="N16" s="13" t="str">
        <x:v>Manuel ChatGPT kontrolü tamamlandı</x:v>
      </x:c>
    </x:row>
    <x:row r="17">
      <x:c r="A17" s="13" t="str">
        <x:v>REUTERS_ANN_00516</x:v>
      </x:c>
      <x:c r="B17" s="16" t="n">
        <x:v>39114</x:v>
      </x:c>
      <x:c r="C17" s="13" t="str">
        <x:v>google shares fall despite analyst price upgrades</x:v>
      </x:c>
      <x:c r="D17" s="13" t="str">
        <x:v>Analistlerin fiyat hedefi artışlarına rağmen Google hisseleri düştü.</x:v>
      </x:c>
      <x:c r="E17" s="13" t="n">
        <x:v>-1</x:v>
      </x:c>
      <x:c r="F17" s="13" t="str">
        <x:v>negative</x:v>
      </x:c>
      <x:c r="G17" s="18" t="n">
        <x:v>0.9683248400688172</x:v>
      </x:c>
      <x:c r="H17" s="13" t="str">
        <x:v>negative</x:v>
      </x:c>
      <x:c r="I17" s="13" t="n">
        <x:f>IF(H17="positive",1,IF(H17="negative",-1,0))</x:f>
        <x:v>-1</x:v>
      </x:c>
      <x:c r="J17" s="20" t="n">
        <x:v>0.88</x:v>
      </x:c>
      <x:c r="K17" s="13" t="str">
        <x:v>Hisselerin düşmesi baskın piyasa sinyali; olumlu analist etkisini gölgeliyor.</x:v>
      </x:c>
      <x:c r="L17" s="13" t="str">
        <x:f>IF(F17=H17,"same","different/review")</x:f>
        <x:v>same</x:v>
      </x:c>
      <x:c r="M17" s="13" t="str">
        <x:f>IF(L17="same","OK","REVIEW")</x:f>
        <x:v>OK</x:v>
      </x:c>
      <x:c r="N17" s="13" t="str">
        <x:v>Manuel ChatGPT kontrolü tamamlandı</x:v>
      </x:c>
    </x:row>
    <x:row r="18">
      <x:c r="A18" s="13" t="str">
        <x:v>REUTERS_ANN_00517</x:v>
      </x:c>
      <x:c r="B18" s="16" t="n">
        <x:v>39013</x:v>
      </x:c>
      <x:c r="C18" s="13" t="str">
        <x:v>private equity groups form for tribune bid source</x:v>
      </x:c>
      <x:c r="D18" s="13" t="str">
        <x:v>Kaynağa göre özel sermaye grupları Tribune teklifi için oluşuyor.</x:v>
      </x:c>
      <x:c r="E18" s="13" t="n">
        <x:v>0</x:v>
      </x:c>
      <x:c r="F18" s="13" t="str">
        <x:v>neutral</x:v>
      </x:c>
      <x:c r="G18" s="18" t="n">
        <x:v>0.9270815253257751</x:v>
      </x:c>
      <x:c r="H18" s="13" t="str">
        <x:v>neutral</x:v>
      </x:c>
      <x:c r="I18" s="13" t="n">
        <x:f>IF(H18="positive",1,IF(H18="negative",-1,0))</x:f>
        <x:v>0</x:v>
      </x:c>
      <x:c r="J18" s="20" t="n">
        <x:v>0.8</x:v>
      </x:c>
      <x:c r="K18" s="13" t="str">
        <x:v>Olası teklif hazırlığı işlem haberi; sonuç ve fiyat etkisi net değil.</x:v>
      </x:c>
      <x:c r="L18" s="13" t="str">
        <x:f>IF(F18=H18,"same","different/review")</x:f>
        <x:v>same</x:v>
      </x:c>
      <x:c r="M18" s="13" t="str">
        <x:f>IF(L18="same","OK","REVIEW")</x:f>
        <x:v>OK</x:v>
      </x:c>
      <x:c r="N18" s="13" t="str">
        <x:v>Manuel ChatGPT kontrolü tamamlandı</x:v>
      </x:c>
    </x:row>
    <x:row r="19">
      <x:c r="A19" s="13" t="str">
        <x:v>REUTERS_ANN_00518</x:v>
      </x:c>
      <x:c r="B19" s="16" t="n">
        <x:v>39156</x:v>
      </x:c>
      <x:c r="C19" s="13" t="str">
        <x:v>factbox-details on subprime mortgage loan market</x:v>
      </x:c>
      <x:c r="D19" s="13" t="str">
        <x:v>Bilgi kutusu: yüksek riskli mortgage kredi piyasasına ilişkin ayrıntılar.</x:v>
      </x:c>
      <x:c r="E19" s="13" t="n">
        <x:v>-1</x:v>
      </x:c>
      <x:c r="F19" s="13" t="str">
        <x:v>negative</x:v>
      </x:c>
      <x:c r="G19" s="18" t="n">
        <x:v>0.6541814804077148</x:v>
      </x:c>
      <x:c r="H19" s="13" t="str">
        <x:v>neutral</x:v>
      </x:c>
      <x:c r="I19" s="13" t="n">
        <x:f>IF(H19="positive",1,IF(H19="negative",-1,0))</x:f>
        <x:v>0</x:v>
      </x:c>
      <x:c r="J19" s="20" t="n">
        <x:v>0.88</x:v>
      </x:c>
      <x:c r="K19" s="13" t="str">
        <x:v>Factbox/açıklayıcı içerik; yönlü haber değil.</x:v>
      </x:c>
      <x:c r="L19" s="13" t="str">
        <x:f>IF(F19=H19,"same","different/review")</x:f>
        <x:v>different/review</x:v>
      </x:c>
      <x:c r="M19" s="13" t="str">
        <x:f>IF(L19="same","OK","REVIEW")</x:f>
        <x:v>REVIEW</x:v>
      </x:c>
      <x:c r="N19" s="13" t="str">
        <x:v>Manuel ChatGPT kontrolü tamamlandı</x:v>
      </x:c>
    </x:row>
    <x:row r="20">
      <x:c r="A20" s="13" t="str">
        <x:v>REUTERS_ANN_00519</x:v>
      </x:c>
      <x:c r="B20" s="16" t="n">
        <x:v>39051</x:v>
      </x:c>
      <x:c r="C20" s="13" t="str">
        <x:v>pier 1 same-store sales slide holiday starts well</x:v>
      </x:c>
      <x:c r="D20" s="13" t="str">
        <x:v>Pier 1’in aynı mağaza satışları geriledi; tatil sezonu iyi başladı.</x:v>
      </x:c>
      <x:c r="E20" s="13" t="n">
        <x:v>-1</x:v>
      </x:c>
      <x:c r="F20" s="13" t="str">
        <x:v>negative</x:v>
      </x:c>
      <x:c r="G20" s="18" t="n">
        <x:v>0.97514808177948</x:v>
      </x:c>
      <x:c r="H20" s="13" t="str">
        <x:v>negative</x:v>
      </x:c>
      <x:c r="I20" s="13" t="n">
        <x:f>IF(H20="positive",1,IF(H20="negative",-1,0))</x:f>
        <x:v>-1</x:v>
      </x:c>
      <x:c r="J20" s="20" t="n">
        <x:v>0.78</x:v>
      </x:c>
      <x:c r="K20" s="13" t="str">
        <x:v>Satışlardaki kayma olumsuz; tatil başlangıcı ifadesi bunu sınırlı yumuşatıyor.</x:v>
      </x:c>
      <x:c r="L20" s="13" t="str">
        <x:f>IF(F20=H20,"same","different/review")</x:f>
        <x:v>same</x:v>
      </x:c>
      <x:c r="M20" s="13" t="str">
        <x:f>IF(L20="same","OK","REVIEW")</x:f>
        <x:v>OK</x:v>
      </x:c>
      <x:c r="N20" s="13" t="str">
        <x:v>Manuel ChatGPT kontrolü tamamlandı</x:v>
      </x:c>
    </x:row>
    <x:row r="21">
      <x:c r="A21" s="13" t="str">
        <x:v>REUTERS_ANN_00520</x:v>
      </x:c>
      <x:c r="B21" s="16" t="n">
        <x:v>39041</x:v>
      </x:c>
      <x:c r="C21" s="13" t="str">
        <x:v>update 6-bank of america buys schwabs us trust for $3.3bln</x:v>
      </x:c>
      <x:c r="D21" s="13" t="str">
        <x:v>Bank of America, Schwab’ın US Trust birimini 3,3 milyar dolara satın alıyor.</x:v>
      </x:c>
      <x:c r="E21" s="13" t="n">
        <x:v>1</x:v>
      </x:c>
      <x:c r="F21" s="13" t="str">
        <x:v>positive</x:v>
      </x:c>
      <x:c r="G21" s="18" t="n">
        <x:v>0.6826984286308289</x:v>
      </x:c>
      <x:c r="H21" s="13" t="str">
        <x:v>positive</x:v>
      </x:c>
      <x:c r="I21" s="13" t="n">
        <x:f>IF(H21="positive",1,IF(H21="negative",-1,0))</x:f>
        <x:v>1</x:v>
      </x:c>
      <x:c r="J21" s="20" t="n">
        <x:v>0.78</x:v>
      </x:c>
      <x:c r="K21" s="13" t="str">
        <x:v>Büyük satın alma stratejik büyüme ve varlık yönetimi genişlemesi sinyali veriyor.</x:v>
      </x:c>
      <x:c r="L21" s="13" t="str">
        <x:f>IF(F21=H21,"same","different/review")</x:f>
        <x:v>same</x:v>
      </x:c>
      <x:c r="M21" s="13" t="str">
        <x:f>IF(L21="same","OK","REVIEW")</x:f>
        <x:v>OK</x:v>
      </x:c>
      <x:c r="N21" s="13" t="str">
        <x:v>Manuel ChatGPT kontrolü tamamlandı</x:v>
      </x:c>
    </x:row>
    <x:row r="22">
      <x:c r="A22" s="13" t="str">
        <x:v>REUTERS_ANN_00521</x:v>
      </x:c>
      <x:c r="B22" s="16" t="n">
        <x:v>39073</x:v>
      </x:c>
      <x:c r="C22" s="13" t="str">
        <x:v>broadband seen as big task for directv under malone</x:v>
      </x:c>
      <x:c r="D22" s="13" t="str">
        <x:v>Malone yönetimindeki DirecTV için genişbant büyük bir görev olarak görülüyor.</x:v>
      </x:c>
      <x:c r="E22" s="13" t="n">
        <x:v>1</x:v>
      </x:c>
      <x:c r="F22" s="13" t="str">
        <x:v>positive</x:v>
      </x:c>
      <x:c r="G22" s="18" t="n">
        <x:v>0.567710280418396</x:v>
      </x:c>
      <x:c r="H22" s="13" t="str">
        <x:v>neutral</x:v>
      </x:c>
      <x:c r="I22" s="13" t="n">
        <x:f>IF(H22="positive",1,IF(H22="negative",-1,0))</x:f>
        <x:v>0</x:v>
      </x:c>
      <x:c r="J22" s="20" t="n">
        <x:v>0.67</x:v>
      </x:c>
      <x:c r="K22" s="13" t="str">
        <x:v>Büyüme alanı var fakat 'büyük görev' zorluk vurgusu taşıyor; net yön yok.</x:v>
      </x:c>
      <x:c r="L22" s="13" t="str">
        <x:f>IF(F22=H22,"same","different/review")</x:f>
        <x:v>different/review</x:v>
      </x:c>
      <x:c r="M22" s="13" t="str">
        <x:f>IF(L22="same","OK","REVIEW")</x:f>
        <x:v>REVIEW</x:v>
      </x:c>
      <x:c r="N22" s="13" t="str">
        <x:v>Manuel ChatGPT kontrolü tamamlandı</x:v>
      </x:c>
    </x:row>
    <x:row r="23">
      <x:c r="A23" s="13" t="str">
        <x:v>REUTERS_ANN_00522</x:v>
      </x:c>
      <x:c r="B23" s="16" t="n">
        <x:v>39030</x:v>
      </x:c>
      <x:c r="C23" s="13" t="str">
        <x:v>cisco results show rising demand for internet video</x:v>
      </x:c>
      <x:c r="D23" s="13" t="str">
        <x:v>Cisco sonuçları internet videosuna yönelik talebin arttığını gösteriyor.</x:v>
      </x:c>
      <x:c r="E23" s="13" t="n">
        <x:v>1</x:v>
      </x:c>
      <x:c r="F23" s="13" t="str">
        <x:v>positive</x:v>
      </x:c>
      <x:c r="G23" s="18" t="n">
        <x:v>0.9367673397064208</x:v>
      </x:c>
      <x:c r="H23" s="13" t="str">
        <x:v>positive</x:v>
      </x:c>
      <x:c r="I23" s="13" t="n">
        <x:f>IF(H23="positive",1,IF(H23="negative",-1,0))</x:f>
        <x:v>1</x:v>
      </x:c>
      <x:c r="J23" s="20" t="n">
        <x:v>0.91</x:v>
      </x:c>
      <x:c r="K23" s="13" t="str">
        <x:v>Artan talep şirket gelirleri ve sektör görünümü açısından olumlu.</x:v>
      </x:c>
      <x:c r="L23" s="13" t="str">
        <x:f>IF(F23=H23,"same","different/review")</x:f>
        <x:v>same</x:v>
      </x:c>
      <x:c r="M23" s="13" t="str">
        <x:f>IF(L23="same","OK","REVIEW")</x:f>
        <x:v>OK</x:v>
      </x:c>
      <x:c r="N23" s="13" t="str">
        <x:v>Manuel ChatGPT kontrolü tamamlandı</x:v>
      </x:c>
    </x:row>
    <x:row r="24">
      <x:c r="A24" s="13" t="str">
        <x:v>REUTERS_ANN_00523</x:v>
      </x:c>
      <x:c r="B24" s="16" t="n">
        <x:v>39078</x:v>
      </x:c>
      <x:c r="C24" s="13" t="str">
        <x:v>alcoa cleveland works uaw workers ratify contract</x:v>
      </x:c>
      <x:c r="D24" s="13" t="str">
        <x:v>Alcoa Cleveland Works’teki UAW işçileri sözleşmeyi onayladı.</x:v>
      </x:c>
      <x:c r="E24" s="13" t="n">
        <x:v>-1</x:v>
      </x:c>
      <x:c r="F24" s="13" t="str">
        <x:v>negative</x:v>
      </x:c>
      <x:c r="G24" s="18" t="n">
        <x:v>0.934209167957306</x:v>
      </x:c>
      <x:c r="H24" s="13" t="str">
        <x:v>positive</x:v>
      </x:c>
      <x:c r="I24" s="13" t="n">
        <x:f>IF(H24="positive",1,IF(H24="negative",-1,0))</x:f>
        <x:v>1</x:v>
      </x:c>
      <x:c r="J24" s="20" t="n">
        <x:v>0.76</x:v>
      </x:c>
      <x:c r="K24" s="13" t="str">
        <x:v>Sözleşme onayı iş gücü belirsizliğini azaltır ve operasyonel süreklilik sağlar.</x:v>
      </x:c>
      <x:c r="L24" s="13" t="str">
        <x:f>IF(F24=H24,"same","different/review")</x:f>
        <x:v>different/review</x:v>
      </x:c>
      <x:c r="M24" s="13" t="str">
        <x:f>IF(L24="same","OK","REVIEW")</x:f>
        <x:v>REVIEW</x:v>
      </x:c>
      <x:c r="N24" s="13" t="str">
        <x:v>Manuel ChatGPT kontrolü tamamlandı</x:v>
      </x:c>
    </x:row>
    <x:row r="25">
      <x:c r="A25" s="13" t="str">
        <x:v>REUTERS_ANN_00524</x:v>
      </x:c>
      <x:c r="B25" s="16" t="n">
        <x:v>39028</x:v>
      </x:c>
      <x:c r="C25" s="13" t="str">
        <x:v>japan govt body to unload 43 mln toyota shares</x:v>
      </x:c>
      <x:c r="D25" s="13" t="str">
        <x:v>Japon kamu kurumu 43 milyon Toyota hissesini elden çıkaracak.</x:v>
      </x:c>
      <x:c r="E25" s="13" t="n">
        <x:v>0</x:v>
      </x:c>
      <x:c r="F25" s="13" t="str">
        <x:v>neutral</x:v>
      </x:c>
      <x:c r="G25" s="18" t="n">
        <x:v>0.8027433156967163</x:v>
      </x:c>
      <x:c r="H25" s="13" t="str">
        <x:v>neutral</x:v>
      </x:c>
      <x:c r="I25" s="13" t="n">
        <x:f>IF(H25="positive",1,IF(H25="negative",-1,0))</x:f>
        <x:v>0</x:v>
      </x:c>
      <x:c r="J25" s="20" t="n">
        <x:v>0.66</x:v>
      </x:c>
      <x:c r="K25" s="13" t="str">
        <x:v>Hisse satışı arz baskısı yaratabilir ancak işlem niteliği net; yön sınırlı.</x:v>
      </x:c>
      <x:c r="L25" s="13" t="str">
        <x:f>IF(F25=H25,"same","different/review")</x:f>
        <x:v>same</x:v>
      </x:c>
      <x:c r="M25" s="13" t="str">
        <x:f>IF(L25="same","OK","REVIEW")</x:f>
        <x:v>OK</x:v>
      </x:c>
      <x:c r="N25" s="13" t="str">
        <x:v>Manuel ChatGPT kontrolü tamamlandı</x:v>
      </x:c>
    </x:row>
    <x:row r="26">
      <x:c r="A26" s="13" t="str">
        <x:v>REUTERS_ANN_00525</x:v>
      </x:c>
      <x:c r="B26" s="16" t="n">
        <x:v>39055</x:v>
      </x:c>
      <x:c r="C26" s="13" t="str">
        <x:v>drugs like pfizers to get more scrutiny fda</x:v>
      </x:c>
      <x:c r="D26" s="13" t="str">
        <x:v>FDA, Pfizer’ınkine benzer ilaçları daha fazla incelemeye alacak.</x:v>
      </x:c>
      <x:c r="E26" s="13" t="n">
        <x:v>0</x:v>
      </x:c>
      <x:c r="F26" s="13" t="str">
        <x:v>neutral</x:v>
      </x:c>
      <x:c r="G26" s="18" t="n">
        <x:v>0.7451967000961304</x:v>
      </x:c>
      <x:c r="H26" s="13" t="str">
        <x:v>negative</x:v>
      </x:c>
      <x:c r="I26" s="13" t="n">
        <x:f>IF(H26="positive",1,IF(H26="negative",-1,0))</x:f>
        <x:v>-1</x:v>
      </x:c>
      <x:c r="J26" s="20" t="n">
        <x:v>0.8</x:v>
      </x:c>
      <x:c r="K26" s="13" t="str">
        <x:v>Daha sıkı inceleme regülasyon ve onay riski doğurur.</x:v>
      </x:c>
      <x:c r="L26" s="13" t="str">
        <x:f>IF(F26=H26,"same","different/review")</x:f>
        <x:v>different/review</x:v>
      </x:c>
      <x:c r="M26" s="13" t="str">
        <x:f>IF(L26="same","OK","REVIEW")</x:f>
        <x:v>REVIEW</x:v>
      </x:c>
      <x:c r="N26" s="13" t="str">
        <x:v>Manuel ChatGPT kontrolü tamamlandı</x:v>
      </x:c>
    </x:row>
    <x:row r="27">
      <x:c r="A27" s="13" t="str">
        <x:v>REUTERS_ANN_00526</x:v>
      </x:c>
      <x:c r="B27" s="16" t="n">
        <x:v>39206</x:v>
      </x:c>
      <x:c r="C27" s="13" t="str">
        <x:v>hovnanian sees loss bigger than previously thought</x:v>
      </x:c>
      <x:c r="D27" s="13" t="str">
        <x:v>Hovnanian, zararın önceden düşünülenden daha büyük olacağını görüyor.</x:v>
      </x:c>
      <x:c r="E27" s="13" t="n">
        <x:v>-1</x:v>
      </x:c>
      <x:c r="F27" s="13" t="str">
        <x:v>negative</x:v>
      </x:c>
      <x:c r="G27" s="18" t="n">
        <x:v>0.9700371623039246</x:v>
      </x:c>
      <x:c r="H27" s="13" t="str">
        <x:v>negative</x:v>
      </x:c>
      <x:c r="I27" s="13" t="n">
        <x:f>IF(H27="positive",1,IF(H27="negative",-1,0))</x:f>
        <x:v>-1</x:v>
      </x:c>
      <x:c r="J27" s="20" t="n">
        <x:v>0.96</x:v>
      </x:c>
      <x:c r="K27" s="13" t="str">
        <x:v>Beklenenden büyük zarar açık olumsuz finansal sinyal.</x:v>
      </x:c>
      <x:c r="L27" s="13" t="str">
        <x:f>IF(F27=H27,"same","different/review")</x:f>
        <x:v>same</x:v>
      </x:c>
      <x:c r="M27" s="13" t="str">
        <x:f>IF(L27="same","OK","REVIEW")</x:f>
        <x:v>OK</x:v>
      </x:c>
      <x:c r="N27" s="13" t="str">
        <x:v>Manuel ChatGPT kontrolü tamamlandı</x:v>
      </x:c>
    </x:row>
    <x:row r="28">
      <x:c r="A28" s="13" t="str">
        <x:v>REUTERS_ANN_00527</x:v>
      </x:c>
      <x:c r="B28" s="16" t="n">
        <x:v>39045</x:v>
      </x:c>
      <x:c r="C28" s="13" t="str">
        <x:v>hk ooil shares surge on terminal sale</x:v>
      </x:c>
      <x:c r="D28" s="13" t="str">
        <x:v>Hong Kong’da OOIL hisseleri terminal satışıyla yükseldi.</x:v>
      </x:c>
      <x:c r="E28" s="13" t="n">
        <x:v>1</x:v>
      </x:c>
      <x:c r="F28" s="13" t="str">
        <x:v>positive</x:v>
      </x:c>
      <x:c r="G28" s="18" t="n">
        <x:v>0.9300899505615234</x:v>
      </x:c>
      <x:c r="H28" s="13" t="str">
        <x:v>positive</x:v>
      </x:c>
      <x:c r="I28" s="13" t="n">
        <x:f>IF(H28="positive",1,IF(H28="negative",-1,0))</x:f>
        <x:v>1</x:v>
      </x:c>
      <x:c r="J28" s="20" t="n">
        <x:v>0.91</x:v>
      </x:c>
      <x:c r="K28" s="13" t="str">
        <x:v>Hisse yükselişi ve varlık satışı piyasada olumlu algılanmış.</x:v>
      </x:c>
      <x:c r="L28" s="13" t="str">
        <x:f>IF(F28=H28,"same","different/review")</x:f>
        <x:v>same</x:v>
      </x:c>
      <x:c r="M28" s="13" t="str">
        <x:f>IF(L28="same","OK","REVIEW")</x:f>
        <x:v>OK</x:v>
      </x:c>
      <x:c r="N28" s="13" t="str">
        <x:v>Manuel ChatGPT kontrolü tamamlandı</x:v>
      </x:c>
    </x:row>
    <x:row r="29">
      <x:c r="A29" s="13" t="str">
        <x:v>REUTERS_ANN_00528</x:v>
      </x:c>
      <x:c r="B29" s="16" t="n">
        <x:v>39072</x:v>
      </x:c>
      <x:c r="C29" s="13" t="str">
        <x:v>bad weather insurers tout profit protection</x:v>
      </x:c>
      <x:c r="D29" s="13" t="str">
        <x:v>Kötü hava koşullarına karşı sigortacılar kâr korumasını öne çıkarıyor.</x:v>
      </x:c>
      <x:c r="E29" s="13" t="n">
        <x:v>0</x:v>
      </x:c>
      <x:c r="F29" s="13" t="str">
        <x:v>neutral</x:v>
      </x:c>
      <x:c r="G29" s="18" t="n">
        <x:v>0.8799330592155457</x:v>
      </x:c>
      <x:c r="H29" s="13" t="str">
        <x:v>positive</x:v>
      </x:c>
      <x:c r="I29" s="13" t="n">
        <x:f>IF(H29="positive",1,IF(H29="negative",-1,0))</x:f>
        <x:v>1</x:v>
      </x:c>
      <x:c r="J29" s="20" t="n">
        <x:v>0.72</x:v>
      </x:c>
      <x:c r="K29" s="13" t="str">
        <x:v>Kâr koruması vurgusu sigortacılar için risk yönetimi açısından olumlu.</x:v>
      </x:c>
      <x:c r="L29" s="13" t="str">
        <x:f>IF(F29=H29,"same","different/review")</x:f>
        <x:v>different/review</x:v>
      </x:c>
      <x:c r="M29" s="13" t="str">
        <x:f>IF(L29="same","OK","REVIEW")</x:f>
        <x:v>REVIEW</x:v>
      </x:c>
      <x:c r="N29" s="13" t="str">
        <x:v>Manuel ChatGPT kontrolü tamamlandı</x:v>
      </x:c>
    </x:row>
    <x:row r="30">
      <x:c r="A30" s="13" t="str">
        <x:v>REUTERS_ANN_00529</x:v>
      </x:c>
      <x:c r="B30" s="16" t="n">
        <x:v>39132</x:v>
      </x:c>
      <x:c r="C30" s="13" t="str">
        <x:v>australias suncorp says first half profit up</x:v>
      </x:c>
      <x:c r="D30" s="13" t="str">
        <x:v>Avustralyalı Suncorp ilk yarı kârının arttığını söyledi.</x:v>
      </x:c>
      <x:c r="E30" s="13" t="n">
        <x:v>1</x:v>
      </x:c>
      <x:c r="F30" s="13" t="str">
        <x:v>positive</x:v>
      </x:c>
      <x:c r="G30" s="18" t="n">
        <x:v>0.9503602981567384</x:v>
      </x:c>
      <x:c r="H30" s="13" t="str">
        <x:v>positive</x:v>
      </x:c>
      <x:c r="I30" s="13" t="n">
        <x:f>IF(H30="positive",1,IF(H30="negative",-1,0))</x:f>
        <x:v>1</x:v>
      </x:c>
      <x:c r="J30" s="20" t="n">
        <x:v>0.94</x:v>
      </x:c>
      <x:c r="K30" s="13" t="str">
        <x:v>Kâr artışı doğrudan olumlu finansal sonuçtur.</x:v>
      </x:c>
      <x:c r="L30" s="13" t="str">
        <x:f>IF(F30=H30,"same","different/review")</x:f>
        <x:v>same</x:v>
      </x:c>
      <x:c r="M30" s="13" t="str">
        <x:f>IF(L30="same","OK","REVIEW")</x:f>
        <x:v>OK</x:v>
      </x:c>
      <x:c r="N30" s="13" t="str">
        <x:v>Manuel ChatGPT kontrolü tamamlandı</x:v>
      </x:c>
    </x:row>
    <x:row r="31">
      <x:c r="A31" s="13" t="str">
        <x:v>REUTERS_ANN_00530</x:v>
      </x:c>
      <x:c r="B31" s="16" t="n">
        <x:v>39027</x:v>
      </x:c>
      <x:c r="C31" s="13" t="str">
        <x:v>u.s. stocks rally on deals on day before elections</x:v>
      </x:c>
      <x:c r="D31" s="13" t="str">
        <x:v>ABD hisseleri seçimlerden bir gün önce anlaşmaların etkisiyle ralli yaptı.</x:v>
      </x:c>
      <x:c r="E31" s="13" t="n">
        <x:v>1</x:v>
      </x:c>
      <x:c r="F31" s="13" t="str">
        <x:v>positive</x:v>
      </x:c>
      <x:c r="G31" s="18" t="n">
        <x:v>0.9135791659355164</x:v>
      </x:c>
      <x:c r="H31" s="13" t="str">
        <x:v>positive</x:v>
      </x:c>
      <x:c r="I31" s="13" t="n">
        <x:f>IF(H31="positive",1,IF(H31="negative",-1,0))</x:f>
        <x:v>1</x:v>
      </x:c>
      <x:c r="J31" s="20" t="n">
        <x:v>0.92</x:v>
      </x:c>
      <x:c r="K31" s="13" t="str">
        <x:v>Piyasa rallisi ve anlaşma desteği olumlu sentiment oluşturuyor.</x:v>
      </x:c>
      <x:c r="L31" s="13" t="str">
        <x:f>IF(F31=H31,"same","different/review")</x:f>
        <x:v>same</x:v>
      </x:c>
      <x:c r="M31" s="13" t="str">
        <x:f>IF(L31="same","OK","REVIEW")</x:f>
        <x:v>OK</x:v>
      </x:c>
      <x:c r="N31" s="13" t="str">
        <x:v>Manuel ChatGPT kontrolü tamamlandı</x:v>
      </x:c>
    </x:row>
    <x:row r="32">
      <x:c r="A32" s="13" t="str">
        <x:v>REUTERS_ANN_00531</x:v>
      </x:c>
      <x:c r="B32" s="16" t="n">
        <x:v>39101</x:v>
      </x:c>
      <x:c r="C32" s="13" t="str">
        <x:v>morgan stanley unit to pay $6.6 bln for cnl hotels</x:v>
      </x:c>
      <x:c r="D32" s="13" t="str">
        <x:v>Morgan Stanley birimi CNL Hotels için 6,6 milyar dolar ödeyecek.</x:v>
      </x:c>
      <x:c r="E32" s="13" t="n">
        <x:v>0</x:v>
      </x:c>
      <x:c r="F32" s="13" t="str">
        <x:v>neutral</x:v>
      </x:c>
      <x:c r="G32" s="18" t="n">
        <x:v>0.9343072772026062</x:v>
      </x:c>
      <x:c r="H32" s="13" t="str">
        <x:v>neutral</x:v>
      </x:c>
      <x:c r="I32" s="13" t="n">
        <x:f>IF(H32="positive",1,IF(H32="negative",-1,0))</x:f>
        <x:v>0</x:v>
      </x:c>
      <x:c r="J32" s="20" t="n">
        <x:v>0.78</x:v>
      </x:c>
      <x:c r="K32" s="13" t="str">
        <x:v>Satın alma işlemi haberidir; değer yaratımı veya piyasa tepkisi net değil.</x:v>
      </x:c>
      <x:c r="L32" s="13" t="str">
        <x:f>IF(F32=H32,"same","different/review")</x:f>
        <x:v>same</x:v>
      </x:c>
      <x:c r="M32" s="13" t="str">
        <x:f>IF(L32="same","OK","REVIEW")</x:f>
        <x:v>OK</x:v>
      </x:c>
      <x:c r="N32" s="13" t="str">
        <x:v>Manuel ChatGPT kontrolü tamamlandı</x:v>
      </x:c>
    </x:row>
    <x:row r="33">
      <x:c r="A33" s="13" t="str">
        <x:v>REUTERS_ANN_00532</x:v>
      </x:c>
      <x:c r="B33" s="16" t="n">
        <x:v>39155</x:v>
      </x:c>
      <x:c r="C33" s="13" t="str">
        <x:v>housing woes deepen in industrial heartland</x:v>
      </x:c>
      <x:c r="D33" s="13" t="str">
        <x:v>Konut sorunları sanayi kuşağında derinleşiyor.</x:v>
      </x:c>
      <x:c r="E33" s="13" t="n">
        <x:v>-1</x:v>
      </x:c>
      <x:c r="F33" s="13" t="str">
        <x:v>negative</x:v>
      </x:c>
      <x:c r="G33" s="18" t="n">
        <x:v>0.9626011848449708</x:v>
      </x:c>
      <x:c r="H33" s="13" t="str">
        <x:v>negative</x:v>
      </x:c>
      <x:c r="I33" s="13" t="n">
        <x:f>IF(H33="positive",1,IF(H33="negative",-1,0))</x:f>
        <x:v>-1</x:v>
      </x:c>
      <x:c r="J33" s="20" t="n">
        <x:v>0.95</x:v>
      </x:c>
      <x:c r="K33" s="13" t="str">
        <x:v>Konut piyasasındaki sorunların derinleşmesi açık makro/finansal olumsuzluk.</x:v>
      </x:c>
      <x:c r="L33" s="13" t="str">
        <x:f>IF(F33=H33,"same","different/review")</x:f>
        <x:v>same</x:v>
      </x:c>
      <x:c r="M33" s="13" t="str">
        <x:f>IF(L33="same","OK","REVIEW")</x:f>
        <x:v>OK</x:v>
      </x:c>
      <x:c r="N33" s="13" t="str">
        <x:v>Manuel ChatGPT kontrolü tamamlandı</x:v>
      </x:c>
    </x:row>
    <x:row r="34">
      <x:c r="A34" s="13" t="str">
        <x:v>REUTERS_ANN_00533</x:v>
      </x:c>
      <x:c r="B34" s="16" t="n">
        <x:v>39209</x:v>
      </x:c>
      <x:c r="C34" s="13" t="str">
        <x:v>star witness radler tied to black at trial</x:v>
      </x:c>
      <x:c r="D34" s="13" t="str">
        <x:v>Baş tanık Radler, davada Black ile ilişkilendirildi.</x:v>
      </x:c>
      <x:c r="E34" s="13" t="n">
        <x:v>1</x:v>
      </x:c>
      <x:c r="F34" s="13" t="str">
        <x:v>positive</x:v>
      </x:c>
      <x:c r="G34" s="18" t="n">
        <x:v>0.5460283756256104</x:v>
      </x:c>
      <x:c r="H34" s="13" t="str">
        <x:v>negative</x:v>
      </x:c>
      <x:c r="I34" s="13" t="n">
        <x:f>IF(H34="positive",1,IF(H34="negative",-1,0))</x:f>
        <x:v>-1</x:v>
      </x:c>
      <x:c r="J34" s="20" t="n">
        <x:v>0.82</x:v>
      </x:c>
      <x:c r="K34" s="13" t="str">
        <x:v>Dava ve tanık bağlantısı hukuki risk ve olumsuz haber akışı taşır.</x:v>
      </x:c>
      <x:c r="L34" s="13" t="str">
        <x:f>IF(F34=H34,"same","different/review")</x:f>
        <x:v>different/review</x:v>
      </x:c>
      <x:c r="M34" s="13" t="str">
        <x:f>IF(L34="same","OK","REVIEW")</x:f>
        <x:v>REVIEW</x:v>
      </x:c>
      <x:c r="N34" s="13" t="str">
        <x:v>Manuel ChatGPT kontrolü tamamlandı</x:v>
      </x:c>
    </x:row>
    <x:row r="35">
      <x:c r="A35" s="13" t="str">
        <x:v>REUTERS_ANN_00534</x:v>
      </x:c>
      <x:c r="B35" s="16" t="n">
        <x:v>39121</x:v>
      </x:c>
      <x:c r="C35" s="13" t="str">
        <x:v>indexes slip as hsbc, new century warn on bad loans</x:v>
      </x:c>
      <x:c r="D35" s="13" t="str">
        <x:v>HSBC ve New Century’nin kötü kredi uyarılarıyla endeksler geriledi.</x:v>
      </x:c>
      <x:c r="E35" s="13" t="n">
        <x:v>-1</x:v>
      </x:c>
      <x:c r="F35" s="13" t="str">
        <x:v>negative</x:v>
      </x:c>
      <x:c r="G35" s="18" t="n">
        <x:v>0.971197783946991</x:v>
      </x:c>
      <x:c r="H35" s="13" t="str">
        <x:v>negative</x:v>
      </x:c>
      <x:c r="I35" s="13" t="n">
        <x:f>IF(H35="positive",1,IF(H35="negative",-1,0))</x:f>
        <x:v>-1</x:v>
      </x:c>
      <x:c r="J35" s="20" t="n">
        <x:v>0.95</x:v>
      </x:c>
      <x:c r="K35" s="13" t="str">
        <x:v>Endeks düşüşü ve kötü kredi uyarıları güçlü olumsuz piyasa sinyali.</x:v>
      </x:c>
      <x:c r="L35" s="13" t="str">
        <x:f>IF(F35=H35,"same","different/review")</x:f>
        <x:v>same</x:v>
      </x:c>
      <x:c r="M35" s="13" t="str">
        <x:f>IF(L35="same","OK","REVIEW")</x:f>
        <x:v>OK</x:v>
      </x:c>
      <x:c r="N35" s="13" t="str">
        <x:v>Manuel ChatGPT kontrolü tamamlandı</x:v>
      </x:c>
    </x:row>
    <x:row r="36">
      <x:c r="A36" s="13" t="str">
        <x:v>REUTERS_ANN_00535</x:v>
      </x:c>
      <x:c r="B36" s="16" t="n">
        <x:v>39202</x:v>
      </x:c>
      <x:c r="C36" s="13" t="str">
        <x:v>property buyouts seen good for small buyers survey</x:v>
      </x:c>
      <x:c r="D36" s="13" t="str">
        <x:v>Ankete göre gayrimenkul satın almaları küçük alıcılar için iyi görülüyor.</x:v>
      </x:c>
      <x:c r="E36" s="13" t="n">
        <x:v>1</x:v>
      </x:c>
      <x:c r="F36" s="13" t="str">
        <x:v>positive</x:v>
      </x:c>
      <x:c r="G36" s="18" t="n">
        <x:v>0.8352780342102051</x:v>
      </x:c>
      <x:c r="H36" s="13" t="str">
        <x:v>positive</x:v>
      </x:c>
      <x:c r="I36" s="13" t="n">
        <x:f>IF(H36="positive",1,IF(H36="negative",-1,0))</x:f>
        <x:v>1</x:v>
      </x:c>
      <x:c r="J36" s="20" t="n">
        <x:v>0.74</x:v>
      </x:c>
      <x:c r="K36" s="13" t="str">
        <x:v>Satın almaların küçük alıcılar için faydalı olduğu belirtiliyor; olumlu algı var.</x:v>
      </x:c>
      <x:c r="L36" s="13" t="str">
        <x:f>IF(F36=H36,"same","different/review")</x:f>
        <x:v>same</x:v>
      </x:c>
      <x:c r="M36" s="13" t="str">
        <x:f>IF(L36="same","OK","REVIEW")</x:f>
        <x:v>OK</x:v>
      </x:c>
      <x:c r="N36" s="13" t="str">
        <x:v>Manuel ChatGPT kontrolü tamamlandı</x:v>
      </x:c>
    </x:row>
    <x:row r="37">
      <x:c r="A37" s="13" t="str">
        <x:v>REUTERS_ANN_00536</x:v>
      </x:c>
      <x:c r="B37" s="16" t="n">
        <x:v>39069</x:v>
      </x:c>
      <x:c r="C37" s="13" t="str">
        <x:v>oracle q2 profit rises</x:v>
      </x:c>
      <x:c r="D37" s="13" t="str">
        <x:v>Oracle’ın ikinci çeyrek kârı arttı.</x:v>
      </x:c>
      <x:c r="E37" s="13" t="n">
        <x:v>1</x:v>
      </x:c>
      <x:c r="F37" s="13" t="str">
        <x:v>positive</x:v>
      </x:c>
      <x:c r="G37" s="18" t="n">
        <x:v>0.9522071480751038</x:v>
      </x:c>
      <x:c r="H37" s="13" t="str">
        <x:v>positive</x:v>
      </x:c>
      <x:c r="I37" s="13" t="n">
        <x:f>IF(H37="positive",1,IF(H37="negative",-1,0))</x:f>
        <x:v>1</x:v>
      </x:c>
      <x:c r="J37" s="20" t="n">
        <x:v>0.95</x:v>
      </x:c>
      <x:c r="K37" s="13" t="str">
        <x:v>Kâr artışı doğrudan olumlu şirket performansı gösterir.</x:v>
      </x:c>
      <x:c r="L37" s="13" t="str">
        <x:f>IF(F37=H37,"same","different/review")</x:f>
        <x:v>same</x:v>
      </x:c>
      <x:c r="M37" s="13" t="str">
        <x:f>IF(L37="same","OK","REVIEW")</x:f>
        <x:v>OK</x:v>
      </x:c>
      <x:c r="N37" s="13" t="str">
        <x:v>Manuel ChatGPT kontrolü tamamlandı</x:v>
      </x:c>
    </x:row>
    <x:row r="38">
      <x:c r="A38" s="13" t="str">
        <x:v>REUTERS_ANN_00537</x:v>
      </x:c>
      <x:c r="B38" s="16" t="n">
        <x:v>39205</x:v>
      </x:c>
      <x:c r="C38" s="13" t="str">
        <x:v>cablevision posts narrower loss</x:v>
      </x:c>
      <x:c r="D38" s="13" t="str">
        <x:v>Cablevision daha dar zarar açıkladı.</x:v>
      </x:c>
      <x:c r="E38" s="13" t="n">
        <x:v>-1</x:v>
      </x:c>
      <x:c r="F38" s="13" t="str">
        <x:v>negative</x:v>
      </x:c>
      <x:c r="G38" s="18" t="n">
        <x:v>0.7250716090202332</x:v>
      </x:c>
      <x:c r="H38" s="13" t="str">
        <x:v>positive</x:v>
      </x:c>
      <x:c r="I38" s="13" t="n">
        <x:f>IF(H38="positive",1,IF(H38="negative",-1,0))</x:f>
        <x:v>1</x:v>
      </x:c>
      <x:c r="J38" s="20" t="n">
        <x:v>0.7</x:v>
      </x:c>
      <x:c r="K38" s="13" t="str">
        <x:v>Zarar devam etse de daralması finansal iyileşme işaretidir.</x:v>
      </x:c>
      <x:c r="L38" s="13" t="str">
        <x:f>IF(F38=H38,"same","different/review")</x:f>
        <x:v>different/review</x:v>
      </x:c>
      <x:c r="M38" s="13" t="str">
        <x:f>IF(L38="same","OK","REVIEW")</x:f>
        <x:v>REVIEW</x:v>
      </x:c>
      <x:c r="N38" s="13" t="str">
        <x:v>Manuel ChatGPT kontrolü tamamlandı</x:v>
      </x:c>
    </x:row>
    <x:row r="39">
      <x:c r="A39" s="13" t="str">
        <x:v>REUTERS_ANN_00538</x:v>
      </x:c>
      <x:c r="B39" s="16" t="n">
        <x:v>39189</x:v>
      </x:c>
      <x:c r="C39" s="13" t="str">
        <x:v>coast guard beefs up deepwater project oversight</x:v>
      </x:c>
      <x:c r="D39" s="13" t="str">
        <x:v>Sahil Güvenlik Deepwater projesi denetimini güçlendiriyor.</x:v>
      </x:c>
      <x:c r="E39" s="13" t="n">
        <x:v>1</x:v>
      </x:c>
      <x:c r="F39" s="13" t="str">
        <x:v>positive</x:v>
      </x:c>
      <x:c r="G39" s="18" t="n">
        <x:v>0.6940532922744751</x:v>
      </x:c>
      <x:c r="H39" s="13" t="str">
        <x:v>neutral</x:v>
      </x:c>
      <x:c r="I39" s="13" t="n">
        <x:f>IF(H39="positive",1,IF(H39="negative",-1,0))</x:f>
        <x:v>0</x:v>
      </x:c>
      <x:c r="J39" s="20" t="n">
        <x:v>0.66</x:v>
      </x:c>
      <x:c r="K39" s="13" t="str">
        <x:v>Denetim artışı proje riski ima etse de başlık doğrudan finansal sonuç vermiyor.</x:v>
      </x:c>
      <x:c r="L39" s="13" t="str">
        <x:f>IF(F39=H39,"same","different/review")</x:f>
        <x:v>different/review</x:v>
      </x:c>
      <x:c r="M39" s="13" t="str">
        <x:f>IF(L39="same","OK","REVIEW")</x:f>
        <x:v>REVIEW</x:v>
      </x:c>
      <x:c r="N39" s="13" t="str">
        <x:v>Manuel ChatGPT kontrolü tamamlandı</x:v>
      </x:c>
    </x:row>
    <x:row r="40">
      <x:c r="A40" s="13" t="str">
        <x:v>REUTERS_ANN_00539</x:v>
      </x:c>
      <x:c r="B40" s="16" t="n">
        <x:v>39087</x:v>
      </x:c>
      <x:c r="C40" s="13" t="str">
        <x:v>home depots new chief has much repair work to do</x:v>
      </x:c>
      <x:c r="D40" s="13" t="str">
        <x:v>Home Depot’un yeni CEO’sunun yapması gereken çok onarım işi var.</x:v>
      </x:c>
      <x:c r="E40" s="13" t="n">
        <x:v>0</x:v>
      </x:c>
      <x:c r="F40" s="13" t="str">
        <x:v>neutral</x:v>
      </x:c>
      <x:c r="G40" s="18" t="n">
        <x:v>0.6659194827079773</x:v>
      </x:c>
      <x:c r="H40" s="13" t="str">
        <x:v>negative</x:v>
      </x:c>
      <x:c r="I40" s="13" t="n">
        <x:f>IF(H40="positive",1,IF(H40="negative",-1,0))</x:f>
        <x:v>-1</x:v>
      </x:c>
      <x:c r="J40" s="20" t="n">
        <x:v>0.8</x:v>
      </x:c>
      <x:c r="K40" s="13" t="str">
        <x:v>Şirket içinde ciddi düzeltme ihtiyacı olduğu vurgulanıyor.</x:v>
      </x:c>
      <x:c r="L40" s="13" t="str">
        <x:f>IF(F40=H40,"same","different/review")</x:f>
        <x:v>different/review</x:v>
      </x:c>
      <x:c r="M40" s="13" t="str">
        <x:f>IF(L40="same","OK","REVIEW")</x:f>
        <x:v>REVIEW</x:v>
      </x:c>
      <x:c r="N40" s="13" t="str">
        <x:v>Manuel ChatGPT kontrolü tamamlandı</x:v>
      </x:c>
    </x:row>
    <x:row r="41">
      <x:c r="A41" s="13" t="str">
        <x:v>REUTERS_ANN_00540</x:v>
      </x:c>
      <x:c r="B41" s="16" t="n">
        <x:v>39055</x:v>
      </x:c>
      <x:c r="C41" s="13" t="str">
        <x:v>walgreen same-store sales up</x:v>
      </x:c>
      <x:c r="D41" s="13" t="str">
        <x:v>Walgreen’in aynı mağaza satışları arttı.</x:v>
      </x:c>
      <x:c r="E41" s="13" t="n">
        <x:v>1</x:v>
      </x:c>
      <x:c r="F41" s="13" t="str">
        <x:v>positive</x:v>
      </x:c>
      <x:c r="G41" s="18" t="n">
        <x:v>0.950692057609558</x:v>
      </x:c>
      <x:c r="H41" s="13" t="str">
        <x:v>positive</x:v>
      </x:c>
      <x:c r="I41" s="13" t="n">
        <x:f>IF(H41="positive",1,IF(H41="negative",-1,0))</x:f>
        <x:v>1</x:v>
      </x:c>
      <x:c r="J41" s="20" t="n">
        <x:v>0.94</x:v>
      </x:c>
      <x:c r="K41" s="13" t="str">
        <x:v>Satış artışı perakende şirketi için olumlu performans sinyali.</x:v>
      </x:c>
      <x:c r="L41" s="13" t="str">
        <x:f>IF(F41=H41,"same","different/review")</x:f>
        <x:v>same</x:v>
      </x:c>
      <x:c r="M41" s="13" t="str">
        <x:f>IF(L41="same","OK","REVIEW")</x:f>
        <x:v>OK</x:v>
      </x:c>
      <x:c r="N41" s="13" t="str">
        <x:v>Manuel ChatGPT kontrolü tamamlandı</x:v>
      </x:c>
    </x:row>
    <x:row r="42">
      <x:c r="A42" s="13" t="str">
        <x:v>REUTERS_ANN_00541</x:v>
      </x:c>
      <x:c r="B42" s="16" t="n">
        <x:v>39079</x:v>
      </x:c>
      <x:c r="C42" s="13" t="str">
        <x:v>maf bancorp sees charge due to balance sheet restructuring</x:v>
      </x:c>
      <x:c r="D42" s="13" t="str">
        <x:v>MAF Bancorp bilanço yeniden yapılandırması nedeniyle gider yazacağını öngörüyor.</x:v>
      </x:c>
      <x:c r="E42" s="13" t="n">
        <x:v>0</x:v>
      </x:c>
      <x:c r="F42" s="13" t="str">
        <x:v>neutral</x:v>
      </x:c>
      <x:c r="G42" s="18" t="n">
        <x:v>0.7917792797088623</x:v>
      </x:c>
      <x:c r="H42" s="13" t="str">
        <x:v>negative</x:v>
      </x:c>
      <x:c r="I42" s="13" t="n">
        <x:f>IF(H42="positive",1,IF(H42="negative",-1,0))</x:f>
        <x:v>-1</x:v>
      </x:c>
      <x:c r="J42" s="20" t="n">
        <x:v>0.82</x:v>
      </x:c>
      <x:c r="K42" s="13" t="str">
        <x:v>Yeniden yapılandırma kaynaklı gider finansal sonuçları baskılayabilir.</x:v>
      </x:c>
      <x:c r="L42" s="13" t="str">
        <x:f>IF(F42=H42,"same","different/review")</x:f>
        <x:v>different/review</x:v>
      </x:c>
      <x:c r="M42" s="13" t="str">
        <x:f>IF(L42="same","OK","REVIEW")</x:f>
        <x:v>REVIEW</x:v>
      </x:c>
      <x:c r="N42" s="13" t="str">
        <x:v>Manuel ChatGPT kontrolü tamamlandı</x:v>
      </x:c>
    </x:row>
    <x:row r="43">
      <x:c r="A43" s="13" t="str">
        <x:v>REUTERS_ANN_00542</x:v>
      </x:c>
      <x:c r="B43" s="16" t="n">
        <x:v>39209</x:v>
      </x:c>
      <x:c r="C43" s="13" t="str">
        <x:v>factbox-key facts about alcan, target of alcoa bid</x:v>
      </x:c>
      <x:c r="D43" s="13" t="str">
        <x:v>Bilgi kutusu: Alcoa teklifinin hedefi Alcan hakkında temel bilgiler.</x:v>
      </x:c>
      <x:c r="E43" s="13" t="n">
        <x:v>0</x:v>
      </x:c>
      <x:c r="F43" s="13" t="str">
        <x:v>neutral</x:v>
      </x:c>
      <x:c r="G43" s="18" t="n">
        <x:v>0.9488255977630616</x:v>
      </x:c>
      <x:c r="H43" s="13" t="str">
        <x:v>neutral</x:v>
      </x:c>
      <x:c r="I43" s="13" t="n">
        <x:f>IF(H43="positive",1,IF(H43="negative",-1,0))</x:f>
        <x:v>0</x:v>
      </x:c>
      <x:c r="J43" s="20" t="n">
        <x:v>0.9</x:v>
      </x:c>
      <x:c r="K43" s="13" t="str">
        <x:v>Factbox içeriği; doğrudan sentiment değil.</x:v>
      </x:c>
      <x:c r="L43" s="13" t="str">
        <x:f>IF(F43=H43,"same","different/review")</x:f>
        <x:v>same</x:v>
      </x:c>
      <x:c r="M43" s="13" t="str">
        <x:f>IF(L43="same","OK","REVIEW")</x:f>
        <x:v>OK</x:v>
      </x:c>
      <x:c r="N43" s="13" t="str">
        <x:v>Manuel ChatGPT kontrolü tamamlandı</x:v>
      </x:c>
    </x:row>
    <x:row r="44">
      <x:c r="A44" s="13" t="str">
        <x:v>REUTERS_ANN_00543</x:v>
      </x:c>
      <x:c r="B44" s="16" t="n">
        <x:v>39114</x:v>
      </x:c>
      <x:c r="C44" s="13" t="str">
        <x:v>factory, spending data give conflicting signals</x:v>
      </x:c>
      <x:c r="D44" s="13" t="str">
        <x:v>Fabrika ve harcama verileri çelişkili sinyaller veriyor.</x:v>
      </x:c>
      <x:c r="E44" s="13" t="n">
        <x:v>-1</x:v>
      </x:c>
      <x:c r="F44" s="13" t="str">
        <x:v>negative</x:v>
      </x:c>
      <x:c r="G44" s="18" t="n">
        <x:v>0.8814219236373901</x:v>
      </x:c>
      <x:c r="H44" s="13" t="str">
        <x:v>neutral</x:v>
      </x:c>
      <x:c r="I44" s="13" t="n">
        <x:f>IF(H44="positive",1,IF(H44="negative",-1,0))</x:f>
        <x:v>0</x:v>
      </x:c>
      <x:c r="J44" s="20" t="n">
        <x:v>0.78</x:v>
      </x:c>
      <x:c r="K44" s="13" t="str">
        <x:v>Çelişkili veriler nedeniyle yön net değil.</x:v>
      </x:c>
      <x:c r="L44" s="13" t="str">
        <x:f>IF(F44=H44,"same","different/review")</x:f>
        <x:v>different/review</x:v>
      </x:c>
      <x:c r="M44" s="13" t="str">
        <x:f>IF(L44="same","OK","REVIEW")</x:f>
        <x:v>REVIEW</x:v>
      </x:c>
      <x:c r="N44" s="13" t="str">
        <x:v>Manuel ChatGPT kontrolü tamamlandı</x:v>
      </x:c>
    </x:row>
    <x:row r="45">
      <x:c r="A45" s="13" t="str">
        <x:v>REUTERS_ANN_00544</x:v>
      </x:c>
      <x:c r="B45" s="16" t="n">
        <x:v>39171</x:v>
      </x:c>
      <x:c r="C45" s="13" t="str">
        <x:v>alliance boots opens books after $20 bln approach</x:v>
      </x:c>
      <x:c r="D45" s="13" t="str">
        <x:v>Alliance Boots, 20 milyar dolarlık yaklaşım sonrası defterlerini açtı.</x:v>
      </x:c>
      <x:c r="E45" s="13" t="n">
        <x:v>1</x:v>
      </x:c>
      <x:c r="F45" s="13" t="str">
        <x:v>positive</x:v>
      </x:c>
      <x:c r="G45" s="18" t="n">
        <x:v>0.766811192035675</x:v>
      </x:c>
      <x:c r="H45" s="13" t="str">
        <x:v>positive</x:v>
      </x:c>
      <x:c r="I45" s="13" t="n">
        <x:f>IF(H45="positive",1,IF(H45="negative",-1,0))</x:f>
        <x:v>1</x:v>
      </x:c>
      <x:c r="J45" s="20" t="n">
        <x:v>0.8</x:v>
      </x:c>
      <x:c r="K45" s="13" t="str">
        <x:v>Satın alma sürecinde ilerleme ve değerleme potansiyeli olumlu algılanır.</x:v>
      </x:c>
      <x:c r="L45" s="13" t="str">
        <x:f>IF(F45=H45,"same","different/review")</x:f>
        <x:v>same</x:v>
      </x:c>
      <x:c r="M45" s="13" t="str">
        <x:f>IF(L45="same","OK","REVIEW")</x:f>
        <x:v>OK</x:v>
      </x:c>
      <x:c r="N45" s="13" t="str">
        <x:v>Manuel ChatGPT kontrolü tamamlandı</x:v>
      </x:c>
    </x:row>
    <x:row r="46">
      <x:c r="A46" s="13" t="str">
        <x:v>REUTERS_ANN_00545</x:v>
      </x:c>
      <x:c r="B46" s="16" t="n">
        <x:v>39107</x:v>
      </x:c>
      <x:c r="C46" s="13" t="str">
        <x:v>northrop grumman net up 37 pct, sees 2007 in line</x:v>
      </x:c>
      <x:c r="D46" s="13" t="str">
        <x:v>Northrop Grumman’ın net kârı yüzde 37 arttı, 2007 beklentisi çizgide.</x:v>
      </x:c>
      <x:c r="E46" s="13" t="n">
        <x:v>1</x:v>
      </x:c>
      <x:c r="F46" s="13" t="str">
        <x:v>positive</x:v>
      </x:c>
      <x:c r="G46" s="18" t="n">
        <x:v>0.9497819542884828</x:v>
      </x:c>
      <x:c r="H46" s="13" t="str">
        <x:v>positive</x:v>
      </x:c>
      <x:c r="I46" s="13" t="n">
        <x:f>IF(H46="positive",1,IF(H46="negative",-1,0))</x:f>
        <x:v>1</x:v>
      </x:c>
      <x:c r="J46" s="20" t="n">
        <x:v>0.93</x:v>
      </x:c>
      <x:c r="K46" s="13" t="str">
        <x:v>Güçlü kâr artışı ve beklentilerle uyum olumlu.</x:v>
      </x:c>
      <x:c r="L46" s="13" t="str">
        <x:f>IF(F46=H46,"same","different/review")</x:f>
        <x:v>same</x:v>
      </x:c>
      <x:c r="M46" s="13" t="str">
        <x:f>IF(L46="same","OK","REVIEW")</x:f>
        <x:v>OK</x:v>
      </x:c>
      <x:c r="N46" s="13" t="str">
        <x:v>Manuel ChatGPT kontrolü tamamlandı</x:v>
      </x:c>
    </x:row>
    <x:row r="47">
      <x:c r="A47" s="13" t="str">
        <x:v>REUTERS_ANN_00546</x:v>
      </x:c>
      <x:c r="B47" s="16" t="n">
        <x:v>39189</x:v>
      </x:c>
      <x:c r="C47" s="13" t="str">
        <x:v>blue chips rise on earnings, dow record eyed</x:v>
      </x:c>
      <x:c r="D47" s="13" t="str">
        <x:v>Blue-chip hisseler kazançlarla yükseldi; Dow rekoru izleniyor.</x:v>
      </x:c>
      <x:c r="E47" s="13" t="n">
        <x:v>1</x:v>
      </x:c>
      <x:c r="F47" s="13" t="str">
        <x:v>positive</x:v>
      </x:c>
      <x:c r="G47" s="18" t="n">
        <x:v>0.9211952090263368</x:v>
      </x:c>
      <x:c r="H47" s="13" t="str">
        <x:v>positive</x:v>
      </x:c>
      <x:c r="I47" s="13" t="n">
        <x:f>IF(H47="positive",1,IF(H47="negative",-1,0))</x:f>
        <x:v>1</x:v>
      </x:c>
      <x:c r="J47" s="20" t="n">
        <x:v>0.93</x:v>
      </x:c>
      <x:c r="K47" s="13" t="str">
        <x:v>Hisse yükselişi ve rekor beklentisi açık olumlu piyasa sinyali.</x:v>
      </x:c>
      <x:c r="L47" s="13" t="str">
        <x:f>IF(F47=H47,"same","different/review")</x:f>
        <x:v>same</x:v>
      </x:c>
      <x:c r="M47" s="13" t="str">
        <x:f>IF(L47="same","OK","REVIEW")</x:f>
        <x:v>OK</x:v>
      </x:c>
      <x:c r="N47" s="13" t="str">
        <x:v>Manuel ChatGPT kontrolü tamamlandı</x:v>
      </x:c>
    </x:row>
    <x:row r="48">
      <x:c r="A48" s="13" t="str">
        <x:v>REUTERS_ANN_00547</x:v>
      </x:c>
      <x:c r="B48" s="16" t="n">
        <x:v>39148</x:v>
      </x:c>
      <x:c r="C48" s="13" t="str">
        <x:v>exxon plans 25 new projects in next three years</x:v>
      </x:c>
      <x:c r="D48" s="13" t="str">
        <x:v>Exxon önümüzdeki üç yılda 25 yeni proje planlıyor.</x:v>
      </x:c>
      <x:c r="E48" s="13" t="n">
        <x:v>1</x:v>
      </x:c>
      <x:c r="F48" s="13" t="str">
        <x:v>positive</x:v>
      </x:c>
      <x:c r="G48" s="18" t="n">
        <x:v>0.7481546998023987</x:v>
      </x:c>
      <x:c r="H48" s="13" t="str">
        <x:v>positive</x:v>
      </x:c>
      <x:c r="I48" s="13" t="n">
        <x:f>IF(H48="positive",1,IF(H48="negative",-1,0))</x:f>
        <x:v>1</x:v>
      </x:c>
      <x:c r="J48" s="20" t="n">
        <x:v>0.82</x:v>
      </x:c>
      <x:c r="K48" s="13" t="str">
        <x:v>Yeni projeler büyüme ve yatırım planı sinyali verir.</x:v>
      </x:c>
      <x:c r="L48" s="13" t="str">
        <x:f>IF(F48=H48,"same","different/review")</x:f>
        <x:v>same</x:v>
      </x:c>
      <x:c r="M48" s="13" t="str">
        <x:f>IF(L48="same","OK","REVIEW")</x:f>
        <x:v>OK</x:v>
      </x:c>
      <x:c r="N48" s="13" t="str">
        <x:v>Manuel ChatGPT kontrolü tamamlandı</x:v>
      </x:c>
    </x:row>
    <x:row r="49">
      <x:c r="A49" s="13" t="str">
        <x:v>REUTERS_ANN_00548</x:v>
      </x:c>
      <x:c r="B49" s="16" t="n">
        <x:v>39096</x:v>
      </x:c>
      <x:c r="C49" s="13" t="str">
        <x:v>anti-u.s. allies venezuela and iran seek opec oil cut</x:v>
      </x:c>
      <x:c r="D49" s="13" t="str">
        <x:v>ABD karşıtı müttefikler Venezuela ve İran OPEC petrol kesintisi istiyor.</x:v>
      </x:c>
      <x:c r="E49" s="13" t="n">
        <x:v>1</x:v>
      </x:c>
      <x:c r="F49" s="13" t="str">
        <x:v>positive</x:v>
      </x:c>
      <x:c r="G49" s="18" t="n">
        <x:v>0.8178545236587524</x:v>
      </x:c>
      <x:c r="H49" s="13" t="str">
        <x:v>neutral</x:v>
      </x:c>
      <x:c r="I49" s="13" t="n">
        <x:f>IF(H49="positive",1,IF(H49="negative",-1,0))</x:f>
        <x:v>0</x:v>
      </x:c>
      <x:c r="J49" s="20" t="n">
        <x:v>0.62</x:v>
      </x:c>
      <x:c r="K49" s="13" t="str">
        <x:v>Petrol kesintisi fiyatları destekleyebilir ama jeopolitik risk de içerir; karışık.</x:v>
      </x:c>
      <x:c r="L49" s="13" t="str">
        <x:f>IF(F49=H49,"same","different/review")</x:f>
        <x:v>different/review</x:v>
      </x:c>
      <x:c r="M49" s="13" t="str">
        <x:f>IF(L49="same","OK","REVIEW")</x:f>
        <x:v>REVIEW</x:v>
      </x:c>
      <x:c r="N49" s="13" t="str">
        <x:v>Manuel ChatGPT kontrolü tamamlandı</x:v>
      </x:c>
    </x:row>
    <x:row r="50">
      <x:c r="A50" s="13" t="str">
        <x:v>REUTERS_ANN_00549</x:v>
      </x:c>
      <x:c r="B50" s="16" t="n">
        <x:v>39030</x:v>
      </x:c>
      <x:c r="C50" s="13" t="str">
        <x:v>microsoft to pay universal for every zune sold</x:v>
      </x:c>
      <x:c r="D50" s="13" t="str">
        <x:v>Microsoft, satılan her Zune için Universal’a ödeme yapacak.</x:v>
      </x:c>
      <x:c r="E50" s="13" t="n">
        <x:v>1</x:v>
      </x:c>
      <x:c r="F50" s="13" t="str">
        <x:v>positive</x:v>
      </x:c>
      <x:c r="G50" s="18" t="n">
        <x:v>0.6991400122642517</x:v>
      </x:c>
      <x:c r="H50" s="13" t="str">
        <x:v>neutral</x:v>
      </x:c>
      <x:c r="I50" s="13" t="n">
        <x:f>IF(H50="positive",1,IF(H50="negative",-1,0))</x:f>
        <x:v>0</x:v>
      </x:c>
      <x:c r="J50" s="20" t="n">
        <x:v>0.68</x:v>
      </x:c>
      <x:c r="K50" s="13" t="str">
        <x:v>Lisans/gelir paylaşımı anlaşmasıdır; maliyet ve içerik erişimi etkileri dengeli.</x:v>
      </x:c>
      <x:c r="L50" s="13" t="str">
        <x:f>IF(F50=H50,"same","different/review")</x:f>
        <x:v>different/review</x:v>
      </x:c>
      <x:c r="M50" s="13" t="str">
        <x:f>IF(L50="same","OK","REVIEW")</x:f>
        <x:v>REVIEW</x:v>
      </x:c>
      <x:c r="N50" s="13" t="str">
        <x:v>Manuel ChatGPT kontrolü tamamlandı</x:v>
      </x:c>
    </x:row>
    <x:row r="51">
      <x:c r="A51" s="13" t="str">
        <x:v>REUTERS_ANN_00550</x:v>
      </x:c>
      <x:c r="B51" s="16" t="n">
        <x:v>39204</x:v>
      </x:c>
      <x:c r="C51" s="13" t="str">
        <x:v>clorox profit jumps, but current quarter pressured</x:v>
      </x:c>
      <x:c r="D51" s="13" t="str">
        <x:v>Clorox’un kârı sıçradı, ancak cari çeyrek baskı altında.</x:v>
      </x:c>
      <x:c r="E51" s="13" t="n">
        <x:v>-1</x:v>
      </x:c>
      <x:c r="F51" s="13" t="str">
        <x:v>negative</x:v>
      </x:c>
      <x:c r="G51" s="18" t="n">
        <x:v>0.7709877490997314</x:v>
      </x:c>
      <x:c r="H51" s="13" t="str">
        <x:v>neutral</x:v>
      </x:c>
      <x:c r="I51" s="13" t="n">
        <x:f>IF(H51="positive",1,IF(H51="negative",-1,0))</x:f>
        <x:v>0</x:v>
      </x:c>
      <x:c r="J51" s="20" t="n">
        <x:v>0.72</x:v>
      </x:c>
      <x:c r="K51" s="13" t="str">
        <x:v>Kâr artışı olumlu; mevcut çeyrek baskısı olumsuz. Karışık sinyal.</x:v>
      </x:c>
      <x:c r="L51" s="13" t="str">
        <x:f>IF(F51=H51,"same","different/review")</x:f>
        <x:v>different/review</x:v>
      </x:c>
      <x:c r="M51" s="13" t="str">
        <x:f>IF(L51="same","OK","REVIEW")</x:f>
        <x:v>REVIEW</x:v>
      </x:c>
      <x:c r="N51" s="13" t="str">
        <x:v>Manuel ChatGPT kontrolü tamamlandı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M2:M51">
    <x:cfRule type="expression" dxfId="3" priority="4">
      <x:formula>M2="REVIEW"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810f915e7240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>
      <x:c r="A1" s="23" t="str">
        <x:v>REUTERS ANNOTATION BATCH 011</x:v>
      </x:c>
      <x:c r="B1" s="23" t="str"/>
    </x:row>
    <x:row r="2">
      <x:c r="A2" t="str">
        <x:v>Rows</x:v>
      </x:c>
      <x:c r="B2" t="str">
        <x:v>500 - 549</x:v>
      </x:c>
    </x:row>
    <x:row r="3">
      <x:c r="A3" t="str">
        <x:v>Total records</x:v>
      </x:c>
      <x:c r="B3" t="n">
        <x:f>COUNTA(Annotations!A2:A51)</x:f>
        <x:v>50</x:v>
      </x:c>
    </x:row>
    <x:row r="4">
      <x:c r="A4" t="str"/>
      <x:c r="B4" t="str"/>
    </x:row>
    <x:row r="5">
      <x:c r="A5" s="28" t="str">
        <x:v>ChatGPT label</x:v>
      </x:c>
      <x:c r="B5" s="28" t="str">
        <x:v>Count</x:v>
      </x:c>
    </x:row>
    <x:row r="6">
      <x:c r="A6" t="str">
        <x:v>positive</x:v>
      </x:c>
      <x:c r="B6" t="n">
        <x:f>COUNTIF(Annotations!H2:H51,"positive")</x:f>
        <x:v>19</x:v>
      </x:c>
    </x:row>
    <x:row r="7">
      <x:c r="A7" t="str">
        <x:v>neutral</x:v>
      </x:c>
      <x:c r="B7" t="n">
        <x:f>COUNTIF(Annotations!H2:H51,"neutral")</x:f>
        <x:v>16</x:v>
      </x:c>
    </x:row>
    <x:row r="8">
      <x:c r="A8" t="str">
        <x:v>negative</x:v>
      </x:c>
      <x:c r="B8" t="n">
        <x:f>COUNTIF(Annotations!H2:H51,"negative")</x:f>
        <x:v>15</x:v>
      </x:c>
    </x:row>
    <x:row r="9">
      <x:c r="A9" t="str"/>
      <x:c r="B9" t="str"/>
    </x:row>
    <x:row r="10">
      <x:c r="A10" s="28" t="str">
        <x:v>FinBERT comparison</x:v>
      </x:c>
      <x:c r="B10" s="28" t="str">
        <x:v>Count</x:v>
      </x:c>
    </x:row>
    <x:row r="11">
      <x:c r="A11" t="str">
        <x:v>same</x:v>
      </x:c>
      <x:c r="B11" t="n">
        <x:f>COUNTIF(Annotations!L2:L51,"same")</x:f>
        <x:v>30</x:v>
      </x:c>
    </x:row>
    <x:row r="12">
      <x:c r="A12" t="str">
        <x:v>different/review</x:v>
      </x:c>
      <x:c r="B12" t="n">
        <x:f>COUNTIF(Annotations!L2:L51,"different/review")</x:f>
        <x:v>20</x:v>
      </x:c>
    </x:row>
    <x:row r="13">
      <x:c r="A13" t="str"/>
      <x:c r="B13" t="str"/>
    </x:row>
    <x:row r="14">
      <x:c r="A14" t="str">
        <x:v>Output file</x:v>
      </x:c>
      <x:c r="B14" t="str">
        <x:v>REUTERS_annotation_batch_011.xlsx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80" hidden="0" customWidth="1"/>
  </x:cols>
  <x:sheetData>
    <x:row r="1">
      <x:c r="A1" s="32" t="str">
        <x:v>Label</x:v>
      </x:c>
      <x:c r="B1" s="32" t="str">
        <x:v>Score</x:v>
      </x:c>
      <x:c r="C1" s="32" t="str">
        <x:v>Annotation rule</x:v>
      </x:c>
    </x:row>
    <x:row r="2">
      <x:c r="A2" t="str">
        <x:v>positive</x:v>
      </x:c>
      <x:c r="B2" t="n">
        <x:v>1</x:v>
      </x:c>
      <x:c r="C2" s="12" t="str">
        <x:v>Haber şirket, sektör veya piyasa açısından belirgin olumlu finansal sinyal taşıyorsa.</x:v>
      </x:c>
    </x:row>
    <x:row r="3">
      <x:c r="A3" t="str">
        <x:v>neutral</x:v>
      </x:c>
      <x:c r="B3" t="n">
        <x:v>0</x:v>
      </x:c>
      <x:c r="C3" s="12" t="str">
        <x:v>Haber bilgi verici, işlem duyurusu, factbox ya da olumlu/olumsuz sinyaller dengeliyse.</x:v>
      </x:c>
    </x:row>
    <x:row r="4">
      <x:c r="A4" t="str">
        <x:v>negative</x:v>
      </x:c>
      <x:c r="B4" t="n">
        <x:v>-1</x:v>
      </x:c>
      <x:c r="C4" s="12" t="str">
        <x:v>Haber zarar, düşüş, dava, soruşturma, kriz, zayıf görünüm veya risk artışı içeriyorsa.</x:v>
      </x:c>
    </x:row>
    <x:row r="5">
      <x:c r="A5" t="str">
        <x:v>confidence</x:v>
      </x:c>
      <x:c r="B5" t="str">
        <x:v>0-1</x:v>
      </x:c>
      <x:c r="C5" s="12" t="str">
        <x:v>ChatGPT etiketine duyulan yaklaşık güven; başlık kısa/karışık ise daha düşük tutuldu.</x:v>
      </x:c>
    </x:row>
  </x:sheetData>
  <x:pageMargins left="0.7" right="0.7" top="0.75" bottom="0.75" header="0.3" footer="0.3"/>
</x:worksheet>
</file>