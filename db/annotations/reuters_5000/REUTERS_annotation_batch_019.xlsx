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76ec345b4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bb98d56a7904e28"/>
    <x:sheet xmlns:r="http://schemas.openxmlformats.org/officeDocument/2006/relationships" name="summary" sheetId="2" r:id="Rc3166dd6a4ad497a"/>
    <x:sheet xmlns:r="http://schemas.openxmlformats.org/officeDocument/2006/relationships" name="labeling_notes" sheetId="3" r:id="Rf42e6fbdd7b2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47babba58482c" /><Relationship Type="http://schemas.openxmlformats.org/officeDocument/2006/relationships/theme" Target="/xl/theme/theme1.xml" Id="R1e4b5f097d154f80" /><Relationship Type="http://schemas.openxmlformats.org/officeDocument/2006/relationships/sharedStrings" Target="/xl/sharedStrings.xml" Id="R8a73219125a447b9" /><Relationship Type="http://schemas.openxmlformats.org/officeDocument/2006/relationships/worksheet" Target="/xl/worksheets/sheet1.xml" Id="R5bb98d56a7904e28" /><Relationship Type="http://schemas.openxmlformats.org/officeDocument/2006/relationships/worksheet" Target="/xl/worksheets/sheet2.xml" Id="Rc3166dd6a4ad497a" /><Relationship Type="http://schemas.openxmlformats.org/officeDocument/2006/relationships/worksheet" Target="/xl/worksheets/sheet3.xml" Id="Rf42e6fbdd7b240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5821f096c844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821f096c844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Batch019Table" displayName="ReutersBatch019Table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66c1676414f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a6c7302a6e415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38" hidden="0" customWidth="1"/>
    <x:col min="4" max="4" width="46" hidden="0" customWidth="1"/>
    <x:col min="5" max="5" width="12" hidden="0" customWidth="1"/>
    <x:col min="6" max="6" width="14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52" hidden="0" customWidth="1"/>
    <x:col min="12" max="12" width="14" hidden="0" customWidth="1"/>
    <x:col min="13" max="13" width="34" hidden="0" customWidth="1"/>
  </x:cols>
  <x:sheetData>
    <x:row r="1" ht="32" customHeight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chatgpt_score</x:v>
      </x:c>
      <x:c r="I1" s="6" t="str">
        <x:v>chatgpt_label</x:v>
      </x:c>
      <x:c r="J1" s="6" t="str">
        <x:v>chatgpt_confidence</x:v>
      </x:c>
      <x:c r="K1" s="6" t="str">
        <x:v>chatgpt_reason_tr</x:v>
      </x:c>
      <x:c r="L1" s="6" t="str">
        <x:v>finbert_match</x:v>
      </x:c>
      <x:c r="M1" s="6" t="str">
        <x:v>review_note</x:v>
      </x:c>
    </x:row>
    <x:row r="2" ht="54" customHeight="1">
      <x:c r="A2" s="20" t="str">
        <x:v>REUTERS_ANN_00901</x:v>
      </x:c>
      <x:c r="B2" s="21" t="n">
        <x:v>39063</x:v>
      </x:c>
      <x:c r="C2" s="22" t="str">
        <x:v>sabre on review for ratings cut by moodys, sp</x:v>
      </x:c>
      <x:c r="D2" s="22" t="str">
        <x:v>Sabre, Moody’s ve S&amp;P tarafından olası kredi notu indirimi için incelemeye alındı.</x:v>
      </x:c>
      <x:c r="E2" s="20" t="n">
        <x:v>-1</x:v>
      </x:c>
      <x:c r="F2" s="20" t="str">
        <x:v>negative</x:v>
      </x:c>
      <x:c r="G2" s="23" t="n">
        <x:v>0.9268584251403807</x:v>
      </x:c>
      <x:c r="H2" s="20" t="n">
        <x:v>-1</x:v>
      </x:c>
      <x:c r="I2" s="20" t="str">
        <x:v>negative</x:v>
      </x:c>
      <x:c r="J2" s="24" t="n">
        <x:v>0.95</x:v>
      </x:c>
      <x:c r="K2" s="22" t="str">
        <x:v>Kredi notu indirimi riski şirketin finansal görünümü açısından olumsuz bir sinyaldir.</x:v>
      </x:c>
      <x:c r="L2" s="22" t="str">
        <x:v>same</x:v>
      </x:c>
      <x:c r="M2" s="22" t="str"/>
    </x:row>
    <x:row r="3" ht="54" customHeight="1">
      <x:c r="A3" s="20" t="str">
        <x:v>REUTERS_ANN_00902</x:v>
      </x:c>
      <x:c r="B3" s="21" t="n">
        <x:v>39197</x:v>
      </x:c>
      <x:c r="C3" s="22" t="str">
        <x:v>amazon bulls have field day</x:v>
      </x:c>
      <x:c r="D3" s="22" t="str">
        <x:v>Amazon iyimserleri için güçlü bir gün yaşandı.</x:v>
      </x:c>
      <x:c r="E3" s="20" t="n">
        <x:v>1</x:v>
      </x:c>
      <x:c r="F3" s="20" t="str">
        <x:v>positive</x:v>
      </x:c>
      <x:c r="G3" s="23" t="n">
        <x:v>0.9460566639900208</x:v>
      </x:c>
      <x:c r="H3" s="20" t="n">
        <x:v>1</x:v>
      </x:c>
      <x:c r="I3" s="20" t="str">
        <x:v>positive</x:v>
      </x:c>
      <x:c r="J3" s="24" t="n">
        <x:v>0.86</x:v>
      </x:c>
      <x:c r="K3" s="22" t="str">
        <x:v>Başlık Amazon hissesi/algısı için güçlü iyimserlik ve olumlu piyasa tepkisi ima ediyor.</x:v>
      </x:c>
      <x:c r="L3" s="22" t="str">
        <x:v>same</x:v>
      </x:c>
      <x:c r="M3" s="22" t="str"/>
    </x:row>
    <x:row r="4" ht="54" customHeight="1">
      <x:c r="A4" s="20" t="str">
        <x:v>REUTERS_ANN_00903</x:v>
      </x:c>
      <x:c r="B4" s="21" t="n">
        <x:v>39084</x:v>
      </x:c>
      <x:c r="C4" s="22" t="str">
        <x:v>nucor to buy harris steel in $1 billion deal</x:v>
      </x:c>
      <x:c r="D4" s="22" t="str">
        <x:v>Nucor, Harris Steel’i 1 milyar dolarlık anlaşmayla satın alacak.</x:v>
      </x:c>
      <x:c r="E4" s="20" t="n">
        <x:v>1</x:v>
      </x:c>
      <x:c r="F4" s="20" t="str">
        <x:v>positive</x:v>
      </x:c>
      <x:c r="G4" s="23" t="n">
        <x:v>0.4988990426063537</x:v>
      </x:c>
      <x:c r="H4" s="20" t="n">
        <x:v>1</x:v>
      </x:c>
      <x:c r="I4" s="20" t="str">
        <x:v>positive</x:v>
      </x:c>
      <x:c r="J4" s="24" t="n">
        <x:v>0.74</x:v>
      </x:c>
      <x:c r="K4" s="22" t="str">
        <x:v>Büyük ölçekli satın alma büyüme ve stratejik genişleme sinyali verdiği için olumlu yorumlanabilir.</x:v>
      </x:c>
      <x:c r="L4" s="22" t="str">
        <x:v>same</x:v>
      </x:c>
      <x:c r="M4" s="22" t="str"/>
    </x:row>
    <x:row r="5" ht="54" customHeight="1">
      <x:c r="A5" s="20" t="str">
        <x:v>REUTERS_ANN_00904</x:v>
      </x:c>
      <x:c r="B5" s="21" t="n">
        <x:v>39119</x:v>
      </x:c>
      <x:c r="C5" s="22" t="str">
        <x:v>disney says not in talks on bahrain park</x:v>
      </x:c>
      <x:c r="D5" s="22" t="str">
        <x:v>Disney, Bahreyn’deki park konusunda görüşme yapmadığını söyledi.</x:v>
      </x:c>
      <x:c r="E5" s="20" t="n">
        <x:v>0</x:v>
      </x:c>
      <x:c r="F5" s="20" t="str">
        <x:v>neutral</x:v>
      </x:c>
      <x:c r="G5" s="23" t="n">
        <x:v>0.8297391533851624</x:v>
      </x:c>
      <x:c r="H5" s="20" t="n">
        <x:v>0</x:v>
      </x:c>
      <x:c r="I5" s="20" t="str">
        <x:v>neutral</x:v>
      </x:c>
      <x:c r="J5" s="24" t="n">
        <x:v>0.89</x:v>
      </x:c>
      <x:c r="K5" s="22" t="str">
        <x:v>Sadece bir söylentinin reddi var; doğrudan güçlü finansal iyi/kötü etki yok.</x:v>
      </x:c>
      <x:c r="L5" s="22" t="str">
        <x:v>same</x:v>
      </x:c>
      <x:c r="M5" s="22" t="str"/>
    </x:row>
    <x:row r="6" ht="54" customHeight="1">
      <x:c r="A6" s="20" t="str">
        <x:v>REUTERS_ANN_00905</x:v>
      </x:c>
      <x:c r="B6" s="21" t="n">
        <x:v>39198</x:v>
      </x:c>
      <x:c r="C6" s="22" t="str">
        <x:v>wall st set for firmer start, microsoft, ford eyed</x:v>
      </x:c>
      <x:c r="D6" s="22" t="str">
        <x:v>Wall Street daha güçlü bir açılışa hazırlanıyor; Microsoft ve Ford izleniyor.</x:v>
      </x:c>
      <x:c r="E6" s="20" t="n">
        <x:v>1</x:v>
      </x:c>
      <x:c r="F6" s="20" t="str">
        <x:v>positive</x:v>
      </x:c>
      <x:c r="G6" s="23" t="n">
        <x:v>0.93656325340271</x:v>
      </x:c>
      <x:c r="H6" s="20" t="n">
        <x:v>1</x:v>
      </x:c>
      <x:c r="I6" s="20" t="str">
        <x:v>positive</x:v>
      </x:c>
      <x:c r="J6" s="24" t="n">
        <x:v>0.85</x:v>
      </x:c>
      <x:c r="K6" s="22" t="str">
        <x:v>Piyasanın daha güçlü açılışa hazırlanması genel olarak olumlu piyasa sinyalidir.</x:v>
      </x:c>
      <x:c r="L6" s="22" t="str">
        <x:v>same</x:v>
      </x:c>
      <x:c r="M6" s="22" t="str"/>
    </x:row>
    <x:row r="7" ht="54" customHeight="1">
      <x:c r="A7" s="20" t="str">
        <x:v>REUTERS_ANN_00906</x:v>
      </x:c>
      <x:c r="B7" s="21" t="n">
        <x:v>39092</x:v>
      </x:c>
      <x:c r="C7" s="22" t="str">
        <x:v>oil fall dents stocks, emerging mkts, dlr strong</x:v>
      </x:c>
      <x:c r="D7" s="22" t="str">
        <x:v>Petrol düşüşü hisse senetlerini ve gelişen piyasaları baskıladı; dolar güçlü kaldı.</x:v>
      </x:c>
      <x:c r="E7" s="20" t="n">
        <x:v>-1</x:v>
      </x:c>
      <x:c r="F7" s="20" t="str">
        <x:v>negative</x:v>
      </x:c>
      <x:c r="G7" s="23" t="n">
        <x:v>0.9654561281204224</x:v>
      </x:c>
      <x:c r="H7" s="20" t="n">
        <x:v>-1</x:v>
      </x:c>
      <x:c r="I7" s="20" t="str">
        <x:v>negative</x:v>
      </x:c>
      <x:c r="J7" s="24" t="n">
        <x:v>0.91</x:v>
      </x:c>
      <x:c r="K7" s="22" t="str">
        <x:v>Hisse senetleri ve gelişen piyasalar üzerinde baskı olduğu açıkça olumsuzdur.</x:v>
      </x:c>
      <x:c r="L7" s="22" t="str">
        <x:v>same</x:v>
      </x:c>
      <x:c r="M7" s="22" t="str"/>
    </x:row>
    <x:row r="8" ht="54" customHeight="1">
      <x:c r="A8" s="20" t="str">
        <x:v>REUTERS_ANN_00907</x:v>
      </x:c>
      <x:c r="B8" s="21" t="n">
        <x:v>39036</x:v>
      </x:c>
      <x:c r="C8" s="22" t="str">
        <x:v>berkshire adds to lowes, nike stakes</x:v>
      </x:c>
      <x:c r="D8" s="22" t="str">
        <x:v>Berkshire, Lowe’s ve Nike’daki hisselerini artırdı.</x:v>
      </x:c>
      <x:c r="E8" s="20" t="n">
        <x:v>0</x:v>
      </x:c>
      <x:c r="F8" s="20" t="str">
        <x:v>neutral</x:v>
      </x:c>
      <x:c r="G8" s="23" t="n">
        <x:v>0.5574736595153809</x:v>
      </x:c>
      <x:c r="H8" s="20" t="n">
        <x:v>0</x:v>
      </x:c>
      <x:c r="I8" s="20" t="str">
        <x:v>neutral</x:v>
      </x:c>
      <x:c r="J8" s="24" t="n">
        <x:v>0.68</x:v>
      </x:c>
      <x:c r="K8" s="22" t="str">
        <x:v>Portföy değişikliği bilgisi veriliyor; tek başına net olumlu/olumsuz sonuç içermiyor.</x:v>
      </x:c>
      <x:c r="L8" s="22" t="str">
        <x:v>same</x:v>
      </x:c>
      <x:c r="M8" s="22" t="str"/>
    </x:row>
    <x:row r="9" ht="54" customHeight="1">
      <x:c r="A9" s="20" t="str">
        <x:v>REUTERS_ANN_00908</x:v>
      </x:c>
      <x:c r="B9" s="21" t="n">
        <x:v>39105</x:v>
      </x:c>
      <x:c r="C9" s="22" t="str">
        <x:v>microsoft profit expected to fall in pre-vista lull</x:v>
      </x:c>
      <x:c r="D9" s="22" t="str">
        <x:v>Vista öncesi durgunlukta Microsoft kârının düşmesi bekleniyor.</x:v>
      </x:c>
      <x:c r="E9" s="20" t="n">
        <x:v>-1</x:v>
      </x:c>
      <x:c r="F9" s="20" t="str">
        <x:v>negative</x:v>
      </x:c>
      <x:c r="G9" s="23" t="n">
        <x:v>0.9455327987670898</x:v>
      </x:c>
      <x:c r="H9" s="20" t="n">
        <x:v>-1</x:v>
      </x:c>
      <x:c r="I9" s="20" t="str">
        <x:v>negative</x:v>
      </x:c>
      <x:c r="J9" s="24" t="n">
        <x:v>0.94</x:v>
      </x:c>
      <x:c r="K9" s="22" t="str">
        <x:v>Kâr düşüşü beklentisi şirket performansı açısından olumsuzdur.</x:v>
      </x:c>
      <x:c r="L9" s="22" t="str">
        <x:v>same</x:v>
      </x:c>
      <x:c r="M9" s="22" t="str"/>
    </x:row>
    <x:row r="10" ht="54" customHeight="1">
      <x:c r="A10" s="20" t="str">
        <x:v>REUTERS_ANN_00909</x:v>
      </x:c>
      <x:c r="B10" s="21" t="n">
        <x:v>39120</x:v>
      </x:c>
      <x:c r="C10" s="22" t="str">
        <x:v>standard life 2006 sales rise</x:v>
      </x:c>
      <x:c r="D10" s="22" t="str">
        <x:v>Standard Life’ın 2006 satışları yükseldi.</x:v>
      </x:c>
      <x:c r="E10" s="20" t="n">
        <x:v>1</x:v>
      </x:c>
      <x:c r="F10" s="20" t="str">
        <x:v>positive</x:v>
      </x:c>
      <x:c r="G10" s="23" t="n">
        <x:v>0.9294023513793944</x:v>
      </x:c>
      <x:c r="H10" s="20" t="n">
        <x:v>1</x:v>
      </x:c>
      <x:c r="I10" s="20" t="str">
        <x:v>positive</x:v>
      </x:c>
      <x:c r="J10" s="24" t="n">
        <x:v>0.91</x:v>
      </x:c>
      <x:c r="K10" s="22" t="str">
        <x:v>Satışların yükselmesi doğrudan olumlu finansal performans sinyalidir.</x:v>
      </x:c>
      <x:c r="L10" s="22" t="str">
        <x:v>same</x:v>
      </x:c>
      <x:c r="M10" s="22" t="str"/>
    </x:row>
    <x:row r="11" ht="54" customHeight="1">
      <x:c r="A11" s="20" t="str">
        <x:v>REUTERS_ANN_00910</x:v>
      </x:c>
      <x:c r="B11" s="21" t="n">
        <x:v>39059</x:v>
      </x:c>
      <x:c r="C11" s="22" t="str">
        <x:v>stocks gain on robust job growth</x:v>
      </x:c>
      <x:c r="D11" s="22" t="str">
        <x:v>Hisseler güçlü istihdam artışıyla yükseldi.</x:v>
      </x:c>
      <x:c r="E11" s="20" t="n">
        <x:v>1</x:v>
      </x:c>
      <x:c r="F11" s="20" t="str">
        <x:v>positive</x:v>
      </x:c>
      <x:c r="G11" s="23" t="n">
        <x:v>0.8711855411529541</x:v>
      </x:c>
      <x:c r="H11" s="20" t="n">
        <x:v>1</x:v>
      </x:c>
      <x:c r="I11" s="20" t="str">
        <x:v>positive</x:v>
      </x:c>
      <x:c r="J11" s="24" t="n">
        <x:v>0.93</x:v>
      </x:c>
      <x:c r="K11" s="22" t="str">
        <x:v>Hisse yükselişi ve güçlü istihdam büyümesi açık olumlu piyasa sinyalidir.</x:v>
      </x:c>
      <x:c r="L11" s="22" t="str">
        <x:v>same</x:v>
      </x:c>
      <x:c r="M11" s="22" t="str"/>
    </x:row>
    <x:row r="12" ht="54" customHeight="1">
      <x:c r="A12" s="20" t="str">
        <x:v>REUTERS_ANN_00911</x:v>
      </x:c>
      <x:c r="B12" s="21" t="n">
        <x:v>39197</x:v>
      </x:c>
      <x:c r="C12" s="22" t="str">
        <x:v>ups profit falls due to aircraft, layoff charges</x:v>
      </x:c>
      <x:c r="D12" s="22" t="str">
        <x:v>UPS’in kârı uçak ve işten çıkarma giderleri nedeniyle düştü.</x:v>
      </x:c>
      <x:c r="E12" s="20" t="n">
        <x:v>-1</x:v>
      </x:c>
      <x:c r="F12" s="20" t="str">
        <x:v>negative</x:v>
      </x:c>
      <x:c r="G12" s="23" t="n">
        <x:v>0.966737985610962</x:v>
      </x:c>
      <x:c r="H12" s="20" t="n">
        <x:v>-1</x:v>
      </x:c>
      <x:c r="I12" s="20" t="str">
        <x:v>negative</x:v>
      </x:c>
      <x:c r="J12" s="24" t="n">
        <x:v>0.96</x:v>
      </x:c>
      <x:c r="K12" s="22" t="str">
        <x:v>Kâr düşüşü ve maliyet/gider kaynaklı baskı olumsuzdur.</x:v>
      </x:c>
      <x:c r="L12" s="22" t="str">
        <x:v>same</x:v>
      </x:c>
      <x:c r="M12" s="22" t="str"/>
    </x:row>
    <x:row r="13" ht="54" customHeight="1">
      <x:c r="A13" s="20" t="str">
        <x:v>REUTERS_ANN_00912</x:v>
      </x:c>
      <x:c r="B13" s="21" t="n">
        <x:v>39168</x:v>
      </x:c>
      <x:c r="C13" s="22" t="str">
        <x:v>mercks vioxx did not cause womans death jury</x:v>
      </x:c>
      <x:c r="D13" s="22" t="str">
        <x:v>Jüri, Merck’in Vioxx ilacının kadının ölümüne neden olmadığına karar verdi.</x:v>
      </x:c>
      <x:c r="E13" s="20" t="n">
        <x:v>-1</x:v>
      </x:c>
      <x:c r="F13" s="20" t="str">
        <x:v>negative</x:v>
      </x:c>
      <x:c r="G13" s="23" t="n">
        <x:v>0.7166597247123718</x:v>
      </x:c>
      <x:c r="H13" s="20" t="n">
        <x:v>1</x:v>
      </x:c>
      <x:c r="I13" s="20" t="str">
        <x:v>positive</x:v>
      </x:c>
      <x:c r="J13" s="24" t="n">
        <x:v>0.78</x:v>
      </x:c>
      <x:c r="K13" s="22" t="str">
        <x:v>Dava açısından Merck lehine bir sonuç olduğu için şirket riski bakımından olumlu kabul edilir.</x:v>
      </x:c>
      <x:c r="L13" s="22" t="str">
        <x:v>different</x:v>
      </x:c>
      <x:c r="M13" s="22" t="str">
        <x:v>FinBERT ile farklı; manuel inceleme önerilir.</x:v>
      </x:c>
    </x:row>
    <x:row r="14" ht="54" customHeight="1">
      <x:c r="A14" s="20" t="str">
        <x:v>REUTERS_ANN_00913</x:v>
      </x:c>
      <x:c r="B14" s="21" t="n">
        <x:v>39139</x:v>
      </x:c>
      <x:c r="C14" s="22" t="str">
        <x:v>key banc says magna weighing chrysler bid</x:v>
      </x:c>
      <x:c r="D14" s="22" t="str">
        <x:v>Key Banc, Magna’nın Chrysler için teklif vermeyi değerlendirdiğini söyledi.</x:v>
      </x:c>
      <x:c r="E14" s="20" t="n">
        <x:v>0</x:v>
      </x:c>
      <x:c r="F14" s="20" t="str">
        <x:v>neutral</x:v>
      </x:c>
      <x:c r="G14" s="23" t="n">
        <x:v>0.7847172617912292</x:v>
      </x:c>
      <x:c r="H14" s="20" t="n">
        <x:v>0</x:v>
      </x:c>
      <x:c r="I14" s="20" t="str">
        <x:v>neutral</x:v>
      </x:c>
      <x:c r="J14" s="24" t="n">
        <x:v>0.75</x:v>
      </x:c>
      <x:c r="K14" s="22" t="str">
        <x:v>Kesinleşmemiş olası teklif haberidir; net finansal etki belirsizdir.</x:v>
      </x:c>
      <x:c r="L14" s="22" t="str">
        <x:v>same</x:v>
      </x:c>
      <x:c r="M14" s="22" t="str"/>
    </x:row>
    <x:row r="15" ht="54" customHeight="1">
      <x:c r="A15" s="20" t="str">
        <x:v>REUTERS_ANN_00914</x:v>
      </x:c>
      <x:c r="B15" s="21" t="n">
        <x:v>39023</x:v>
      </x:c>
      <x:c r="C15" s="22" t="str">
        <x:v>yahoo food asks what are you hungry for next</x:v>
      </x:c>
      <x:c r="D15" s="22" t="str">
        <x:v>Yahoo Food, kullanıcılara sırada neye aç olduklarını soruyor.</x:v>
      </x:c>
      <x:c r="E15" s="20" t="n">
        <x:v>0</x:v>
      </x:c>
      <x:c r="F15" s="20" t="str">
        <x:v>neutral</x:v>
      </x:c>
      <x:c r="G15" s="23" t="n">
        <x:v>0.8429176807403564</x:v>
      </x:c>
      <x:c r="H15" s="20" t="n">
        <x:v>0</x:v>
      </x:c>
      <x:c r="I15" s="20" t="str">
        <x:v>neutral</x:v>
      </x:c>
      <x:c r="J15" s="24" t="n">
        <x:v>0.9</x:v>
      </x:c>
      <x:c r="K15" s="22" t="str">
        <x:v>Ürün/içerik başlığı niteliğinde; açık finansal olumlu/olumsuz sinyal yok.</x:v>
      </x:c>
      <x:c r="L15" s="22" t="str">
        <x:v>same</x:v>
      </x:c>
      <x:c r="M15" s="22" t="str"/>
    </x:row>
    <x:row r="16" ht="54" customHeight="1">
      <x:c r="A16" s="20" t="str">
        <x:v>REUTERS_ANN_00915</x:v>
      </x:c>
      <x:c r="B16" s="21" t="n">
        <x:v>39185</x:v>
      </x:c>
      <x:c r="C16" s="22" t="str">
        <x:v>airtran not planning to increase midwest bid coo</x:v>
      </x:c>
      <x:c r="D16" s="22" t="str">
        <x:v>AirTran operasyon direktörü, Midwest teklifini artırmayı planlamadıklarını söyledi.</x:v>
      </x:c>
      <x:c r="E16" s="20" t="n">
        <x:v>1</x:v>
      </x:c>
      <x:c r="F16" s="20" t="str">
        <x:v>positive</x:v>
      </x:c>
      <x:c r="G16" s="23" t="n">
        <x:v>0.6219958662986755</x:v>
      </x:c>
      <x:c r="H16" s="20" t="n">
        <x:v>0</x:v>
      </x:c>
      <x:c r="I16" s="20" t="str">
        <x:v>neutral</x:v>
      </x:c>
      <x:c r="J16" s="24" t="n">
        <x:v>0.7</x:v>
      </x:c>
      <x:c r="K16" s="22" t="str">
        <x:v>Teklif stratejisine dair açıklama var; doğrudan net olumlu/olumsuz finansal sonuç yok.</x:v>
      </x:c>
      <x:c r="L16" s="22" t="str">
        <x:v>different</x:v>
      </x:c>
      <x:c r="M16" s="22" t="str">
        <x:v>FinBERT ile farklı; manuel inceleme önerilir.</x:v>
      </x:c>
    </x:row>
    <x:row r="17" ht="54" customHeight="1">
      <x:c r="A17" s="20" t="str">
        <x:v>REUTERS_ANN_00916</x:v>
      </x:c>
      <x:c r="B17" s="21" t="n">
        <x:v>39133</x:v>
      </x:c>
      <x:c r="C17" s="22" t="str">
        <x:v>airbus management must decide on overhaul germany</x:v>
      </x:c>
      <x:c r="D17" s="22" t="str">
        <x:v>Almanya, Airbus yönetiminin yeniden yapılanma konusunda karar vermesi gerektiğini söylüyor.</x:v>
      </x:c>
      <x:c r="E17" s="20" t="n">
        <x:v>0</x:v>
      </x:c>
      <x:c r="F17" s="20" t="str">
        <x:v>neutral</x:v>
      </x:c>
      <x:c r="G17" s="23" t="n">
        <x:v>0.919508695602417</x:v>
      </x:c>
      <x:c r="H17" s="20" t="n">
        <x:v>0</x:v>
      </x:c>
      <x:c r="I17" s="20" t="str">
        <x:v>neutral</x:v>
      </x:c>
      <x:c r="J17" s="24" t="n">
        <x:v>0.73</x:v>
      </x:c>
      <x:c r="K17" s="22" t="str">
        <x:v>Yeniden yapılanma gereği belirsizlik taşısa da başlık doğrudan sonuç bildirmiyor.</x:v>
      </x:c>
      <x:c r="L17" s="22" t="str">
        <x:v>same</x:v>
      </x:c>
      <x:c r="M17" s="22" t="str"/>
    </x:row>
    <x:row r="18" ht="54" customHeight="1">
      <x:c r="A18" s="20" t="str">
        <x:v>REUTERS_ANN_00917</x:v>
      </x:c>
      <x:c r="B18" s="21" t="n">
        <x:v>39101</x:v>
      </x:c>
      <x:c r="C18" s="22" t="str">
        <x:v>schneider electric q4 sales beat forecasts</x:v>
      </x:c>
      <x:c r="D18" s="22" t="str">
        <x:v>Schneider Electric’in dördüncü çeyrek satışları beklentileri aştı.</x:v>
      </x:c>
      <x:c r="E18" s="20" t="n">
        <x:v>1</x:v>
      </x:c>
      <x:c r="F18" s="20" t="str">
        <x:v>positive</x:v>
      </x:c>
      <x:c r="G18" s="23" t="n">
        <x:v>0.95361328125</x:v>
      </x:c>
      <x:c r="H18" s="20" t="n">
        <x:v>1</x:v>
      </x:c>
      <x:c r="I18" s="20" t="str">
        <x:v>positive</x:v>
      </x:c>
      <x:c r="J18" s="24" t="n">
        <x:v>0.96</x:v>
      </x:c>
      <x:c r="K18" s="22" t="str">
        <x:v>Satışların beklentileri aşması açık olumlu performans göstergesidir.</x:v>
      </x:c>
      <x:c r="L18" s="22" t="str">
        <x:v>same</x:v>
      </x:c>
      <x:c r="M18" s="22" t="str"/>
    </x:row>
    <x:row r="19" ht="54" customHeight="1">
      <x:c r="A19" s="20" t="str">
        <x:v>REUTERS_ANN_00918</x:v>
      </x:c>
      <x:c r="B19" s="21" t="n">
        <x:v>39030</x:v>
      </x:c>
      <x:c r="C19" s="22" t="str">
        <x:v>wall street seen mixed on data, cisco to help techs</x:v>
      </x:c>
      <x:c r="D19" s="22" t="str">
        <x:v>Wall Street’in veriler nedeniyle karışık seyretmesi, Cisco’nun teknoloji hisselerine destek olması bekleniyor.</x:v>
      </x:c>
      <x:c r="E19" s="20" t="n">
        <x:v>1</x:v>
      </x:c>
      <x:c r="F19" s="20" t="str">
        <x:v>positive</x:v>
      </x:c>
      <x:c r="G19" s="23" t="n">
        <x:v>0.7720314264297485</x:v>
      </x:c>
      <x:c r="H19" s="20" t="n">
        <x:v>0</x:v>
      </x:c>
      <x:c r="I19" s="20" t="str">
        <x:v>neutral</x:v>
      </x:c>
      <x:c r="J19" s="24" t="n">
        <x:v>0.7</x:v>
      </x:c>
      <x:c r="K19" s="22" t="str">
        <x:v>Başlık hem karışık piyasa görünümü hem de teknolojiye destek içerdiği için net yön zayıf.</x:v>
      </x:c>
      <x:c r="L19" s="22" t="str">
        <x:v>different</x:v>
      </x:c>
      <x:c r="M19" s="22" t="str">
        <x:v>FinBERT ile farklı; manuel inceleme önerilir.</x:v>
      </x:c>
    </x:row>
    <x:row r="20" ht="54" customHeight="1">
      <x:c r="A20" s="20" t="str">
        <x:v>REUTERS_ANN_00919</x:v>
      </x:c>
      <x:c r="B20" s="21" t="n">
        <x:v>39196</x:v>
      </x:c>
      <x:c r="C20" s="22" t="str">
        <x:v>amazon raises 07 estimates, shares up</x:v>
      </x:c>
      <x:c r="D20" s="22" t="str">
        <x:v>Amazon 2007 tahminlerini yükseltti, hisseleri arttı.</x:v>
      </x:c>
      <x:c r="E20" s="20" t="n">
        <x:v>1</x:v>
      </x:c>
      <x:c r="F20" s="20" t="str">
        <x:v>positive</x:v>
      </x:c>
      <x:c r="G20" s="23" t="n">
        <x:v>0.9510371685028076</x:v>
      </x:c>
      <x:c r="H20" s="20" t="n">
        <x:v>1</x:v>
      </x:c>
      <x:c r="I20" s="20" t="str">
        <x:v>positive</x:v>
      </x:c>
      <x:c r="J20" s="24" t="n">
        <x:v>0.97</x:v>
      </x:c>
      <x:c r="K20" s="22" t="str">
        <x:v>Tahmin artışı ve hisse yükselişi güçlü olumlu sinyaldir.</x:v>
      </x:c>
      <x:c r="L20" s="22" t="str">
        <x:v>same</x:v>
      </x:c>
      <x:c r="M20" s="22" t="str"/>
    </x:row>
    <x:row r="21" ht="54" customHeight="1">
      <x:c r="A21" s="20" t="str">
        <x:v>REUTERS_ANN_00920</x:v>
      </x:c>
      <x:c r="B21" s="21" t="n">
        <x:v>39142</x:v>
      </x:c>
      <x:c r="C21" s="22" t="str">
        <x:v>lenovo, sanyo to recall 100,000 thinkpad batteries</x:v>
      </x:c>
      <x:c r="D21" s="22" t="str">
        <x:v>Lenovo ve Sanyo, 100.000 ThinkPad bataryasını geri çağıracak.</x:v>
      </x:c>
      <x:c r="E21" s="20" t="n">
        <x:v>-1</x:v>
      </x:c>
      <x:c r="F21" s="20" t="str">
        <x:v>negative</x:v>
      </x:c>
      <x:c r="G21" s="23" t="n">
        <x:v>0.93584942817688</x:v>
      </x:c>
      <x:c r="H21" s="20" t="n">
        <x:v>-1</x:v>
      </x:c>
      <x:c r="I21" s="20" t="str">
        <x:v>negative</x:v>
      </x:c>
      <x:c r="J21" s="24" t="n">
        <x:v>0.93</x:v>
      </x:c>
      <x:c r="K21" s="22" t="str">
        <x:v>Ürün geri çağırma maliyet, güvenlik ve itibar riski yarattığı için olumsuzdur.</x:v>
      </x:c>
      <x:c r="L21" s="22" t="str">
        <x:v>same</x:v>
      </x:c>
      <x:c r="M21" s="22" t="str"/>
    </x:row>
    <x:row r="22" ht="54" customHeight="1">
      <x:c r="A22" s="20" t="str">
        <x:v>REUTERS_ANN_00921</x:v>
      </x:c>
      <x:c r="B22" s="21" t="n">
        <x:v>39016</x:v>
      </x:c>
      <x:c r="C22" s="22" t="str">
        <x:v>mcafee quarterly profit rises, shares up 6 pct</x:v>
      </x:c>
      <x:c r="D22" s="22" t="str">
        <x:v>McAfee’nin çeyreklik kârı yükseldi, hisseleri yüzde 6 arttı.</x:v>
      </x:c>
      <x:c r="E22" s="20" t="n">
        <x:v>1</x:v>
      </x:c>
      <x:c r="F22" s="20" t="str">
        <x:v>positive</x:v>
      </x:c>
      <x:c r="G22" s="23" t="n">
        <x:v>0.9495442509651184</x:v>
      </x:c>
      <x:c r="H22" s="20" t="n">
        <x:v>1</x:v>
      </x:c>
      <x:c r="I22" s="20" t="str">
        <x:v>positive</x:v>
      </x:c>
      <x:c r="J22" s="24" t="n">
        <x:v>0.98</x:v>
      </x:c>
      <x:c r="K22" s="22" t="str">
        <x:v>Kâr artışı ve hisse yükselişi açık biçimde olumlu.</x:v>
      </x:c>
      <x:c r="L22" s="22" t="str">
        <x:v>same</x:v>
      </x:c>
      <x:c r="M22" s="22" t="str"/>
    </x:row>
    <x:row r="23" ht="54" customHeight="1">
      <x:c r="A23" s="20" t="str">
        <x:v>REUTERS_ANN_00922</x:v>
      </x:c>
      <x:c r="B23" s="21" t="n">
        <x:v>39129</x:v>
      </x:c>
      <x:c r="C23" s="22" t="str">
        <x:v>bbva builds u.s. muscle with $9.6 bln compass buy</x:v>
      </x:c>
      <x:c r="D23" s="22" t="str">
        <x:v>BBVA, 9,6 milyar dolarlık Compass satın alımıyla ABD’de gücünü artırıyor.</x:v>
      </x:c>
      <x:c r="E23" s="20" t="n">
        <x:v>-1</x:v>
      </x:c>
      <x:c r="F23" s="20" t="str">
        <x:v>negative</x:v>
      </x:c>
      <x:c r="G23" s="23" t="n">
        <x:v>0.9490759372711182</x:v>
      </x:c>
      <x:c r="H23" s="20" t="n">
        <x:v>1</x:v>
      </x:c>
      <x:c r="I23" s="20" t="str">
        <x:v>positive</x:v>
      </x:c>
      <x:c r="J23" s="24" t="n">
        <x:v>0.8</x:v>
      </x:c>
      <x:c r="K23" s="22" t="str">
        <x:v>Stratejik satın alma ve ABD pazarında güçlenme ifadesi olumlu büyüme sinyali verir.</x:v>
      </x:c>
      <x:c r="L23" s="22" t="str">
        <x:v>different</x:v>
      </x:c>
      <x:c r="M23" s="22" t="str">
        <x:v>FinBERT ile farklı; manuel inceleme önerilir.</x:v>
      </x:c>
    </x:row>
    <x:row r="24" ht="54" customHeight="1">
      <x:c r="A24" s="20" t="str">
        <x:v>REUTERS_ANN_00923</x:v>
      </x:c>
      <x:c r="B24" s="21" t="n">
        <x:v>39051</x:v>
      </x:c>
      <x:c r="C24" s="22" t="str">
        <x:v>nyse says floor trading system now operational</x:v>
      </x:c>
      <x:c r="D24" s="22" t="str">
        <x:v>NYSE, salon işlem sisteminin artık çalışır durumda olduğunu söyledi.</x:v>
      </x:c>
      <x:c r="E24" s="20" t="n">
        <x:v>-1</x:v>
      </x:c>
      <x:c r="F24" s="20" t="str">
        <x:v>negative</x:v>
      </x:c>
      <x:c r="G24" s="23" t="n">
        <x:v>0.8957589864730835</x:v>
      </x:c>
      <x:c r="H24" s="20" t="n">
        <x:v>1</x:v>
      </x:c>
      <x:c r="I24" s="20" t="str">
        <x:v>positive</x:v>
      </x:c>
      <x:c r="J24" s="24" t="n">
        <x:v>0.72</x:v>
      </x:c>
      <x:c r="K24" s="22" t="str">
        <x:v>Sistem sorununun giderilmiş olması operasyonel açıdan olumlu bir gelişmedir.</x:v>
      </x:c>
      <x:c r="L24" s="22" t="str">
        <x:v>different</x:v>
      </x:c>
      <x:c r="M24" s="22" t="str">
        <x:v>FinBERT ile farklı; manuel inceleme önerilir.</x:v>
      </x:c>
    </x:row>
    <x:row r="25" ht="54" customHeight="1">
      <x:c r="A25" s="20" t="str">
        <x:v>REUTERS_ANN_00924</x:v>
      </x:c>
      <x:c r="B25" s="21" t="n">
        <x:v>39154</x:v>
      </x:c>
      <x:c r="C25" s="22" t="str">
        <x:v>auto woes take toll on u.s. advertising</x:v>
      </x:c>
      <x:c r="D25" s="22" t="str">
        <x:v>Otomotiv sektöründeki sorunlar ABD reklamcılığını olumsuz etkiliyor.</x:v>
      </x:c>
      <x:c r="E25" s="20" t="n">
        <x:v>-1</x:v>
      </x:c>
      <x:c r="F25" s="20" t="str">
        <x:v>negative</x:v>
      </x:c>
      <x:c r="G25" s="23" t="n">
        <x:v>0.6581305265426636</x:v>
      </x:c>
      <x:c r="H25" s="20" t="n">
        <x:v>-1</x:v>
      </x:c>
      <x:c r="I25" s="20" t="str">
        <x:v>negative</x:v>
      </x:c>
      <x:c r="J25" s="24" t="n">
        <x:v>0.91</x:v>
      </x:c>
      <x:c r="K25" s="22" t="str">
        <x:v>Sektör sorunlarının başka bir sektöre zarar vermesi olumsuz ekonomik sinyaldir.</x:v>
      </x:c>
      <x:c r="L25" s="22" t="str">
        <x:v>same</x:v>
      </x:c>
      <x:c r="M25" s="22" t="str"/>
    </x:row>
    <x:row r="26" ht="54" customHeight="1">
      <x:c r="A26" s="20" t="str">
        <x:v>REUTERS_ANN_00925</x:v>
      </x:c>
      <x:c r="B26" s="21" t="n">
        <x:v>39079</x:v>
      </x:c>
      <x:c r="C26" s="22" t="str">
        <x:v>verizon plans improved pacific network after quake</x:v>
      </x:c>
      <x:c r="D26" s="22" t="str">
        <x:v>Verizon, deprem sonrası Pasifik ağını iyileştirmeyi planlıyor.</x:v>
      </x:c>
      <x:c r="E26" s="20" t="n">
        <x:v>1</x:v>
      </x:c>
      <x:c r="F26" s="20" t="str">
        <x:v>positive</x:v>
      </x:c>
      <x:c r="G26" s="23" t="n">
        <x:v>0.7248943448066711</x:v>
      </x:c>
      <x:c r="H26" s="20" t="n">
        <x:v>1</x:v>
      </x:c>
      <x:c r="I26" s="20" t="str">
        <x:v>positive</x:v>
      </x:c>
      <x:c r="J26" s="24" t="n">
        <x:v>0.76</x:v>
      </x:c>
      <x:c r="K26" s="22" t="str">
        <x:v>Altyapı iyileştirme planı operasyonel dayanıklılık açısından olumlu kabul edilir.</x:v>
      </x:c>
      <x:c r="L26" s="22" t="str">
        <x:v>same</x:v>
      </x:c>
      <x:c r="M26" s="22" t="str"/>
    </x:row>
    <x:row r="27" ht="54" customHeight="1">
      <x:c r="A27" s="20" t="str">
        <x:v>REUTERS_ANN_00926</x:v>
      </x:c>
      <x:c r="B27" s="21" t="n">
        <x:v>39166</x:v>
      </x:c>
      <x:c r="C27" s="22" t="str">
        <x:v>u.s. gasoline prices rise to $2.61/gallon</x:v>
      </x:c>
      <x:c r="D27" s="22" t="str">
        <x:v>ABD benzin fiyatları galon başına 2,61 dolara yükseldi.</x:v>
      </x:c>
      <x:c r="E27" s="20" t="n">
        <x:v>1</x:v>
      </x:c>
      <x:c r="F27" s="20" t="str">
        <x:v>positive</x:v>
      </x:c>
      <x:c r="G27" s="23" t="n">
        <x:v>0.939134120941162</x:v>
      </x:c>
      <x:c r="H27" s="20" t="n">
        <x:v>-1</x:v>
      </x:c>
      <x:c r="I27" s="20" t="str">
        <x:v>negative</x:v>
      </x:c>
      <x:c r="J27" s="24" t="n">
        <x:v>0.72</x:v>
      </x:c>
      <x:c r="K27" s="22" t="str">
        <x:v>Tüketici maliyetleri ve enflasyon baskısı açısından fiyat artışı genelde olumsuzdur.</x:v>
      </x:c>
      <x:c r="L27" s="22" t="str">
        <x:v>different</x:v>
      </x:c>
      <x:c r="M27" s="22" t="str">
        <x:v>FinBERT ile farklı; manuel inceleme önerilir.</x:v>
      </x:c>
    </x:row>
    <x:row r="28" ht="54" customHeight="1">
      <x:c r="A28" s="20" t="str">
        <x:v>REUTERS_ANN_00927</x:v>
      </x:c>
      <x:c r="B28" s="21" t="n">
        <x:v>39176</x:v>
      </x:c>
      <x:c r="C28" s="22" t="str">
        <x:v>daimlerchrysler in talks on chrysler ceo</x:v>
      </x:c>
      <x:c r="D28" s="22" t="str">
        <x:v>DaimlerChrysler, Chrysler CEO’su konusunda görüşmeler yürütüyor.</x:v>
      </x:c>
      <x:c r="E28" s="20" t="n">
        <x:v>1</x:v>
      </x:c>
      <x:c r="F28" s="20" t="str">
        <x:v>positive</x:v>
      </x:c>
      <x:c r="G28" s="23" t="n">
        <x:v>0.6562708020210266</x:v>
      </x:c>
      <x:c r="H28" s="20" t="n">
        <x:v>0</x:v>
      </x:c>
      <x:c r="I28" s="20" t="str">
        <x:v>neutral</x:v>
      </x:c>
      <x:c r="J28" s="24" t="n">
        <x:v>0.78</x:v>
      </x:c>
      <x:c r="K28" s="22" t="str">
        <x:v>Yönetim görüşmesi bilgisi var; net finansal etki henüz belirsiz.</x:v>
      </x:c>
      <x:c r="L28" s="22" t="str">
        <x:v>different</x:v>
      </x:c>
      <x:c r="M28" s="22" t="str">
        <x:v>FinBERT ile farklı; manuel inceleme önerilir.</x:v>
      </x:c>
    </x:row>
    <x:row r="29" ht="54" customHeight="1">
      <x:c r="A29" s="20" t="str">
        <x:v>REUTERS_ANN_00928</x:v>
      </x:c>
      <x:c r="B29" s="21" t="n">
        <x:v>39184</x:v>
      </x:c>
      <x:c r="C29" s="22" t="str">
        <x:v>corrected gap march same-store sales rise 6 percent</x:v>
      </x:c>
      <x:c r="D29" s="22" t="str">
        <x:v>Düzeltilmiş habere göre Gap’in mart ayı aynı mağaza satışları yüzde 6 arttı.</x:v>
      </x:c>
      <x:c r="E29" s="20" t="n">
        <x:v>1</x:v>
      </x:c>
      <x:c r="F29" s="20" t="str">
        <x:v>positive</x:v>
      </x:c>
      <x:c r="G29" s="23" t="n">
        <x:v>0.783765971660614</x:v>
      </x:c>
      <x:c r="H29" s="20" t="n">
        <x:v>1</x:v>
      </x:c>
      <x:c r="I29" s="20" t="str">
        <x:v>positive</x:v>
      </x:c>
      <x:c r="J29" s="24" t="n">
        <x:v>0.93</x:v>
      </x:c>
      <x:c r="K29" s="22" t="str">
        <x:v>Aynı mağaza satışlarındaki artış perakende performansı açısından olumlu.</x:v>
      </x:c>
      <x:c r="L29" s="22" t="str">
        <x:v>same</x:v>
      </x:c>
      <x:c r="M29" s="22" t="str"/>
    </x:row>
    <x:row r="30" ht="54" customHeight="1">
      <x:c r="A30" s="20" t="str">
        <x:v>REUTERS_ANN_00929</x:v>
      </x:c>
      <x:c r="B30" s="21" t="n">
        <x:v>39107</x:v>
      </x:c>
      <x:c r="C30" s="22" t="str">
        <x:v>homebuilder shares drop after difficult outlook</x:v>
      </x:c>
      <x:c r="D30" s="22" t="str">
        <x:v>Zorlu görünümün ardından konut inşaatı şirketlerinin hisseleri düştü.</x:v>
      </x:c>
      <x:c r="E30" s="20" t="n">
        <x:v>-1</x:v>
      </x:c>
      <x:c r="F30" s="20" t="str">
        <x:v>negative</x:v>
      </x:c>
      <x:c r="G30" s="23" t="n">
        <x:v>0.9726252555847168</x:v>
      </x:c>
      <x:c r="H30" s="20" t="n">
        <x:v>-1</x:v>
      </x:c>
      <x:c r="I30" s="20" t="str">
        <x:v>negative</x:v>
      </x:c>
      <x:c r="J30" s="24" t="n">
        <x:v>0.97</x:v>
      </x:c>
      <x:c r="K30" s="22" t="str">
        <x:v>Zorlu görünüm ve hisse düşüşü açık olumsuz piyasa sinyalidir.</x:v>
      </x:c>
      <x:c r="L30" s="22" t="str">
        <x:v>same</x:v>
      </x:c>
      <x:c r="M30" s="22" t="str"/>
    </x:row>
    <x:row r="31" ht="54" customHeight="1">
      <x:c r="A31" s="20" t="str">
        <x:v>REUTERS_ANN_00930</x:v>
      </x:c>
      <x:c r="B31" s="21" t="n">
        <x:v>39059</x:v>
      </x:c>
      <x:c r="C31" s="22" t="str">
        <x:v>tenet says no drop seen in drug-coated stents</x:v>
      </x:c>
      <x:c r="D31" s="22" t="str">
        <x:v>Tenet, ilaç kaplı stentlerde düşüş görülmediğini söyledi.</x:v>
      </x:c>
      <x:c r="E31" s="20" t="n">
        <x:v>-1</x:v>
      </x:c>
      <x:c r="F31" s="20" t="str">
        <x:v>negative</x:v>
      </x:c>
      <x:c r="G31" s="23" t="n">
        <x:v>0.8979395627975464</x:v>
      </x:c>
      <x:c r="H31" s="20" t="n">
        <x:v>1</x:v>
      </x:c>
      <x:c r="I31" s="20" t="str">
        <x:v>positive</x:v>
      </x:c>
      <x:c r="J31" s="24" t="n">
        <x:v>0.69</x:v>
      </x:c>
      <x:c r="K31" s="22" t="str">
        <x:v>Beklenen zayıflığın görülmediği mesajı ilgili talep/gelir görünümü için olumlu sayılabilir.</x:v>
      </x:c>
      <x:c r="L31" s="22" t="str">
        <x:v>different</x:v>
      </x:c>
      <x:c r="M31" s="22" t="str">
        <x:v>FinBERT ile farklı; manuel inceleme önerilir.</x:v>
      </x:c>
    </x:row>
    <x:row r="32" ht="54" customHeight="1">
      <x:c r="A32" s="20" t="str">
        <x:v>REUTERS_ANN_00931</x:v>
      </x:c>
      <x:c r="B32" s="21" t="n">
        <x:v>39176</x:v>
      </x:c>
      <x:c r="C32" s="22" t="str">
        <x:v>monster revenue to miss forecast</x:v>
      </x:c>
      <x:c r="D32" s="22" t="str">
        <x:v>Monster’ın gelirlerinin tahminlerin altında kalması bekleniyor.</x:v>
      </x:c>
      <x:c r="E32" s="20" t="n">
        <x:v>-1</x:v>
      </x:c>
      <x:c r="F32" s="20" t="str">
        <x:v>negative</x:v>
      </x:c>
      <x:c r="G32" s="23" t="n">
        <x:v>0.9748091697692872</x:v>
      </x:c>
      <x:c r="H32" s="20" t="n">
        <x:v>-1</x:v>
      </x:c>
      <x:c r="I32" s="20" t="str">
        <x:v>negative</x:v>
      </x:c>
      <x:c r="J32" s="24" t="n">
        <x:v>0.97</x:v>
      </x:c>
      <x:c r="K32" s="22" t="str">
        <x:v>Gelirin beklentileri kaçırması doğrudan olumsuz finansal sinyaldir.</x:v>
      </x:c>
      <x:c r="L32" s="22" t="str">
        <x:v>same</x:v>
      </x:c>
      <x:c r="M32" s="22" t="str"/>
    </x:row>
    <x:row r="33" ht="54" customHeight="1">
      <x:c r="A33" s="20" t="str">
        <x:v>REUTERS_ANN_00932</x:v>
      </x:c>
      <x:c r="B33" s="21" t="n">
        <x:v>39197</x:v>
      </x:c>
      <x:c r="C33" s="22" t="str">
        <x:v>new home sales rise 2.6 pct in march</x:v>
      </x:c>
      <x:c r="D33" s="22" t="str">
        <x:v>Yeni konut satışları mart ayında yüzde 2,6 arttı.</x:v>
      </x:c>
      <x:c r="E33" s="20" t="n">
        <x:v>1</x:v>
      </x:c>
      <x:c r="F33" s="20" t="str">
        <x:v>positive</x:v>
      </x:c>
      <x:c r="G33" s="23" t="n">
        <x:v>0.9277331829071044</x:v>
      </x:c>
      <x:c r="H33" s="20" t="n">
        <x:v>1</x:v>
      </x:c>
      <x:c r="I33" s="20" t="str">
        <x:v>positive</x:v>
      </x:c>
      <x:c r="J33" s="24" t="n">
        <x:v>0.91</x:v>
      </x:c>
      <x:c r="K33" s="22" t="str">
        <x:v>Konut satışlarındaki artış ekonomi/konut sektörü için olumlu göstergedir.</x:v>
      </x:c>
      <x:c r="L33" s="22" t="str">
        <x:v>same</x:v>
      </x:c>
      <x:c r="M33" s="22" t="str"/>
    </x:row>
    <x:row r="34" ht="54" customHeight="1">
      <x:c r="A34" s="20" t="str">
        <x:v>REUTERS_ANN_00933</x:v>
      </x:c>
      <x:c r="B34" s="21" t="n">
        <x:v>39034</x:v>
      </x:c>
      <x:c r="C34" s="22" t="str">
        <x:v>motorola wins $1.6 billion china mobile phone order</x:v>
      </x:c>
      <x:c r="D34" s="22" t="str">
        <x:v>Motorola, Çin’den 1,6 milyar dolarlık cep telefonu siparişi kazandı.</x:v>
      </x:c>
      <x:c r="E34" s="20" t="n">
        <x:v>0</x:v>
      </x:c>
      <x:c r="F34" s="20" t="str">
        <x:v>neutral</x:v>
      </x:c>
      <x:c r="G34" s="23" t="n">
        <x:v>0.7367767095565796</x:v>
      </x:c>
      <x:c r="H34" s="20" t="n">
        <x:v>1</x:v>
      </x:c>
      <x:c r="I34" s="20" t="str">
        <x:v>positive</x:v>
      </x:c>
      <x:c r="J34" s="24" t="n">
        <x:v>0.89</x:v>
      </x:c>
      <x:c r="K34" s="22" t="str">
        <x:v>Büyük tutarlı sipariş kazanımı şirket için olumlu gelir sinyalidir.</x:v>
      </x:c>
      <x:c r="L34" s="22" t="str">
        <x:v>different</x:v>
      </x:c>
      <x:c r="M34" s="22" t="str">
        <x:v>FinBERT ile farklı; manuel inceleme önerilir.</x:v>
      </x:c>
    </x:row>
    <x:row r="35" ht="54" customHeight="1">
      <x:c r="A35" s="20" t="str">
        <x:v>REUTERS_ANN_00934</x:v>
      </x:c>
      <x:c r="B35" s="21" t="n">
        <x:v>39064</x:v>
      </x:c>
      <x:c r="C35" s="22" t="str">
        <x:v>qantas rejects $8.6 billion bid, shares fall</x:v>
      </x:c>
      <x:c r="D35" s="22" t="str">
        <x:v>Qantas, 8,6 milyar dolarlık teklifi reddetti; hisseleri düştü.</x:v>
      </x:c>
      <x:c r="E35" s="20" t="n">
        <x:v>-1</x:v>
      </x:c>
      <x:c r="F35" s="20" t="str">
        <x:v>negative</x:v>
      </x:c>
      <x:c r="G35" s="23" t="n">
        <x:v>0.9718442559242249</x:v>
      </x:c>
      <x:c r="H35" s="20" t="n">
        <x:v>-1</x:v>
      </x:c>
      <x:c r="I35" s="20" t="str">
        <x:v>negative</x:v>
      </x:c>
      <x:c r="J35" s="24" t="n">
        <x:v>0.95</x:v>
      </x:c>
      <x:c r="K35" s="22" t="str">
        <x:v>Teklifin reddi sonrası hisse düşüşü olumsuz piyasa tepkisidir.</x:v>
      </x:c>
      <x:c r="L35" s="22" t="str">
        <x:v>same</x:v>
      </x:c>
      <x:c r="M35" s="22" t="str"/>
    </x:row>
    <x:row r="36" ht="54" customHeight="1">
      <x:c r="A36" s="20" t="str">
        <x:v>REUTERS_ANN_00935</x:v>
      </x:c>
      <x:c r="B36" s="21" t="n">
        <x:v>39078</x:v>
      </x:c>
      <x:c r="C36" s="22" t="str">
        <x:v>automobile magazine names vw gti 2007 car of year</x:v>
      </x:c>
      <x:c r="D36" s="22" t="str">
        <x:v>Automobile Magazine, VW GTI’yi 2007 yılın otomobili seçti.</x:v>
      </x:c>
      <x:c r="E36" s="20" t="n">
        <x:v>0</x:v>
      </x:c>
      <x:c r="F36" s="20" t="str">
        <x:v>neutral</x:v>
      </x:c>
      <x:c r="G36" s="23" t="n">
        <x:v>0.7105541825294495</x:v>
      </x:c>
      <x:c r="H36" s="20" t="n">
        <x:v>1</x:v>
      </x:c>
      <x:c r="I36" s="20" t="str">
        <x:v>positive</x:v>
      </x:c>
      <x:c r="J36" s="24" t="n">
        <x:v>0.7</x:v>
      </x:c>
      <x:c r="K36" s="22" t="str">
        <x:v>Ödül/itibar haberi marka algısı açısından olumlu ancak finansal etkisi dolaylıdır.</x:v>
      </x:c>
      <x:c r="L36" s="22" t="str">
        <x:v>different</x:v>
      </x:c>
      <x:c r="M36" s="22" t="str">
        <x:v>FinBERT ile farklı; manuel inceleme önerilir.</x:v>
      </x:c>
    </x:row>
    <x:row r="37" ht="54" customHeight="1">
      <x:c r="A37" s="20" t="str">
        <x:v>REUTERS_ANN_00936</x:v>
      </x:c>
      <x:c r="B37" s="21" t="n">
        <x:v>39198</x:v>
      </x:c>
      <x:c r="C37" s="22" t="str">
        <x:v>newell rubbermaid profit lower but beats estimates</x:v>
      </x:c>
      <x:c r="D37" s="22" t="str">
        <x:v>Newell Rubbermaid’in kârı düştü ancak tahminleri aştı.</x:v>
      </x:c>
      <x:c r="E37" s="20" t="n">
        <x:v>-1</x:v>
      </x:c>
      <x:c r="F37" s="20" t="str">
        <x:v>negative</x:v>
      </x:c>
      <x:c r="G37" s="23" t="n">
        <x:v>0.8724066615104675</x:v>
      </x:c>
      <x:c r="H37" s="20" t="n">
        <x:v>0</x:v>
      </x:c>
      <x:c r="I37" s="20" t="str">
        <x:v>neutral</x:v>
      </x:c>
      <x:c r="J37" s="24" t="n">
        <x:v>0.66</x:v>
      </x:c>
      <x:c r="K37" s="22" t="str">
        <x:v>Kâr düşüşü olumsuz, beklenti aşımı olumlu olduğu için karışık/nötr etki taşır.</x:v>
      </x:c>
      <x:c r="L37" s="22" t="str">
        <x:v>different</x:v>
      </x:c>
      <x:c r="M37" s="22" t="str">
        <x:v>FinBERT ile farklı; manuel inceleme önerilir.</x:v>
      </x:c>
    </x:row>
    <x:row r="38" ht="54" customHeight="1">
      <x:c r="A38" s="20" t="str">
        <x:v>REUTERS_ANN_00937</x:v>
      </x:c>
      <x:c r="B38" s="21" t="n">
        <x:v>39057</x:v>
      </x:c>
      <x:c r="C38" s="22" t="str">
        <x:v>us home loan demand rises as refinancing surges</x:v>
      </x:c>
      <x:c r="D38" s="22" t="str">
        <x:v>Refinansman artışıyla ABD konut kredisi talebi yükseldi.</x:v>
      </x:c>
      <x:c r="E38" s="20" t="n">
        <x:v>1</x:v>
      </x:c>
      <x:c r="F38" s="20" t="str">
        <x:v>positive</x:v>
      </x:c>
      <x:c r="G38" s="23" t="n">
        <x:v>0.5946221351623535</x:v>
      </x:c>
      <x:c r="H38" s="20" t="n">
        <x:v>1</x:v>
      </x:c>
      <x:c r="I38" s="20" t="str">
        <x:v>positive</x:v>
      </x:c>
      <x:c r="J38" s="24" t="n">
        <x:v>0.86</x:v>
      </x:c>
      <x:c r="K38" s="22" t="str">
        <x:v>Konut kredisi talebindeki artış finansal aktivite açısından olumlu.</x:v>
      </x:c>
      <x:c r="L38" s="22" t="str">
        <x:v>same</x:v>
      </x:c>
      <x:c r="M38" s="22" t="str"/>
    </x:row>
    <x:row r="39" ht="54" customHeight="1">
      <x:c r="A39" s="20" t="str">
        <x:v>REUTERS_ANN_00938</x:v>
      </x:c>
      <x:c r="B39" s="21" t="n">
        <x:v>39063</x:v>
      </x:c>
      <x:c r="C39" s="22" t="str">
        <x:v>ge raises dividend, sets 2007 profit target</x:v>
      </x:c>
      <x:c r="D39" s="22" t="str">
        <x:v>GE temettüsünü artırdı ve 2007 kâr hedefini belirledi.</x:v>
      </x:c>
      <x:c r="E39" s="20" t="n">
        <x:v>1</x:v>
      </x:c>
      <x:c r="F39" s="20" t="str">
        <x:v>positive</x:v>
      </x:c>
      <x:c r="G39" s="23" t="n">
        <x:v>0.9343174695968628</x:v>
      </x:c>
      <x:c r="H39" s="20" t="n">
        <x:v>1</x:v>
      </x:c>
      <x:c r="I39" s="20" t="str">
        <x:v>positive</x:v>
      </x:c>
      <x:c r="J39" s="24" t="n">
        <x:v>0.92</x:v>
      </x:c>
      <x:c r="K39" s="22" t="str">
        <x:v>Temettü artışı ve kâr hedefi yatırımcı açısından olumlu güven sinyali verir.</x:v>
      </x:c>
      <x:c r="L39" s="22" t="str">
        <x:v>same</x:v>
      </x:c>
      <x:c r="M39" s="22" t="str"/>
    </x:row>
    <x:row r="40" ht="54" customHeight="1">
      <x:c r="A40" s="20" t="str">
        <x:v>REUTERS_ANN_00939</x:v>
      </x:c>
      <x:c r="B40" s="21" t="n">
        <x:v>39099</x:v>
      </x:c>
      <x:c r="C40" s="22" t="str">
        <x:v>airbus says 790 plane orders in 06, trails boeing</x:v>
      </x:c>
      <x:c r="D40" s="22" t="str">
        <x:v>Airbus, 2006’da 790 uçak siparişi aldığını ancak Boeing’in gerisinde kaldığını söyledi.</x:v>
      </x:c>
      <x:c r="E40" s="20" t="n">
        <x:v>-1</x:v>
      </x:c>
      <x:c r="F40" s="20" t="str">
        <x:v>negative</x:v>
      </x:c>
      <x:c r="G40" s="23" t="n">
        <x:v>0.4833608269691467</x:v>
      </x:c>
      <x:c r="H40" s="20" t="n">
        <x:v>-1</x:v>
      </x:c>
      <x:c r="I40" s="20" t="str">
        <x:v>negative</x:v>
      </x:c>
      <x:c r="J40" s="24" t="n">
        <x:v>0.71</x:v>
      </x:c>
      <x:c r="K40" s="22" t="str">
        <x:v>Sipariş sayısı yüksek olsa da rakibin gerisinde kalma vurgusu göreli olumsuzluk yaratıyor.</x:v>
      </x:c>
      <x:c r="L40" s="22" t="str">
        <x:v>same</x:v>
      </x:c>
      <x:c r="M40" s="22" t="str"/>
    </x:row>
    <x:row r="41" ht="54" customHeight="1">
      <x:c r="A41" s="20" t="str">
        <x:v>REUTERS_ANN_00940</x:v>
      </x:c>
      <x:c r="B41" s="21" t="n">
        <x:v>39119</x:v>
      </x:c>
      <x:c r="C41" s="22" t="str">
        <x:v>wrigley profit rises, international strong</x:v>
      </x:c>
      <x:c r="D41" s="22" t="str">
        <x:v>Wrigley’nin kârı arttı; uluslararası performans güçlüydü.</x:v>
      </x:c>
      <x:c r="E41" s="20" t="n">
        <x:v>1</x:v>
      </x:c>
      <x:c r="F41" s="20" t="str">
        <x:v>positive</x:v>
      </x:c>
      <x:c r="G41" s="23" t="n">
        <x:v>0.9478857517242432</x:v>
      </x:c>
      <x:c r="H41" s="20" t="n">
        <x:v>1</x:v>
      </x:c>
      <x:c r="I41" s="20" t="str">
        <x:v>positive</x:v>
      </x:c>
      <x:c r="J41" s="24" t="n">
        <x:v>0.95</x:v>
      </x:c>
      <x:c r="K41" s="22" t="str">
        <x:v>Kâr artışı ve güçlü uluslararası performans açık olumlu sinyaldir.</x:v>
      </x:c>
      <x:c r="L41" s="22" t="str">
        <x:v>same</x:v>
      </x:c>
      <x:c r="M41" s="22" t="str"/>
    </x:row>
    <x:row r="42" ht="54" customHeight="1">
      <x:c r="A42" s="20" t="str">
        <x:v>REUTERS_ANN_00941</x:v>
      </x:c>
      <x:c r="B42" s="21" t="n">
        <x:v>39013</x:v>
      </x:c>
      <x:c r="C42" s="22" t="str">
        <x:v>wrigley sees no change in communications policy</x:v>
      </x:c>
      <x:c r="D42" s="22" t="str">
        <x:v>Wrigley iletişim politikasında değişiklik görmediğini belirtti.</x:v>
      </x:c>
      <x:c r="E42" s="20" t="n">
        <x:v>0</x:v>
      </x:c>
      <x:c r="F42" s="20" t="str">
        <x:v>neutral</x:v>
      </x:c>
      <x:c r="G42" s="23" t="n">
        <x:v>0.8491343259811401</x:v>
      </x:c>
      <x:c r="H42" s="20" t="n">
        <x:v>0</x:v>
      </x:c>
      <x:c r="I42" s="20" t="str">
        <x:v>neutral</x:v>
      </x:c>
      <x:c r="J42" s="24" t="n">
        <x:v>0.9</x:v>
      </x:c>
      <x:c r="K42" s="22" t="str">
        <x:v>Politika değişikliği olmadığını belirten açıklama; net finansal yön yok.</x:v>
      </x:c>
      <x:c r="L42" s="22" t="str">
        <x:v>same</x:v>
      </x:c>
      <x:c r="M42" s="22" t="str"/>
    </x:row>
    <x:row r="43" ht="54" customHeight="1">
      <x:c r="A43" s="20" t="str">
        <x:v>REUTERS_ANN_00942</x:v>
      </x:c>
      <x:c r="B43" s="21" t="n">
        <x:v>39209</x:v>
      </x:c>
      <x:c r="C43" s="22" t="str">
        <x:v>alcoa-alcan deal aims to forge aluminum powerhouse</x:v>
      </x:c>
      <x:c r="D43" s="22" t="str">
        <x:v>Alcoa-Alcan anlaşması bir alüminyum devi oluşturmayı amaçlıyor.</x:v>
      </x:c>
      <x:c r="E43" s="20" t="n">
        <x:v>1</x:v>
      </x:c>
      <x:c r="F43" s="20" t="str">
        <x:v>positive</x:v>
      </x:c>
      <x:c r="G43" s="23" t="n">
        <x:v>0.7321460843086243</x:v>
      </x:c>
      <x:c r="H43" s="20" t="n">
        <x:v>1</x:v>
      </x:c>
      <x:c r="I43" s="20" t="str">
        <x:v>positive</x:v>
      </x:c>
      <x:c r="J43" s="24" t="n">
        <x:v>0.84</x:v>
      </x:c>
      <x:c r="K43" s="22" t="str">
        <x:v>Stratejik birleşme ve sektör devi oluşturma hedefi büyüme açısından olumlu.</x:v>
      </x:c>
      <x:c r="L43" s="22" t="str">
        <x:v>same</x:v>
      </x:c>
      <x:c r="M43" s="22" t="str"/>
    </x:row>
    <x:row r="44" ht="54" customHeight="1">
      <x:c r="A44" s="20" t="str">
        <x:v>REUTERS_ANN_00943</x:v>
      </x:c>
      <x:c r="B44" s="21" t="n">
        <x:v>39049</x:v>
      </x:c>
      <x:c r="C44" s="22" t="str">
        <x:v>iberdrola to buy scottish power in $22.5 bln deal</x:v>
      </x:c>
      <x:c r="D44" s="22" t="str">
        <x:v>Iberdrola, Scottish Power’ı 22,5 milyar dolarlık anlaşmayla satın alacak.</x:v>
      </x:c>
      <x:c r="E44" s="20" t="n">
        <x:v>1</x:v>
      </x:c>
      <x:c r="F44" s="20" t="str">
        <x:v>positive</x:v>
      </x:c>
      <x:c r="G44" s="23" t="n">
        <x:v>0.6230566501617432</x:v>
      </x:c>
      <x:c r="H44" s="20" t="n">
        <x:v>1</x:v>
      </x:c>
      <x:c r="I44" s="20" t="str">
        <x:v>positive</x:v>
      </x:c>
      <x:c r="J44" s="24" t="n">
        <x:v>0.8</x:v>
      </x:c>
      <x:c r="K44" s="22" t="str">
        <x:v>Büyük ölçekli satın alma stratejik genişleme ve büyüme sinyali verir.</x:v>
      </x:c>
      <x:c r="L44" s="22" t="str">
        <x:v>same</x:v>
      </x:c>
      <x:c r="M44" s="22" t="str"/>
    </x:row>
    <x:row r="45" ht="54" customHeight="1">
      <x:c r="A45" s="20" t="str">
        <x:v>REUTERS_ANN_00944</x:v>
      </x:c>
      <x:c r="B45" s="21" t="n">
        <x:v>39127</x:v>
      </x:c>
      <x:c r="C45" s="22" t="str">
        <x:v>factbox-chrysler restructuring includes product initiatives</x:v>
      </x:c>
      <x:c r="D45" s="22" t="str">
        <x:v>Bilgi kutusu: Chrysler’in yeniden yapılanması ürün girişimlerini de içeriyor.</x:v>
      </x:c>
      <x:c r="E45" s="20" t="n">
        <x:v>-1</x:v>
      </x:c>
      <x:c r="F45" s="20" t="str">
        <x:v>negative</x:v>
      </x:c>
      <x:c r="G45" s="23" t="n">
        <x:v>0.9595982432365416</x:v>
      </x:c>
      <x:c r="H45" s="20" t="n">
        <x:v>0</x:v>
      </x:c>
      <x:c r="I45" s="20" t="str">
        <x:v>neutral</x:v>
      </x:c>
      <x:c r="J45" s="24" t="n">
        <x:v>0.72</x:v>
      </x:c>
      <x:c r="K45" s="22" t="str">
        <x:v>Bilgi kutusu niteliğinde; yeniden yapılanma bağlamı var ama doğrudan performans sonucu yok.</x:v>
      </x:c>
      <x:c r="L45" s="22" t="str">
        <x:v>different</x:v>
      </x:c>
      <x:c r="M45" s="22" t="str">
        <x:v>FinBERT ile farklı; manuel inceleme önerilir.</x:v>
      </x:c>
    </x:row>
    <x:row r="46" ht="54" customHeight="1">
      <x:c r="A46" s="20" t="str">
        <x:v>REUTERS_ANN_00945</x:v>
      </x:c>
      <x:c r="B46" s="21" t="n">
        <x:v>39107</x:v>
      </x:c>
      <x:c r="C46" s="22" t="str">
        <x:v>att earnings rise on savings</x:v>
      </x:c>
      <x:c r="D46" s="22" t="str">
        <x:v>AT&amp;T’nin kârı tasarruflar sayesinde arttı.</x:v>
      </x:c>
      <x:c r="E46" s="20" t="n">
        <x:v>-1</x:v>
      </x:c>
      <x:c r="F46" s="20" t="str">
        <x:v>negative</x:v>
      </x:c>
      <x:c r="G46" s="23" t="n">
        <x:v>0.9689590334892272</x:v>
      </x:c>
      <x:c r="H46" s="20" t="n">
        <x:v>1</x:v>
      </x:c>
      <x:c r="I46" s="20" t="str">
        <x:v>positive</x:v>
      </x:c>
      <x:c r="J46" s="24" t="n">
        <x:v>0.93</x:v>
      </x:c>
      <x:c r="K46" s="22" t="str">
        <x:v>Kâr artışı ve tasarruf katkısı şirket performansı için olumlu.</x:v>
      </x:c>
      <x:c r="L46" s="22" t="str">
        <x:v>different</x:v>
      </x:c>
      <x:c r="M46" s="22" t="str">
        <x:v>FinBERT ile farklı; manuel inceleme önerilir.</x:v>
      </x:c>
    </x:row>
    <x:row r="47" ht="54" customHeight="1">
      <x:c r="A47" s="20" t="str">
        <x:v>REUTERS_ANN_00946</x:v>
      </x:c>
      <x:c r="B47" s="21" t="n">
        <x:v>39119</x:v>
      </x:c>
      <x:c r="C47" s="22" t="str">
        <x:v>exxon, alabama to face off in state supreme court</x:v>
      </x:c>
      <x:c r="D47" s="22" t="str">
        <x:v>Exxon ve Alabama eyalet yüksek mahkemesinde karşı karşıya gelecek.</x:v>
      </x:c>
      <x:c r="E47" s="20" t="n">
        <x:v>-1</x:v>
      </x:c>
      <x:c r="F47" s="20" t="str">
        <x:v>negative</x:v>
      </x:c>
      <x:c r="G47" s="23" t="n">
        <x:v>0.8779870867729187</x:v>
      </x:c>
      <x:c r="H47" s="20" t="n">
        <x:v>-1</x:v>
      </x:c>
      <x:c r="I47" s="20" t="str">
        <x:v>negative</x:v>
      </x:c>
      <x:c r="J47" s="24" t="n">
        <x:v>0.75</x:v>
      </x:c>
      <x:c r="K47" s="22" t="str">
        <x:v>Yargı süreci ve hukuki ihtilaf şirket için risk ve belirsizlik yaratır.</x:v>
      </x:c>
      <x:c r="L47" s="22" t="str">
        <x:v>same</x:v>
      </x:c>
      <x:c r="M47" s="22" t="str"/>
    </x:row>
    <x:row r="48" ht="54" customHeight="1">
      <x:c r="A48" s="20" t="str">
        <x:v>REUTERS_ANN_00947</x:v>
      </x:c>
      <x:c r="B48" s="21" t="n">
        <x:v>39099</x:v>
      </x:c>
      <x:c r="C48" s="22" t="str">
        <x:v>lennar posts loss, but outlook lifts shares</x:v>
      </x:c>
      <x:c r="D48" s="22" t="str">
        <x:v>Lennar zarar açıkladı ancak görünüm hisseleri yükseltti.</x:v>
      </x:c>
      <x:c r="E48" s="20" t="n">
        <x:v>-1</x:v>
      </x:c>
      <x:c r="F48" s="20" t="str">
        <x:v>negative</x:v>
      </x:c>
      <x:c r="G48" s="23" t="n">
        <x:v>0.7087224125862122</x:v>
      </x:c>
      <x:c r="H48" s="20" t="n">
        <x:v>0</x:v>
      </x:c>
      <x:c r="I48" s="20" t="str">
        <x:v>neutral</x:v>
      </x:c>
      <x:c r="J48" s="24" t="n">
        <x:v>0.68</x:v>
      </x:c>
      <x:c r="K48" s="22" t="str">
        <x:v>Zarar olumsuz, görünüm ve hisse tepkisi olumlu olduğu için net etki karışık.</x:v>
      </x:c>
      <x:c r="L48" s="22" t="str">
        <x:v>different</x:v>
      </x:c>
      <x:c r="M48" s="22" t="str">
        <x:v>FinBERT ile farklı; manuel inceleme önerilir.</x:v>
      </x:c>
    </x:row>
    <x:row r="49" ht="54" customHeight="1">
      <x:c r="A49" s="20" t="str">
        <x:v>REUTERS_ANN_00948</x:v>
      </x:c>
      <x:c r="B49" s="21" t="n">
        <x:v>39073</x:v>
      </x:c>
      <x:c r="C49" s="22" t="str">
        <x:v>polaris to sell 20 pct stake in ktm for 58.5 mln euros</x:v>
      </x:c>
      <x:c r="D49" s="22" t="str">
        <x:v>Polaris, KTM’deki yüzde 20 hissesini 58,5 milyon avroya satacak.</x:v>
      </x:c>
      <x:c r="E49" s="20" t="n">
        <x:v>0</x:v>
      </x:c>
      <x:c r="F49" s="20" t="str">
        <x:v>neutral</x:v>
      </x:c>
      <x:c r="G49" s="23" t="n">
        <x:v>0.929346203804016</x:v>
      </x:c>
      <x:c r="H49" s="20" t="n">
        <x:v>0</x:v>
      </x:c>
      <x:c r="I49" s="20" t="str">
        <x:v>neutral</x:v>
      </x:c>
      <x:c r="J49" s="24" t="n">
        <x:v>0.78</x:v>
      </x:c>
      <x:c r="K49" s="22" t="str">
        <x:v>Varlık satışı bilgisi var; değer yaratımı veya zarar etkisi başlıkta net değil.</x:v>
      </x:c>
      <x:c r="L49" s="22" t="str">
        <x:v>same</x:v>
      </x:c>
      <x:c r="M49" s="22" t="str"/>
    </x:row>
    <x:row r="50" ht="54" customHeight="1">
      <x:c r="A50" s="20" t="str">
        <x:v>REUTERS_ANN_00949</x:v>
      </x:c>
      <x:c r="B50" s="21" t="n">
        <x:v>39122</x:v>
      </x:c>
      <x:c r="C50" s="22" t="str">
        <x:v>semiconductors hit indexes after micron warning</x:v>
      </x:c>
      <x:c r="D50" s="22" t="str">
        <x:v>Micron uyarısının ardından yarı iletkenler endeksleri baskıladı.</x:v>
      </x:c>
      <x:c r="E50" s="20" t="n">
        <x:v>-1</x:v>
      </x:c>
      <x:c r="F50" s="20" t="str">
        <x:v>negative</x:v>
      </x:c>
      <x:c r="G50" s="23" t="n">
        <x:v>0.9708240628242492</x:v>
      </x:c>
      <x:c r="H50" s="20" t="n">
        <x:v>-1</x:v>
      </x:c>
      <x:c r="I50" s="20" t="str">
        <x:v>negative</x:v>
      </x:c>
      <x:c r="J50" s="24" t="n">
        <x:v>0.94</x:v>
      </x:c>
      <x:c r="K50" s="22" t="str">
        <x:v>Şirket uyarısının sektör ve endeksleri baskılaması olumsuz piyasa etkisidir.</x:v>
      </x:c>
      <x:c r="L50" s="22" t="str">
        <x:v>same</x:v>
      </x:c>
      <x:c r="M50" s="22" t="str"/>
    </x:row>
    <x:row r="51" ht="54" customHeight="1">
      <x:c r="A51" s="20" t="str">
        <x:v>REUTERS_ANN_00950</x:v>
      </x:c>
      <x:c r="B51" s="21" t="n">
        <x:v>39142</x:v>
      </x:c>
      <x:c r="C51" s="22" t="str">
        <x:v>general electric to sell $2.9 bln swiss re stake</x:v>
      </x:c>
      <x:c r="D51" s="22" t="str">
        <x:v>General Electric, Swiss Re’deki 2,9 milyar dolarlık hissesini satacak.</x:v>
      </x:c>
      <x:c r="E51" s="20" t="n">
        <x:v>0</x:v>
      </x:c>
      <x:c r="F51" s="20" t="str">
        <x:v>neutral</x:v>
      </x:c>
      <x:c r="G51" s="23" t="n">
        <x:v>0.758632242679596</x:v>
      </x:c>
      <x:c r="H51" s="20" t="n">
        <x:v>0</x:v>
      </x:c>
      <x:c r="I51" s="20" t="str">
        <x:v>neutral</x:v>
      </x:c>
      <x:c r="J51" s="24" t="n">
        <x:v>0.8</x:v>
      </x:c>
      <x:c r="K51" s="22" t="str">
        <x:v>Hisse satışı bir portföy işlemi; başlık tek başına olumlu/olumsuz finansal etki göstermiyor.</x:v>
      </x:c>
      <x:c r="L51" s="22" t="str">
        <x:v>same</x:v>
      </x:c>
      <x:c r="M51" s="22" t="str"/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66c1676414f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0" t="str">
        <x:v>REUTERS ANNOTATION BATCH 019</x:v>
      </x:c>
      <x:c r="B1" s="30" t="str"/>
    </x:row>
    <x:row r="2">
      <x:c r="A2" t="str">
        <x:v>Rows</x:v>
      </x:c>
      <x:c r="B2" t="str">
        <x:v>900 - 949</x:v>
      </x:c>
    </x:row>
    <x:row r="3">
      <x:c r="A3" t="str">
        <x:v>Total rows</x:v>
      </x:c>
      <x:c r="B3" t="n">
        <x:v>50</x:v>
      </x:c>
    </x:row>
    <x:row r="4">
      <x:c r="A4" t="str"/>
      <x:c r="B4" t="str"/>
    </x:row>
    <x:row r="5">
      <x:c r="A5" s="6" t="str">
        <x:v>ChatGPT label</x:v>
      </x:c>
      <x:c r="B5" s="6" t="str">
        <x:v>Count</x:v>
      </x:c>
    </x:row>
    <x:row r="6">
      <x:c r="A6" t="str">
        <x:v>positive</x:v>
      </x:c>
      <x:c r="B6" t="n">
        <x:f>COUNTIF(annotations!I:I,A6)</x:f>
        <x:v>23</x:v>
      </x:c>
    </x:row>
    <x:row r="7">
      <x:c r="A7" t="str">
        <x:v>neutral</x:v>
      </x:c>
      <x:c r="B7" t="n">
        <x:f>COUNTIF(annotations!I:I,A7)</x:f>
        <x:v>14</x:v>
      </x:c>
    </x:row>
    <x:row r="8">
      <x:c r="A8" t="str">
        <x:v>negative</x:v>
      </x:c>
      <x:c r="B8" t="n">
        <x:f>COUNTIF(annotations!I:I,A8)</x:f>
        <x:v>13</x:v>
      </x:c>
    </x:row>
    <x:row r="9">
      <x:c r="A9" t="str"/>
      <x:c r="B9" t="str"/>
    </x:row>
    <x:row r="10">
      <x:c r="A10" s="6" t="str">
        <x:v>FinBERT comparison</x:v>
      </x:c>
      <x:c r="B10" s="6" t="str">
        <x:v>Count</x:v>
      </x:c>
    </x:row>
    <x:row r="11">
      <x:c r="A11" t="str">
        <x:v>same</x:v>
      </x:c>
      <x:c r="B11" t="n">
        <x:f>COUNTIF(annotations!L:L,A11)</x:f>
        <x:v>36</x:v>
      </x:c>
    </x:row>
    <x:row r="12">
      <x:c r="A12" t="str">
        <x:v>different</x:v>
      </x:c>
      <x:c r="B12" t="n">
        <x:f>COUNTIF(annotations!L:L,A12)</x:f>
        <x:v>14</x:v>
      </x:c>
    </x:row>
  </x:sheetData>
  <x:pageMargins left="0.7" right="0.7" top="0.75" bottom="0.75" header="0.3" footer="0.3"/>
  <x:drawing xmlns:r="http://schemas.openxmlformats.org/officeDocument/2006/relationships" r:id="Reca6c7302a6e4158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Alan</x:v>
      </x:c>
      <x:c r="B1" s="6" t="str">
        <x:v>Açıklama</x:v>
      </x:c>
    </x:row>
    <x:row r="2" ht="42" customHeight="1">
      <x:c r="A2" s="22" t="str">
        <x:v>Etiketleme kriteri</x:v>
      </x:c>
      <x:c r="B2" s="22" t="str">
        <x:v>Başlığın yatırımcı/piyasa/şirket açısından baskın finansal etkisi esas alındı.</x:v>
      </x:c>
    </x:row>
    <x:row r="3" ht="42" customHeight="1">
      <x:c r="A3" s="22" t="str">
        <x:v>positive</x:v>
      </x:c>
      <x:c r="B3" s="22" t="str">
        <x:v>Kâr/satış artışı, beklenti aşımı, güçlü piyasa tepkisi, stratejik büyüme veya risk azalması.</x:v>
      </x:c>
    </x:row>
    <x:row r="4" ht="42" customHeight="1">
      <x:c r="A4" s="22" t="str">
        <x:v>negative</x:v>
      </x:c>
      <x:c r="B4" s="22" t="str">
        <x:v>Kâr düşüşü, zarar, dava/ceza/geri çağırma, talep düşüşü, not indirimi riski veya piyasa baskısı.</x:v>
      </x:c>
    </x:row>
    <x:row r="5" ht="42" customHeight="1">
      <x:c r="A5" s="22" t="str">
        <x:v>neutral</x:v>
      </x:c>
      <x:c r="B5" s="22" t="str">
        <x:v>Bilgi kutusu, söylenti, kesinleşmemiş işlem, ürün duyurusu veya net yönü zayıf/karışık haber.</x:v>
      </x:c>
    </x:row>
    <x:row r="6" ht="42" customHeight="1">
      <x:c r="A6" s="22" t="str">
        <x:v>finbert_match</x:v>
      </x:c>
      <x:c r="B6" s="22" t="str">
        <x:v>ChatGPT etiketi ile FinBERT etiketi aynıysa same, farklıysa different olarak işaretlendi.</x:v>
      </x:c>
    </x:row>
  </x:sheetData>
  <x:pageMargins left="0.7" right="0.7" top="0.75" bottom="0.75" header="0.3" footer="0.3"/>
</x:worksheet>
</file>