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f13ed638d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2f2f257e8d5040fd"/>
    <x:sheet xmlns:r="http://schemas.openxmlformats.org/officeDocument/2006/relationships" name="summary" sheetId="2" r:id="R75f5bf58389b448d"/>
    <x:sheet xmlns:r="http://schemas.openxmlformats.org/officeDocument/2006/relationships" name="labeling_notes" sheetId="3" r:id="R0603855e1c944f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0"/>
    <x:numFmt numFmtId="202" formatCode="0.00"/>
    <x:numFmt numFmtId="203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E5E7EB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107d782964a99" /><Relationship Type="http://schemas.openxmlformats.org/officeDocument/2006/relationships/theme" Target="/xl/theme/theme1.xml" Id="R624564b1e2f94152" /><Relationship Type="http://schemas.openxmlformats.org/officeDocument/2006/relationships/sharedStrings" Target="/xl/sharedStrings.xml" Id="Rf7acd05f9b0a446c" /><Relationship Type="http://schemas.openxmlformats.org/officeDocument/2006/relationships/worksheet" Target="/xl/worksheets/sheet1.xml" Id="R2f2f257e8d5040fd" /><Relationship Type="http://schemas.openxmlformats.org/officeDocument/2006/relationships/worksheet" Target="/xl/worksheets/sheet2.xml" Id="R75f5bf58389b448d" /><Relationship Type="http://schemas.openxmlformats.org/officeDocument/2006/relationships/worksheet" Target="/xl/worksheets/sheet3.xml" Id="R0603855e1c944f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a1818b375814ce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11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1818b375814c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nnotationsTable028" displayName="AnnotationsTable028" ref="A1:M51" headerRowCount="1">
  <x:tableColumns count="13">
    <x:tableColumn id="1" name="annotation_id"/>
    <x:tableColumn id="2" name="date"/>
    <x:tableColumn id="3" name="text_en"/>
    <x:tableColumn id="4" name="text_tr"/>
    <x:tableColumn id="5" name="finbert_score"/>
    <x:tableColumn id="6" name="finbert_label"/>
    <x:tableColumn id="7" name="finbert_confidence"/>
    <x:tableColumn id="8" name="chatgpt_score"/>
    <x:tableColumn id="9" name="chatgpt_label"/>
    <x:tableColumn id="10" name="chatgpt_confidence"/>
    <x:tableColumn id="11" name="chatgpt_reason_tr"/>
    <x:tableColumn id="12" name="finbert_alignment"/>
    <x:tableColumn id="13" name="review_note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028" displayName="SummaryTable028" ref="A3:D10" headerRowCount="1">
  <x:tableColumns count="4">
    <x:tableColumn id="1" name="Metric"/>
    <x:tableColumn id="2" name="Value"/>
    <x:tableColumn id="3" name="Formula/Note"/>
    <x:tableColumn id="4" name="Column4"/>
  </x:tableColumns>
  <x:tableStyleInfo name="TableStyleMedium2" showRowStripes="1"/>
</x:table>
</file>

<file path=xl/tables/table3.xml><?xml version="1.0" encoding="utf-8"?>
<x:table xmlns:x="http://schemas.openxmlformats.org/spreadsheetml/2006/main" id="3" name="LabelCounts028" displayName="LabelCounts028" ref="F3:G6" headerRowCount="1">
  <x:tableColumns count="2">
    <x:tableColumn id="1" name="Label"/>
    <x:tableColumn id="2" name="Count"/>
  </x:tableColumns>
  <x:tableStyleInfo name="TableStyleMedium2" showRowStripes="1"/>
</x:table>
</file>

<file path=xl/tables/table4.xml><?xml version="1.0" encoding="utf-8"?>
<x:table xmlns:x="http://schemas.openxmlformats.org/spreadsheetml/2006/main" id="4" name="NotesTable028" displayName="NotesTable028" ref="A1:B8" headerRowCount="1">
  <x:tableColumns count="2">
    <x:tableColumn id="1" name="Field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7ec44e64d348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2adb52d3c1a4c2b" /><Relationship Type="http://schemas.openxmlformats.org/officeDocument/2006/relationships/table" Target="/xl/tables/table2.xml" Id="R1ef5d40b4f184b48" /><Relationship Type="http://schemas.openxmlformats.org/officeDocument/2006/relationships/table" Target="/xl/tables/table3.xml" Id="R5f88eb9f5bc34b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7f60b1c5d3f444d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16" hidden="0" customWidth="1"/>
    <x:col min="8" max="8" width="13" hidden="0" customWidth="1"/>
    <x:col min="9" max="9" width="14" hidden="0" customWidth="1"/>
    <x:col min="10" max="10" width="18" hidden="0" customWidth="1"/>
    <x:col min="11" max="11" width="52" hidden="0" customWidth="1"/>
    <x:col min="12" max="12" width="16" hidden="0" customWidth="1"/>
    <x:col min="13" max="13" width="34" hidden="0" customWidth="1"/>
  </x:cols>
  <x:sheetData>
    <x:row r="1">
      <x:c r="A1" s="20" t="str">
        <x:v>annotation_id</x:v>
      </x:c>
      <x:c r="B1" s="20" t="str">
        <x:v>date</x:v>
      </x:c>
      <x:c r="C1" s="20" t="str">
        <x:v>text_en</x:v>
      </x:c>
      <x:c r="D1" s="20" t="str">
        <x:v>text_tr</x:v>
      </x:c>
      <x:c r="E1" s="20" t="str">
        <x:v>finbert_score</x:v>
      </x:c>
      <x:c r="F1" s="20" t="str">
        <x:v>finbert_label</x:v>
      </x:c>
      <x:c r="G1" s="20" t="str">
        <x:v>finbert_confidence</x:v>
      </x:c>
      <x:c r="H1" s="20" t="str">
        <x:v>chatgpt_score</x:v>
      </x:c>
      <x:c r="I1" s="20" t="str">
        <x:v>chatgpt_label</x:v>
      </x:c>
      <x:c r="J1" s="20" t="str">
        <x:v>chatgpt_confidence</x:v>
      </x:c>
      <x:c r="K1" s="20" t="str">
        <x:v>chatgpt_reason_tr</x:v>
      </x:c>
      <x:c r="L1" s="20" t="str">
        <x:v>finbert_alignment</x:v>
      </x:c>
      <x:c r="M1" s="20" t="str">
        <x:v>review_note</x:v>
      </x:c>
    </x:row>
    <x:row r="2">
      <x:c r="A2" s="30" t="str">
        <x:v>REUTERS_ANN_01351</x:v>
      </x:c>
      <x:c r="B2" s="22" t="n">
        <x:v>39149</x:v>
      </x:c>
      <x:c r="C2" s="21" t="str">
        <x:v>exxon sees spending of $20 billion a year through 2011</x:v>
      </x:c>
      <x:c r="D2" s="21" t="str">
        <x:v>Exxon, 2011'e kadar yılda 20 milyar dolar harcama öngörüyor</x:v>
      </x:c>
      <x:c r="E2" s="21" t="n">
        <x:v>1</x:v>
      </x:c>
      <x:c r="F2" s="21" t="str">
        <x:v>positive</x:v>
      </x:c>
      <x:c r="G2" s="23" t="n">
        <x:v>0.7857208251953125</x:v>
      </x:c>
      <x:c r="H2" s="21" t="n">
        <x:v>1</x:v>
      </x:c>
      <x:c r="I2" s="21" t="str">
        <x:v>positive</x:v>
      </x:c>
      <x:c r="J2" s="24" t="n">
        <x:v>0.76</x:v>
      </x:c>
      <x:c r="K2" s="21" t="str">
        <x:v>Yüksek yatırım harcaması büyüme ve kapasite artışı sinyali veriyor.</x:v>
      </x:c>
      <x:c r="L2" s="21" t="str">
        <x:f>IF(F2=I2,"same","different")</x:f>
        <x:v>same</x:v>
      </x:c>
      <x:c r="M2" s="21" t="str">
        <x:f>IF(L2="same","","FinBERT etiketiyle farklı; manuel kontrol önerilir.")</x:f>
      </x:c>
    </x:row>
    <x:row r="3">
      <x:c r="A3" s="30" t="str">
        <x:v>REUTERS_ANN_01352</x:v>
      </x:c>
      <x:c r="B3" s="22" t="n">
        <x:v>39175</x:v>
      </x:c>
      <x:c r="C3" s="21" t="str">
        <x:v>pepsi to double china workforce over 5 years</x:v>
      </x:c>
      <x:c r="D3" s="21" t="str">
        <x:v>Pepsi, Çin'deki çalışan sayısını 5 yılda iki katına çıkaracak</x:v>
      </x:c>
      <x:c r="E3" s="21" t="n">
        <x:v>1</x:v>
      </x:c>
      <x:c r="F3" s="21" t="str">
        <x:v>positive</x:v>
      </x:c>
      <x:c r="G3" s="23" t="n">
        <x:v>0.9401229619979858</x:v>
      </x:c>
      <x:c r="H3" s="21" t="n">
        <x:v>1</x:v>
      </x:c>
      <x:c r="I3" s="21" t="str">
        <x:v>positive</x:v>
      </x:c>
      <x:c r="J3" s="24" t="n">
        <x:v>0.88</x:v>
      </x:c>
      <x:c r="K3" s="21" t="str">
        <x:v>İstihdam ve operasyon genişlemesi şirket için büyüme beklentisini destekliyor.</x:v>
      </x:c>
      <x:c r="L3" s="21" t="str">
        <x:f>IF(F3=I3,"same","different")</x:f>
        <x:v>same</x:v>
      </x:c>
      <x:c r="M3" s="21" t="str">
        <x:f>IF(L3="same","","FinBERT etiketiyle farklı; manuel kontrol önerilir.")</x:f>
      </x:c>
    </x:row>
    <x:row r="4">
      <x:c r="A4" s="30" t="str">
        <x:v>REUTERS_ANN_01353</x:v>
      </x:c>
      <x:c r="B4" s="22" t="n">
        <x:v>39128</x:v>
      </x:c>
      <x:c r="C4" s="21" t="str">
        <x:v>hershey to cut 1,500 jobs</x:v>
      </x:c>
      <x:c r="D4" s="21" t="str">
        <x:v>Hershey 1.500 kişilik işten çıkarma yapacak</x:v>
      </x:c>
      <x:c r="E4" s="21" t="n">
        <x:v>-1</x:v>
      </x:c>
      <x:c r="F4" s="21" t="str">
        <x:v>negative</x:v>
      </x:c>
      <x:c r="G4" s="23" t="n">
        <x:v>0.9466215372085572</x:v>
      </x:c>
      <x:c r="H4" s="21" t="n">
        <x:v>-1</x:v>
      </x:c>
      <x:c r="I4" s="21" t="str">
        <x:v>negative</x:v>
      </x:c>
      <x:c r="J4" s="24" t="n">
        <x:v>0.94</x:v>
      </x:c>
      <x:c r="K4" s="21" t="str">
        <x:v>İşten çıkarma haberi maliyet baskısı ve yeniden yapılanma sorunu gösteriyor.</x:v>
      </x:c>
      <x:c r="L4" s="21" t="str">
        <x:f>IF(F4=I4,"same","different")</x:f>
        <x:v>same</x:v>
      </x:c>
      <x:c r="M4" s="21" t="str">
        <x:f>IF(L4="same","","FinBERT etiketiyle farklı; manuel kontrol önerilir.")</x:f>
      </x:c>
    </x:row>
    <x:row r="5">
      <x:c r="A5" s="30" t="str">
        <x:v>REUTERS_ANN_01354</x:v>
      </x:c>
      <x:c r="B5" s="22" t="n">
        <x:v>39127</x:v>
      </x:c>
      <x:c r="C5" s="21" t="str">
        <x:v>deere profit rises on farm, forest sales</x:v>
      </x:c>
      <x:c r="D5" s="21" t="str">
        <x:v>Deere'in kârı tarım ve ormancılık satışlarıyla arttı</x:v>
      </x:c>
      <x:c r="E5" s="21" t="n">
        <x:v>1</x:v>
      </x:c>
      <x:c r="F5" s="21" t="str">
        <x:v>positive</x:v>
      </x:c>
      <x:c r="G5" s="23" t="n">
        <x:v>0.9431684613227844</x:v>
      </x:c>
      <x:c r="H5" s="21" t="n">
        <x:v>1</x:v>
      </x:c>
      <x:c r="I5" s="21" t="str">
        <x:v>positive</x:v>
      </x:c>
      <x:c r="J5" s="24" t="n">
        <x:v>0.95</x:v>
      </x:c>
      <x:c r="K5" s="21" t="str">
        <x:v>Kâr artışı açık biçimde olumlu finansal sinyal taşıyor.</x:v>
      </x:c>
      <x:c r="L5" s="21" t="str">
        <x:f>IF(F5=I5,"same","different")</x:f>
        <x:v>same</x:v>
      </x:c>
      <x:c r="M5" s="21" t="str">
        <x:f>IF(L5="same","","FinBERT etiketiyle farklı; manuel kontrol önerilir.")</x:f>
      </x:c>
    </x:row>
    <x:row r="6">
      <x:c r="A6" s="30" t="str">
        <x:v>REUTERS_ANN_01355</x:v>
      </x:c>
      <x:c r="B6" s="22" t="n">
        <x:v>39122</x:v>
      </x:c>
      <x:c r="C6" s="21" t="str">
        <x:v>brandes says to vote against icahn lear buyout</x:v>
      </x:c>
      <x:c r="D6" s="21" t="str">
        <x:v>Brandes, Icahn'ın Lear satın alma teklifine karşı oy vereceğini söyledi</x:v>
      </x:c>
      <x:c r="E6" s="21" t="n">
        <x:v>0</x:v>
      </x:c>
      <x:c r="F6" s="21" t="str">
        <x:v>neutral</x:v>
      </x:c>
      <x:c r="G6" s="23" t="n">
        <x:v>0.7829563021659851</x:v>
      </x:c>
      <x:c r="H6" s="21" t="n">
        <x:v>0</x:v>
      </x:c>
      <x:c r="I6" s="21" t="str">
        <x:v>neutral</x:v>
      </x:c>
      <x:c r="J6" s="24" t="n">
        <x:v>0.72</x:v>
      </x:c>
      <x:c r="K6" s="21" t="str">
        <x:v>Satın alma sürecine dair tutum bildirimi var; doğrudan güçlü finansal yön belirsiz.</x:v>
      </x:c>
      <x:c r="L6" s="21" t="str">
        <x:f>IF(F6=I6,"same","different")</x:f>
        <x:v>same</x:v>
      </x:c>
      <x:c r="M6" s="21" t="str">
        <x:f>IF(L6="same","","FinBERT etiketiyle farklı; manuel kontrol önerilir.")</x:f>
      </x:c>
    </x:row>
    <x:row r="7">
      <x:c r="A7" s="30" t="str">
        <x:v>REUTERS_ANN_01356</x:v>
      </x:c>
      <x:c r="B7" s="22" t="n">
        <x:v>39030</x:v>
      </x:c>
      <x:c r="C7" s="21" t="str">
        <x:v>news corp. sees possible myspace china venture</x:v>
      </x:c>
      <x:c r="D7" s="21" t="str">
        <x:v>News Corp., MySpace için Çin'de olası bir ortak girişim görüyor</x:v>
      </x:c>
      <x:c r="E7" s="21" t="n">
        <x:v>1</x:v>
      </x:c>
      <x:c r="F7" s="21" t="str">
        <x:v>positive</x:v>
      </x:c>
      <x:c r="G7" s="23" t="n">
        <x:v>0.881520688533783</x:v>
      </x:c>
      <x:c r="H7" s="21" t="n">
        <x:v>1</x:v>
      </x:c>
      <x:c r="I7" s="21" t="str">
        <x:v>positive</x:v>
      </x:c>
      <x:c r="J7" s="24" t="n">
        <x:v>0.72</x:v>
      </x:c>
      <x:c r="K7" s="21" t="str">
        <x:v>Yeni pazar/ortak girişim ihtimali büyüme açısından olumlu.</x:v>
      </x:c>
      <x:c r="L7" s="21" t="str">
        <x:f>IF(F7=I7,"same","different")</x:f>
        <x:v>same</x:v>
      </x:c>
      <x:c r="M7" s="21" t="str">
        <x:f>IF(L7="same","","FinBERT etiketiyle farklı; manuel kontrol önerilir.")</x:f>
      </x:c>
    </x:row>
    <x:row r="8">
      <x:c r="A8" s="30" t="str">
        <x:v>REUTERS_ANN_01357</x:v>
      </x:c>
      <x:c r="B8" s="22" t="n">
        <x:v>39024</x:v>
      </x:c>
      <x:c r="C8" s="21" t="str">
        <x:v>progress has slowed on att/bellsouth fcc chief</x:v>
      </x:c>
      <x:c r="D8" s="21" t="str">
        <x:v>FCC başkanına göre AT&amp;T/BellSouth sürecinde ilerleme yavaşladı</x:v>
      </x:c>
      <x:c r="E8" s="21" t="n">
        <x:v>-1</x:v>
      </x:c>
      <x:c r="F8" s="21" t="str">
        <x:v>negative</x:v>
      </x:c>
      <x:c r="G8" s="23" t="n">
        <x:v>0.8817509412765503</x:v>
      </x:c>
      <x:c r="H8" s="21" t="n">
        <x:v>-1</x:v>
      </x:c>
      <x:c r="I8" s="21" t="str">
        <x:v>negative</x:v>
      </x:c>
      <x:c r="J8" s="24" t="n">
        <x:v>0.84</x:v>
      </x:c>
      <x:c r="K8" s="21" t="str">
        <x:v>Birleşme/onay sürecinde yavaşlama anlaşma açısından olumsuz belirsizlik yaratıyor.</x:v>
      </x:c>
      <x:c r="L8" s="21" t="str">
        <x:f>IF(F8=I8,"same","different")</x:f>
        <x:v>same</x:v>
      </x:c>
      <x:c r="M8" s="21" t="str">
        <x:f>IF(L8="same","","FinBERT etiketiyle farklı; manuel kontrol önerilir.")</x:f>
      </x:c>
    </x:row>
    <x:row r="9">
      <x:c r="A9" s="30" t="str">
        <x:v>REUTERS_ANN_01358</x:v>
      </x:c>
      <x:c r="B9" s="22" t="n">
        <x:v>39125</x:v>
      </x:c>
      <x:c r="C9" s="21" t="str">
        <x:v>fairfax h1 says no takeover approaches</x:v>
      </x:c>
      <x:c r="D9" s="21" t="str">
        <x:v>Fairfax, ilk yarıda herhangi bir satın alma yaklaşımı olmadığını söyledi</x:v>
      </x:c>
      <x:c r="E9" s="21" t="n">
        <x:v>-1</x:v>
      </x:c>
      <x:c r="F9" s="21" t="str">
        <x:v>negative</x:v>
      </x:c>
      <x:c r="G9" s="23" t="n">
        <x:v>0.9744014143943788</x:v>
      </x:c>
      <x:c r="H9" s="21" t="n">
        <x:v>0</x:v>
      </x:c>
      <x:c r="I9" s="21" t="str">
        <x:v>neutral</x:v>
      </x:c>
      <x:c r="J9" s="24" t="n">
        <x:v>0.64</x:v>
      </x:c>
      <x:c r="K9" s="21" t="str">
        <x:v>Satın alma spekülasyonunu azaltıyor fakat temel performansa dair net yön vermiyor.</x:v>
      </x:c>
      <x:c r="L9" s="21" t="str">
        <x:f>IF(F9=I9,"same","different")</x:f>
        <x:v>different</x:v>
      </x:c>
      <x:c r="M9" s="21" t="str">
        <x:f>IF(L9="same","","FinBERT etiketiyle farklı; manuel kontrol önerilir.")</x:f>
        <x:v>FinBERT etiketiyle farklı; manuel kontrol önerilir.</x:v>
      </x:c>
    </x:row>
    <x:row r="10">
      <x:c r="A10" s="30" t="str">
        <x:v>REUTERS_ANN_01359</x:v>
      </x:c>
      <x:c r="B10" s="22" t="n">
        <x:v>39142</x:v>
      </x:c>
      <x:c r="C10" s="21" t="str">
        <x:v>table-ford feb u.s. vehicle sales decrease 13.9 pct</x:v>
      </x:c>
      <x:c r="D10" s="21" t="str">
        <x:v>Tablo: Ford'un Şubat ABD araç satışları yüzde 13,9 düştü</x:v>
      </x:c>
      <x:c r="E10" s="21" t="n">
        <x:v>-1</x:v>
      </x:c>
      <x:c r="F10" s="21" t="str">
        <x:v>negative</x:v>
      </x:c>
      <x:c r="G10" s="23" t="n">
        <x:v>0.9285740256309508</x:v>
      </x:c>
      <x:c r="H10" s="21" t="n">
        <x:v>-1</x:v>
      </x:c>
      <x:c r="I10" s="21" t="str">
        <x:v>negative</x:v>
      </x:c>
      <x:c r="J10" s="24" t="n">
        <x:v>0.95</x:v>
      </x:c>
      <x:c r="K10" s="21" t="str">
        <x:v>Satışlardaki sert düşüş şirket performansı için olumsuz.</x:v>
      </x:c>
      <x:c r="L10" s="21" t="str">
        <x:f>IF(F10=I10,"same","different")</x:f>
        <x:v>same</x:v>
      </x:c>
      <x:c r="M10" s="21" t="str">
        <x:f>IF(L10="same","","FinBERT etiketiyle farklı; manuel kontrol önerilir.")</x:f>
      </x:c>
    </x:row>
    <x:row r="11">
      <x:c r="A11" s="30" t="str">
        <x:v>REUTERS_ANN_01360</x:v>
      </x:c>
      <x:c r="B11" s="22" t="n">
        <x:v>39190</x:v>
      </x:c>
      <x:c r="C11" s="21" t="str">
        <x:v>yahoo net profit falls</x:v>
      </x:c>
      <x:c r="D11" s="21" t="str">
        <x:v>Yahoo'nun net kârı düştü</x:v>
      </x:c>
      <x:c r="E11" s="21" t="n">
        <x:v>-1</x:v>
      </x:c>
      <x:c r="F11" s="21" t="str">
        <x:v>negative</x:v>
      </x:c>
      <x:c r="G11" s="23" t="n">
        <x:v>0.975435197353363</x:v>
      </x:c>
      <x:c r="H11" s="21" t="n">
        <x:v>-1</x:v>
      </x:c>
      <x:c r="I11" s="21" t="str">
        <x:v>negative</x:v>
      </x:c>
      <x:c r="J11" s="24" t="n">
        <x:v>0.96</x:v>
      </x:c>
      <x:c r="K11" s="21" t="str">
        <x:v>Net kâr düşüşü doğrudan olumsuz finansal sonuçtur.</x:v>
      </x:c>
      <x:c r="L11" s="21" t="str">
        <x:f>IF(F11=I11,"same","different")</x:f>
        <x:v>same</x:v>
      </x:c>
      <x:c r="M11" s="21" t="str">
        <x:f>IF(L11="same","","FinBERT etiketiyle farklı; manuel kontrol önerilir.")</x:f>
      </x:c>
    </x:row>
    <x:row r="12">
      <x:c r="A12" s="30" t="str">
        <x:v>REUTERS_ANN_01361</x:v>
      </x:c>
      <x:c r="B12" s="22" t="n">
        <x:v>39121</x:v>
      </x:c>
      <x:c r="C12" s="21" t="str">
        <x:v>u.s. may look to private sector to fund atc system</x:v>
      </x:c>
      <x:c r="D12" s="21" t="str">
        <x:v>ABD, hava trafik kontrol sistemini fonlamak için özel sektöre yönelebilir</x:v>
      </x:c>
      <x:c r="E12" s="21" t="n">
        <x:v>1</x:v>
      </x:c>
      <x:c r="F12" s="21" t="str">
        <x:v>positive</x:v>
      </x:c>
      <x:c r="G12" s="23" t="n">
        <x:v>0.5206984877586365</x:v>
      </x:c>
      <x:c r="H12" s="21" t="n">
        <x:v>0</x:v>
      </x:c>
      <x:c r="I12" s="21" t="str">
        <x:v>neutral</x:v>
      </x:c>
      <x:c r="J12" s="24" t="n">
        <x:v>0.62</x:v>
      </x:c>
      <x:c r="K12" s="21" t="str">
        <x:v>Politika/finansman ihtimali var; şirket bazında net pozitif veya negatif değil.</x:v>
      </x:c>
      <x:c r="L12" s="21" t="str">
        <x:f>IF(F12=I12,"same","different")</x:f>
        <x:v>different</x:v>
      </x:c>
      <x:c r="M12" s="21" t="str">
        <x:f>IF(L12="same","","FinBERT etiketiyle farklı; manuel kontrol önerilir.")</x:f>
        <x:v>FinBERT etiketiyle farklı; manuel kontrol önerilir.</x:v>
      </x:c>
    </x:row>
    <x:row r="13">
      <x:c r="A13" s="30" t="str">
        <x:v>REUTERS_ANN_01362</x:v>
      </x:c>
      <x:c r="B13" s="22" t="n">
        <x:v>39017</x:v>
      </x:c>
      <x:c r="C13" s="21" t="str">
        <x:v>lower gas price brightens consumer mood</x:v>
      </x:c>
      <x:c r="D13" s="21" t="str">
        <x:v>Düşük benzin fiyatı tüketici güvenini iyileştirdi</x:v>
      </x:c>
      <x:c r="E13" s="21" t="n">
        <x:v>1</x:v>
      </x:c>
      <x:c r="F13" s="21" t="str">
        <x:v>positive</x:v>
      </x:c>
      <x:c r="G13" s="23" t="n">
        <x:v>0.9417625665664672</x:v>
      </x:c>
      <x:c r="H13" s="21" t="n">
        <x:v>1</x:v>
      </x:c>
      <x:c r="I13" s="21" t="str">
        <x:v>positive</x:v>
      </x:c>
      <x:c r="J13" s="24" t="n">
        <x:v>0.88</x:v>
      </x:c>
      <x:c r="K13" s="21" t="str">
        <x:v>Düşük enerji maliyeti tüketici duyarlılığını desteklediği için olumlu.</x:v>
      </x:c>
      <x:c r="L13" s="21" t="str">
        <x:f>IF(F13=I13,"same","different")</x:f>
        <x:v>same</x:v>
      </x:c>
      <x:c r="M13" s="21" t="str">
        <x:f>IF(L13="same","","FinBERT etiketiyle farklı; manuel kontrol önerilir.")</x:f>
      </x:c>
    </x:row>
    <x:row r="14">
      <x:c r="A14" s="30" t="str">
        <x:v>REUTERS_ANN_01363</x:v>
      </x:c>
      <x:c r="B14" s="22" t="n">
        <x:v>39204</x:v>
      </x:c>
      <x:c r="C14" s="21" t="str">
        <x:v>brinks profit beats expectations, shares up</x:v>
      </x:c>
      <x:c r="D14" s="21" t="str">
        <x:v>Brink's beklentileri aşan kâr açıkladı, hisseleri yükseldi</x:v>
      </x:c>
      <x:c r="E14" s="21" t="n">
        <x:v>1</x:v>
      </x:c>
      <x:c r="F14" s="21" t="str">
        <x:v>positive</x:v>
      </x:c>
      <x:c r="G14" s="23" t="n">
        <x:v>0.6701548099517822</x:v>
      </x:c>
      <x:c r="H14" s="21" t="n">
        <x:v>1</x:v>
      </x:c>
      <x:c r="I14" s="21" t="str">
        <x:v>positive</x:v>
      </x:c>
      <x:c r="J14" s="24" t="n">
        <x:v>0.94</x:v>
      </x:c>
      <x:c r="K14" s="21" t="str">
        <x:v>Beklentiyi aşan kâr ve hisse yükselişi açık olumlu sinyal.</x:v>
      </x:c>
      <x:c r="L14" s="21" t="str">
        <x:f>IF(F14=I14,"same","different")</x:f>
        <x:v>same</x:v>
      </x:c>
      <x:c r="M14" s="21" t="str">
        <x:f>IF(L14="same","","FinBERT etiketiyle farklı; manuel kontrol önerilir.")</x:f>
      </x:c>
    </x:row>
    <x:row r="15">
      <x:c r="A15" s="30" t="str">
        <x:v>REUTERS_ANN_01364</x:v>
      </x:c>
      <x:c r="B15" s="22" t="n">
        <x:v>39139</x:v>
      </x:c>
      <x:c r="C15" s="21" t="str">
        <x:v>google in video talks with dow jones, others nyt</x:v>
      </x:c>
      <x:c r="D15" s="21" t="str">
        <x:v>Google, Dow Jones ve diğerleriyle video görüşmeleri yapıyor - NYT</x:v>
      </x:c>
      <x:c r="E15" s="21" t="n">
        <x:v>0</x:v>
      </x:c>
      <x:c r="F15" s="21" t="str">
        <x:v>neutral</x:v>
      </x:c>
      <x:c r="G15" s="23" t="n">
        <x:v>0.9497067928314208</x:v>
      </x:c>
      <x:c r="H15" s="21" t="n">
        <x:v>0</x:v>
      </x:c>
      <x:c r="I15" s="21" t="str">
        <x:v>neutral</x:v>
      </x:c>
      <x:c r="J15" s="24" t="n">
        <x:v>0.7</x:v>
      </x:c>
      <x:c r="K15" s="21" t="str">
        <x:v>Görüşme haberi var ancak sonuç ve finansal etkisi henüz net değil.</x:v>
      </x:c>
      <x:c r="L15" s="21" t="str">
        <x:f>IF(F15=I15,"same","different")</x:f>
        <x:v>same</x:v>
      </x:c>
      <x:c r="M15" s="21" t="str">
        <x:f>IF(L15="same","","FinBERT etiketiyle farklı; manuel kontrol önerilir.")</x:f>
      </x:c>
    </x:row>
    <x:row r="16">
      <x:c r="A16" s="30" t="str">
        <x:v>REUTERS_ANN_01365</x:v>
      </x:c>
      <x:c r="B16" s="22" t="n">
        <x:v>39031</x:v>
      </x:c>
      <x:c r="C16" s="21" t="str">
        <x:v>monsanto reiterates fiscal 2007 earnings view</x:v>
      </x:c>
      <x:c r="D16" s="21" t="str">
        <x:v>Monsanto 2007 mali yılı kâr görünümünü yineledi</x:v>
      </x:c>
      <x:c r="E16" s="21" t="n">
        <x:v>-1</x:v>
      </x:c>
      <x:c r="F16" s="21" t="str">
        <x:v>negative</x:v>
      </x:c>
      <x:c r="G16" s="23" t="n">
        <x:v>0.4527930915355682</x:v>
      </x:c>
      <x:c r="H16" s="21" t="n">
        <x:v>1</x:v>
      </x:c>
      <x:c r="I16" s="21" t="str">
        <x:v>positive</x:v>
      </x:c>
      <x:c r="J16" s="24" t="n">
        <x:v>0.75</x:v>
      </x:c>
      <x:c r="K16" s="21" t="str">
        <x:v>Kâr beklentisinin korunması istikrar ve güven sinyali verir.</x:v>
      </x:c>
      <x:c r="L16" s="21" t="str">
        <x:f>IF(F16=I16,"same","different")</x:f>
        <x:v>different</x:v>
      </x:c>
      <x:c r="M16" s="21" t="str">
        <x:f>IF(L16="same","","FinBERT etiketiyle farklı; manuel kontrol önerilir.")</x:f>
        <x:v>FinBERT etiketiyle farklı; manuel kontrol önerilir.</x:v>
      </x:c>
    </x:row>
    <x:row r="17">
      <x:c r="A17" s="30" t="str">
        <x:v>REUTERS_ANN_01366</x:v>
      </x:c>
      <x:c r="B17" s="22" t="n">
        <x:v>39014</x:v>
      </x:c>
      <x:c r="C17" s="21" t="str">
        <x:v>countrywide laying off more than 2,500 employees</x:v>
      </x:c>
      <x:c r="D17" s="21" t="str">
        <x:v>Countrywide 2.500'den fazla çalışanı işten çıkarıyor</x:v>
      </x:c>
      <x:c r="E17" s="21" t="n">
        <x:v>-1</x:v>
      </x:c>
      <x:c r="F17" s="21" t="str">
        <x:v>negative</x:v>
      </x:c>
      <x:c r="G17" s="23" t="n">
        <x:v>0.9678894877433776</x:v>
      </x:c>
      <x:c r="H17" s="21" t="n">
        <x:v>-1</x:v>
      </x:c>
      <x:c r="I17" s="21" t="str">
        <x:v>negative</x:v>
      </x:c>
      <x:c r="J17" s="24" t="n">
        <x:v>0.95</x:v>
      </x:c>
      <x:c r="K17" s="21" t="str">
        <x:v>Büyük çaplı işten çıkarma operasyonel/mali baskı göstergesi.</x:v>
      </x:c>
      <x:c r="L17" s="21" t="str">
        <x:f>IF(F17=I17,"same","different")</x:f>
        <x:v>same</x:v>
      </x:c>
      <x:c r="M17" s="21" t="str">
        <x:f>IF(L17="same","","FinBERT etiketiyle farklı; manuel kontrol önerilir.")</x:f>
      </x:c>
    </x:row>
    <x:row r="18">
      <x:c r="A18" s="30" t="str">
        <x:v>REUTERS_ANN_01367</x:v>
      </x:c>
      <x:c r="B18" s="22" t="n">
        <x:v>39210</x:v>
      </x:c>
      <x:c r="C18" s="21" t="str">
        <x:v>disney profit up on studio, revs short of wall st</x:v>
      </x:c>
      <x:c r="D18" s="21" t="str">
        <x:v>Disney'in kârı stüdyo sayesinde arttı, gelir Wall Street beklentisinin altında kaldı</x:v>
      </x:c>
      <x:c r="E18" s="21" t="n">
        <x:v>-1</x:v>
      </x:c>
      <x:c r="F18" s="21" t="str">
        <x:v>negative</x:v>
      </x:c>
      <x:c r="G18" s="23" t="n">
        <x:v>0.9723108410835266</x:v>
      </x:c>
      <x:c r="H18" s="21" t="n">
        <x:v>0</x:v>
      </x:c>
      <x:c r="I18" s="21" t="str">
        <x:v>neutral</x:v>
      </x:c>
      <x:c r="J18" s="24" t="n">
        <x:v>0.65</x:v>
      </x:c>
      <x:c r="K18" s="21" t="str">
        <x:v>Kâr artışı olumlu olsa da gelir beklentisinin kaçması karışık sinyal yaratıyor.</x:v>
      </x:c>
      <x:c r="L18" s="21" t="str">
        <x:f>IF(F18=I18,"same","different")</x:f>
        <x:v>different</x:v>
      </x:c>
      <x:c r="M18" s="21" t="str">
        <x:f>IF(L18="same","","FinBERT etiketiyle farklı; manuel kontrol önerilir.")</x:f>
        <x:v>FinBERT etiketiyle farklı; manuel kontrol önerilir.</x:v>
      </x:c>
    </x:row>
    <x:row r="19">
      <x:c r="A19" s="30" t="str">
        <x:v>REUTERS_ANN_01368</x:v>
      </x:c>
      <x:c r="B19" s="22" t="n">
        <x:v>39197</x:v>
      </x:c>
      <x:c r="C19" s="21" t="str">
        <x:v>colgate profit rise meets view growth to continue</x:v>
      </x:c>
      <x:c r="D19" s="21" t="str">
        <x:v>Colgate'in kâr artışı beklentiyi karşıladı, büyümenin sürmesi bekleniyor</x:v>
      </x:c>
      <x:c r="E19" s="21" t="n">
        <x:v>-1</x:v>
      </x:c>
      <x:c r="F19" s="21" t="str">
        <x:v>negative</x:v>
      </x:c>
      <x:c r="G19" s="23" t="n">
        <x:v>0.9097881317138672</x:v>
      </x:c>
      <x:c r="H19" s="21" t="n">
        <x:v>1</x:v>
      </x:c>
      <x:c r="I19" s="21" t="str">
        <x:v>positive</x:v>
      </x:c>
      <x:c r="J19" s="24" t="n">
        <x:v>0.86</x:v>
      </x:c>
      <x:c r="K19" s="21" t="str">
        <x:v>Beklentiyi karşılayan kâr ve devam eden büyüme olumlu.</x:v>
      </x:c>
      <x:c r="L19" s="21" t="str">
        <x:f>IF(F19=I19,"same","different")</x:f>
        <x:v>different</x:v>
      </x:c>
      <x:c r="M19" s="21" t="str">
        <x:f>IF(L19="same","","FinBERT etiketiyle farklı; manuel kontrol önerilir.")</x:f>
        <x:v>FinBERT etiketiyle farklı; manuel kontrol önerilir.</x:v>
      </x:c>
    </x:row>
    <x:row r="20">
      <x:c r="A20" s="30" t="str">
        <x:v>REUTERS_ANN_01369</x:v>
      </x:c>
      <x:c r="B20" s="22" t="n">
        <x:v>39013</x:v>
      </x:c>
      <x:c r="C20" s="21" t="str">
        <x:v>factbox-key facts about enrons skilling</x:v>
      </x:c>
      <x:c r="D20" s="21" t="str">
        <x:v>Bilgi notu: Enron'dan Skilling hakkında temel bilgiler</x:v>
      </x:c>
      <x:c r="E20" s="21" t="n">
        <x:v>0</x:v>
      </x:c>
      <x:c r="F20" s="21" t="str">
        <x:v>neutral</x:v>
      </x:c>
      <x:c r="G20" s="23" t="n">
        <x:v>0.8578829765319824</x:v>
      </x:c>
      <x:c r="H20" s="21" t="n">
        <x:v>0</x:v>
      </x:c>
      <x:c r="I20" s="21" t="str">
        <x:v>neutral</x:v>
      </x:c>
      <x:c r="J20" s="24" t="n">
        <x:v>0.95</x:v>
      </x:c>
      <x:c r="K20" s="21" t="str">
        <x:v>Bilgi amaçlı factbox; yeni bir finansal yön sinyali yok.</x:v>
      </x:c>
      <x:c r="L20" s="21" t="str">
        <x:f>IF(F20=I20,"same","different")</x:f>
        <x:v>same</x:v>
      </x:c>
      <x:c r="M20" s="21" t="str">
        <x:f>IF(L20="same","","FinBERT etiketiyle farklı; manuel kontrol önerilir.")</x:f>
      </x:c>
    </x:row>
    <x:row r="21">
      <x:c r="A21" s="30" t="str">
        <x:v>REUTERS_ANN_01370</x:v>
      </x:c>
      <x:c r="B21" s="22" t="n">
        <x:v>39154</x:v>
      </x:c>
      <x:c r="C21" s="21" t="str">
        <x:v>massachusetts subpoenas firms on subprime research</x:v>
      </x:c>
      <x:c r="D21" s="21" t="str">
        <x:v>Massachusetts, subprime araştırmaları konusunda firmalara mahkeme celbi gönderdi</x:v>
      </x:c>
      <x:c r="E21" s="21" t="n">
        <x:v>-1</x:v>
      </x:c>
      <x:c r="F21" s="21" t="str">
        <x:v>negative</x:v>
      </x:c>
      <x:c r="G21" s="23" t="n">
        <x:v>0.8399804830551147</x:v>
      </x:c>
      <x:c r="H21" s="21" t="n">
        <x:v>-1</x:v>
      </x:c>
      <x:c r="I21" s="21" t="str">
        <x:v>negative</x:v>
      </x:c>
      <x:c r="J21" s="24" t="n">
        <x:v>0.88</x:v>
      </x:c>
      <x:c r="K21" s="21" t="str">
        <x:v>Soruşturma/celpler finansal sektör için hukuki risk oluşturuyor.</x:v>
      </x:c>
      <x:c r="L21" s="21" t="str">
        <x:f>IF(F21=I21,"same","different")</x:f>
        <x:v>same</x:v>
      </x:c>
      <x:c r="M21" s="21" t="str">
        <x:f>IF(L21="same","","FinBERT etiketiyle farklı; manuel kontrol önerilir.")</x:f>
      </x:c>
    </x:row>
    <x:row r="22">
      <x:c r="A22" s="30" t="str">
        <x:v>REUTERS_ANN_01371</x:v>
      </x:c>
      <x:c r="B22" s="22" t="n">
        <x:v>39135</x:v>
      </x:c>
      <x:c r="C22" s="21" t="str">
        <x:v>judge says enron suit can proceed</x:v>
      </x:c>
      <x:c r="D22" s="21" t="str">
        <x:v>Hakim Enron davasının devam edebileceğini söyledi</x:v>
      </x:c>
      <x:c r="E22" s="21" t="n">
        <x:v>-1</x:v>
      </x:c>
      <x:c r="F22" s="21" t="str">
        <x:v>negative</x:v>
      </x:c>
      <x:c r="G22" s="23" t="n">
        <x:v>0.5801847577095032</x:v>
      </x:c>
      <x:c r="H22" s="21" t="n">
        <x:v>-1</x:v>
      </x:c>
      <x:c r="I22" s="21" t="str">
        <x:v>negative</x:v>
      </x:c>
      <x:c r="J22" s="24" t="n">
        <x:v>0.86</x:v>
      </x:c>
      <x:c r="K22" s="21" t="str">
        <x:v>Davanın devam etmesi ilgili taraflar için hukuki riskin sürdüğünü gösteriyor.</x:v>
      </x:c>
      <x:c r="L22" s="21" t="str">
        <x:f>IF(F22=I22,"same","different")</x:f>
        <x:v>same</x:v>
      </x:c>
      <x:c r="M22" s="21" t="str">
        <x:f>IF(L22="same","","FinBERT etiketiyle farklı; manuel kontrol önerilir.")</x:f>
      </x:c>
    </x:row>
    <x:row r="23">
      <x:c r="A23" s="30" t="str">
        <x:v>REUTERS_ANN_01372</x:v>
      </x:c>
      <x:c r="B23" s="22" t="n">
        <x:v>39150</x:v>
      </x:c>
      <x:c r="C23" s="21" t="str">
        <x:v>fired wal-mart worker says he felt pressured report</x:v>
      </x:c>
      <x:c r="D23" s="21" t="str">
        <x:v>İşten çıkarılan Wal-Mart çalışanı baskı hissettiğini söyledi - rapor</x:v>
      </x:c>
      <x:c r="E23" s="21" t="n">
        <x:v>-1</x:v>
      </x:c>
      <x:c r="F23" s="21" t="str">
        <x:v>negative</x:v>
      </x:c>
      <x:c r="G23" s="23" t="n">
        <x:v>0.9283788204193116</x:v>
      </x:c>
      <x:c r="H23" s="21" t="n">
        <x:v>-1</x:v>
      </x:c>
      <x:c r="I23" s="21" t="str">
        <x:v>negative</x:v>
      </x:c>
      <x:c r="J23" s="24" t="n">
        <x:v>0.82</x:v>
      </x:c>
      <x:c r="K23" s="21" t="str">
        <x:v>Çalışan baskısı ve iç süreç iddiaları itibar/hukuk riski yaratıyor.</x:v>
      </x:c>
      <x:c r="L23" s="21" t="str">
        <x:f>IF(F23=I23,"same","different")</x:f>
        <x:v>same</x:v>
      </x:c>
      <x:c r="M23" s="21" t="str">
        <x:f>IF(L23="same","","FinBERT etiketiyle farklı; manuel kontrol önerilir.")</x:f>
      </x:c>
    </x:row>
    <x:row r="24">
      <x:c r="A24" s="30" t="str">
        <x:v>REUTERS_ANN_01373</x:v>
      </x:c>
      <x:c r="B24" s="22" t="n">
        <x:v>39174</x:v>
      </x:c>
      <x:c r="C24" s="21" t="str">
        <x:v>tankan sentiment dips slightly, boj seen on hold</x:v>
      </x:c>
      <x:c r="D24" s="21" t="str">
        <x:v>Tankan güveni hafif düştü, BOJ'un beklemede kalması bekleniyor</x:v>
      </x:c>
      <x:c r="E24" s="21" t="n">
        <x:v>-1</x:v>
      </x:c>
      <x:c r="F24" s="21" t="str">
        <x:v>negative</x:v>
      </x:c>
      <x:c r="G24" s="23" t="n">
        <x:v>0.9684167504310608</x:v>
      </x:c>
      <x:c r="H24" s="21" t="n">
        <x:v>-1</x:v>
      </x:c>
      <x:c r="I24" s="21" t="str">
        <x:v>negative</x:v>
      </x:c>
      <x:c r="J24" s="24" t="n">
        <x:v>0.78</x:v>
      </x:c>
      <x:c r="K24" s="21" t="str">
        <x:v>İş dünyası güvenindeki düşüş makro beklentiler için olumsuz.</x:v>
      </x:c>
      <x:c r="L24" s="21" t="str">
        <x:f>IF(F24=I24,"same","different")</x:f>
        <x:v>same</x:v>
      </x:c>
      <x:c r="M24" s="21" t="str">
        <x:f>IF(L24="same","","FinBERT etiketiyle farklı; manuel kontrol önerilir.")</x:f>
      </x:c>
    </x:row>
    <x:row r="25">
      <x:c r="A25" s="30" t="str">
        <x:v>REUTERS_ANN_01374</x:v>
      </x:c>
      <x:c r="B25" s="22" t="n">
        <x:v>39036</x:v>
      </x:c>
      <x:c r="C25" s="21" t="str">
        <x:v>citi to announce china bank deal thursday sources</x:v>
      </x:c>
      <x:c r="D25" s="21" t="str">
        <x:v>Citi'nin Çin bankası anlaşmasını Perşembe açıklaması bekleniyor - kaynaklar</x:v>
      </x:c>
      <x:c r="E25" s="21" t="n">
        <x:v>1</x:v>
      </x:c>
      <x:c r="F25" s="21" t="str">
        <x:v>positive</x:v>
      </x:c>
      <x:c r="G25" s="23" t="n">
        <x:v>0.797636091709137</x:v>
      </x:c>
      <x:c r="H25" s="21" t="n">
        <x:v>1</x:v>
      </x:c>
      <x:c r="I25" s="21" t="str">
        <x:v>positive</x:v>
      </x:c>
      <x:c r="J25" s="24" t="n">
        <x:v>0.68</x:v>
      </x:c>
      <x:c r="K25" s="21" t="str">
        <x:v>Yeni banka anlaşması büyüme ve stratejik genişleme açısından olumlu.</x:v>
      </x:c>
      <x:c r="L25" s="21" t="str">
        <x:f>IF(F25=I25,"same","different")</x:f>
        <x:v>same</x:v>
      </x:c>
      <x:c r="M25" s="21" t="str">
        <x:f>IF(L25="same","","FinBERT etiketiyle farklı; manuel kontrol önerilir.")</x:f>
      </x:c>
    </x:row>
    <x:row r="26">
      <x:c r="A26" s="30" t="str">
        <x:v>REUTERS_ANN_01375</x:v>
      </x:c>
      <x:c r="B26" s="22" t="n">
        <x:v>39149</x:v>
      </x:c>
      <x:c r="C26" s="21" t="str">
        <x:v>google earth patent infringement suit dismissed</x:v>
      </x:c>
      <x:c r="D26" s="21" t="str">
        <x:v>Google Earth patent ihlali davası reddedildi</x:v>
      </x:c>
      <x:c r="E26" s="21" t="n">
        <x:v>-1</x:v>
      </x:c>
      <x:c r="F26" s="21" t="str">
        <x:v>negative</x:v>
      </x:c>
      <x:c r="G26" s="23" t="n">
        <x:v>0.5694178342819214</x:v>
      </x:c>
      <x:c r="H26" s="21" t="n">
        <x:v>1</x:v>
      </x:c>
      <x:c r="I26" s="21" t="str">
        <x:v>positive</x:v>
      </x:c>
      <x:c r="J26" s="24" t="n">
        <x:v>0.88</x:v>
      </x:c>
      <x:c r="K26" s="21" t="str">
        <x:v>Davanın reddedilmesi Google açısından hukuki riskin azalması demektir.</x:v>
      </x:c>
      <x:c r="L26" s="21" t="str">
        <x:f>IF(F26=I26,"same","different")</x:f>
        <x:v>different</x:v>
      </x:c>
      <x:c r="M26" s="21" t="str">
        <x:f>IF(L26="same","","FinBERT etiketiyle farklı; manuel kontrol önerilir.")</x:f>
        <x:v>FinBERT etiketiyle farklı; manuel kontrol önerilir.</x:v>
      </x:c>
    </x:row>
    <x:row r="27">
      <x:c r="A27" s="30" t="str">
        <x:v>REUTERS_ANN_01376</x:v>
      </x:c>
      <x:c r="B27" s="22" t="n">
        <x:v>39090</x:v>
      </x:c>
      <x:c r="C27" s="21" t="str">
        <x:v>unitedhealth to affirm outlook</x:v>
      </x:c>
      <x:c r="D27" s="21" t="str">
        <x:v>UnitedHealth görünümünü teyit edecek</x:v>
      </x:c>
      <x:c r="E27" s="21" t="n">
        <x:v>0</x:v>
      </x:c>
      <x:c r="F27" s="21" t="str">
        <x:v>neutral</x:v>
      </x:c>
      <x:c r="G27" s="23" t="n">
        <x:v>0.6728851199150085</x:v>
      </x:c>
      <x:c r="H27" s="21" t="n">
        <x:v>1</x:v>
      </x:c>
      <x:c r="I27" s="21" t="str">
        <x:v>positive</x:v>
      </x:c>
      <x:c r="J27" s="24" t="n">
        <x:v>0.76</x:v>
      </x:c>
      <x:c r="K27" s="21" t="str">
        <x:v>Görünümün teyidi beklentilerin korunması açısından olumlu.</x:v>
      </x:c>
      <x:c r="L27" s="21" t="str">
        <x:f>IF(F27=I27,"same","different")</x:f>
        <x:v>different</x:v>
      </x:c>
      <x:c r="M27" s="21" t="str">
        <x:f>IF(L27="same","","FinBERT etiketiyle farklı; manuel kontrol önerilir.")</x:f>
        <x:v>FinBERT etiketiyle farklı; manuel kontrol önerilir.</x:v>
      </x:c>
    </x:row>
    <x:row r="28">
      <x:c r="A28" s="30" t="str">
        <x:v>REUTERS_ANN_01377</x:v>
      </x:c>
      <x:c r="B28" s="22" t="n">
        <x:v>39021</x:v>
      </x:c>
      <x:c r="C28" s="21" t="str">
        <x:v>carlyle, unison in $774 mln buyout of toshiba unit</x:v>
      </x:c>
      <x:c r="D28" s="21" t="str">
        <x:v>Carlyle ve Unison, Toshiba birimini 774 milyon dolara satın alıyor</x:v>
      </x:c>
      <x:c r="E28" s="21" t="n">
        <x:v>1</x:v>
      </x:c>
      <x:c r="F28" s="21" t="str">
        <x:v>positive</x:v>
      </x:c>
      <x:c r="G28" s="23" t="n">
        <x:v>0.62007075548172</x:v>
      </x:c>
      <x:c r="H28" s="21" t="n">
        <x:v>0</x:v>
      </x:c>
      <x:c r="I28" s="21" t="str">
        <x:v>neutral</x:v>
      </x:c>
      <x:c r="J28" s="24" t="n">
        <x:v>0.66</x:v>
      </x:c>
      <x:c r="K28" s="21" t="str">
        <x:v>Satın alma işlemi bildiriliyor; hedef ve alıcı açısından net tek yönlü etki sınırlı.</x:v>
      </x:c>
      <x:c r="L28" s="21" t="str">
        <x:f>IF(F28=I28,"same","different")</x:f>
        <x:v>different</x:v>
      </x:c>
      <x:c r="M28" s="21" t="str">
        <x:f>IF(L28="same","","FinBERT etiketiyle farklı; manuel kontrol önerilir.")</x:f>
        <x:v>FinBERT etiketiyle farklı; manuel kontrol önerilir.</x:v>
      </x:c>
    </x:row>
    <x:row r="29">
      <x:c r="A29" s="30" t="str">
        <x:v>REUTERS_ANN_01378</x:v>
      </x:c>
      <x:c r="B29" s="22" t="n">
        <x:v>39202</x:v>
      </x:c>
      <x:c r="C29" s="21" t="str">
        <x:v>qantas bid group says has 12.57 percent voting power</x:v>
      </x:c>
      <x:c r="D29" s="21" t="str">
        <x:v>Qantas teklif grubu yüzde 12,57 oy gücüne sahip olduğunu söyledi</x:v>
      </x:c>
      <x:c r="E29" s="21" t="n">
        <x:v>1</x:v>
      </x:c>
      <x:c r="F29" s="21" t="str">
        <x:v>positive</x:v>
      </x:c>
      <x:c r="G29" s="23" t="n">
        <x:v>0.5839753746986389</x:v>
      </x:c>
      <x:c r="H29" s="21" t="n">
        <x:v>0</x:v>
      </x:c>
      <x:c r="I29" s="21" t="str">
        <x:v>neutral</x:v>
      </x:c>
      <x:c r="J29" s="24" t="n">
        <x:v>0.68</x:v>
      </x:c>
      <x:c r="K29" s="21" t="str">
        <x:v>Satın alma sürecine dair durum bilgisi; net finansal yön belirsiz.</x:v>
      </x:c>
      <x:c r="L29" s="21" t="str">
        <x:f>IF(F29=I29,"same","different")</x:f>
        <x:v>different</x:v>
      </x:c>
      <x:c r="M29" s="21" t="str">
        <x:f>IF(L29="same","","FinBERT etiketiyle farklı; manuel kontrol önerilir.")</x:f>
        <x:v>FinBERT etiketiyle farklı; manuel kontrol önerilir.</x:v>
      </x:c>
    </x:row>
    <x:row r="30">
      <x:c r="A30" s="30" t="str">
        <x:v>REUTERS_ANN_01379</x:v>
      </x:c>
      <x:c r="B30" s="22" t="n">
        <x:v>39034</x:v>
      </x:c>
      <x:c r="C30" s="21" t="str">
        <x:v>freescale shareholders approve sale of company</x:v>
      </x:c>
      <x:c r="D30" s="21" t="str">
        <x:v>Freescale hissedarları şirketin satışını onayladı</x:v>
      </x:c>
      <x:c r="E30" s="21" t="n">
        <x:v>1</x:v>
      </x:c>
      <x:c r="F30" s="21" t="str">
        <x:v>positive</x:v>
      </x:c>
      <x:c r="G30" s="23" t="n">
        <x:v>0.5003588795661926</x:v>
      </x:c>
      <x:c r="H30" s="21" t="n">
        <x:v>1</x:v>
      </x:c>
      <x:c r="I30" s="21" t="str">
        <x:v>positive</x:v>
      </x:c>
      <x:c r="J30" s="24" t="n">
        <x:v>0.82</x:v>
      </x:c>
      <x:c r="K30" s="21" t="str">
        <x:v>Satış onayı anlaşma belirsizliğini azaltarak olumlu sinyal verir.</x:v>
      </x:c>
      <x:c r="L30" s="21" t="str">
        <x:f>IF(F30=I30,"same","different")</x:f>
        <x:v>same</x:v>
      </x:c>
      <x:c r="M30" s="21" t="str">
        <x:f>IF(L30="same","","FinBERT etiketiyle farklı; manuel kontrol önerilir.")</x:f>
      </x:c>
    </x:row>
    <x:row r="31">
      <x:c r="A31" s="30" t="str">
        <x:v>REUTERS_ANN_01380</x:v>
      </x:c>
      <x:c r="B31" s="22" t="n">
        <x:v>39143</x:v>
      </x:c>
      <x:c r="C31" s="21" t="str">
        <x:v>dean foods to pay $2 billion dividend</x:v>
      </x:c>
      <x:c r="D31" s="21" t="str">
        <x:v>Dean Foods 2 milyar dolar temettü ödeyecek</x:v>
      </x:c>
      <x:c r="E31" s="21" t="n">
        <x:v>1</x:v>
      </x:c>
      <x:c r="F31" s="21" t="str">
        <x:v>positive</x:v>
      </x:c>
      <x:c r="G31" s="23" t="n">
        <x:v>0.5691287517547607</x:v>
      </x:c>
      <x:c r="H31" s="21" t="n">
        <x:v>1</x:v>
      </x:c>
      <x:c r="I31" s="21" t="str">
        <x:v>positive</x:v>
      </x:c>
      <x:c r="J31" s="24" t="n">
        <x:v>0.88</x:v>
      </x:c>
      <x:c r="K31" s="21" t="str">
        <x:v>Büyük temettü ödemesi hissedar getirisi açısından olumlu.</x:v>
      </x:c>
      <x:c r="L31" s="21" t="str">
        <x:f>IF(F31=I31,"same","different")</x:f>
        <x:v>same</x:v>
      </x:c>
      <x:c r="M31" s="21" t="str">
        <x:f>IF(L31="same","","FinBERT etiketiyle farklı; manuel kontrol önerilir.")</x:f>
      </x:c>
    </x:row>
    <x:row r="32">
      <x:c r="A32" s="30" t="str">
        <x:v>REUTERS_ANN_01381</x:v>
      </x:c>
      <x:c r="B32" s="22" t="n">
        <x:v>39156</x:v>
      </x:c>
      <x:c r="C32" s="21" t="str">
        <x:v>mortgage meltdown sinks more than those on edge</x:v>
      </x:c>
      <x:c r="D32" s="21" t="str">
        <x:v>Mortgage çöküşü yalnızca riskli durumdakileri değil daha fazlasını etkiliyor</x:v>
      </x:c>
      <x:c r="E32" s="21" t="n">
        <x:v>-1</x:v>
      </x:c>
      <x:c r="F32" s="21" t="str">
        <x:v>negative</x:v>
      </x:c>
      <x:c r="G32" s="23" t="n">
        <x:v>0.7950730919837952</x:v>
      </x:c>
      <x:c r="H32" s="21" t="n">
        <x:v>-1</x:v>
      </x:c>
      <x:c r="I32" s="21" t="str">
        <x:v>negative</x:v>
      </x:c>
      <x:c r="J32" s="24" t="n">
        <x:v>0.92</x:v>
      </x:c>
      <x:c r="K32" s="21" t="str">
        <x:v>Mortgage krizi yayılma etkisiyle geniş piyasa için olumsuz.</x:v>
      </x:c>
      <x:c r="L32" s="21" t="str">
        <x:f>IF(F32=I32,"same","different")</x:f>
        <x:v>same</x:v>
      </x:c>
      <x:c r="M32" s="21" t="str">
        <x:f>IF(L32="same","","FinBERT etiketiyle farklı; manuel kontrol önerilir.")</x:f>
      </x:c>
    </x:row>
    <x:row r="33">
      <x:c r="A33" s="30" t="str">
        <x:v>REUTERS_ANN_01382</x:v>
      </x:c>
      <x:c r="B33" s="22" t="n">
        <x:v>39091</x:v>
      </x:c>
      <x:c r="C33" s="21" t="str">
        <x:v>lockheed wins $655 million in trident missile work</x:v>
      </x:c>
      <x:c r="D33" s="21" t="str">
        <x:v>Lockheed, Trident füze işi için 655 milyon dolarlık sözleşme kazandı</x:v>
      </x:c>
      <x:c r="E33" s="21" t="n">
        <x:v>1</x:v>
      </x:c>
      <x:c r="F33" s="21" t="str">
        <x:v>positive</x:v>
      </x:c>
      <x:c r="G33" s="23" t="n">
        <x:v>0.8786271214485168</x:v>
      </x:c>
      <x:c r="H33" s="21" t="n">
        <x:v>1</x:v>
      </x:c>
      <x:c r="I33" s="21" t="str">
        <x:v>positive</x:v>
      </x:c>
      <x:c r="J33" s="24" t="n">
        <x:v>0.94</x:v>
      </x:c>
      <x:c r="K33" s="21" t="str">
        <x:v>Büyük savunma sözleşmesi gelir görünümü açısından olumlu.</x:v>
      </x:c>
      <x:c r="L33" s="21" t="str">
        <x:f>IF(F33=I33,"same","different")</x:f>
        <x:v>same</x:v>
      </x:c>
      <x:c r="M33" s="21" t="str">
        <x:f>IF(L33="same","","FinBERT etiketiyle farklı; manuel kontrol önerilir.")</x:f>
      </x:c>
    </x:row>
    <x:row r="34">
      <x:c r="A34" s="30" t="str">
        <x:v>REUTERS_ANN_01383</x:v>
      </x:c>
      <x:c r="B34" s="22" t="n">
        <x:v>39189</x:v>
      </x:c>
      <x:c r="C34" s="21" t="str">
        <x:v>blackstone group eyeing intelsat report</x:v>
      </x:c>
      <x:c r="D34" s="21" t="str">
        <x:v>Blackstone Group'un Intelsat ile ilgilendiği bildiriliyor</x:v>
      </x:c>
      <x:c r="E34" s="21" t="n">
        <x:v>0</x:v>
      </x:c>
      <x:c r="F34" s="21" t="str">
        <x:v>neutral</x:v>
      </x:c>
      <x:c r="G34" s="23" t="n">
        <x:v>0.7583814859390259</x:v>
      </x:c>
      <x:c r="H34" s="21" t="n">
        <x:v>0</x:v>
      </x:c>
      <x:c r="I34" s="21" t="str">
        <x:v>neutral</x:v>
      </x:c>
      <x:c r="J34" s="24" t="n">
        <x:v>0.72</x:v>
      </x:c>
      <x:c r="K34" s="21" t="str">
        <x:v>Olası işlem haberidir; sonuç kesinleşmediği için nötr.</x:v>
      </x:c>
      <x:c r="L34" s="21" t="str">
        <x:f>IF(F34=I34,"same","different")</x:f>
        <x:v>same</x:v>
      </x:c>
      <x:c r="M34" s="21" t="str">
        <x:f>IF(L34="same","","FinBERT etiketiyle farklı; manuel kontrol önerilir.")</x:f>
      </x:c>
    </x:row>
    <x:row r="35">
      <x:c r="A35" s="30" t="str">
        <x:v>REUTERS_ANN_01384</x:v>
      </x:c>
      <x:c r="B35" s="22" t="n">
        <x:v>39155</x:v>
      </x:c>
      <x:c r="C35" s="21" t="str">
        <x:v>judge dismisses case against dunn</x:v>
      </x:c>
      <x:c r="D35" s="21" t="str">
        <x:v>Hakim, Dunn aleyhindeki davayı reddetti</x:v>
      </x:c>
      <x:c r="E35" s="21" t="n">
        <x:v>-1</x:v>
      </x:c>
      <x:c r="F35" s="21" t="str">
        <x:v>negative</x:v>
      </x:c>
      <x:c r="G35" s="23" t="n">
        <x:v>0.8632970452308655</x:v>
      </x:c>
      <x:c r="H35" s="21" t="n">
        <x:v>1</x:v>
      </x:c>
      <x:c r="I35" s="21" t="str">
        <x:v>positive</x:v>
      </x:c>
      <x:c r="J35" s="24" t="n">
        <x:v>0.82</x:v>
      </x:c>
      <x:c r="K35" s="21" t="str">
        <x:v>Davanın reddi ilgili taraf için hukuki riskin azalması anlamına gelir.</x:v>
      </x:c>
      <x:c r="L35" s="21" t="str">
        <x:f>IF(F35=I35,"same","different")</x:f>
        <x:v>different</x:v>
      </x:c>
      <x:c r="M35" s="21" t="str">
        <x:f>IF(L35="same","","FinBERT etiketiyle farklı; manuel kontrol önerilir.")</x:f>
        <x:v>FinBERT etiketiyle farklı; manuel kontrol önerilir.</x:v>
      </x:c>
    </x:row>
    <x:row r="36">
      <x:c r="A36" s="30" t="str">
        <x:v>REUTERS_ANN_01385</x:v>
      </x:c>
      <x:c r="B36" s="22" t="n">
        <x:v>39016</x:v>
      </x:c>
      <x:c r="C36" s="21" t="str">
        <x:v>exxon posts huge profit on high prices, output</x:v>
      </x:c>
      <x:c r="D36" s="21" t="str">
        <x:v>Exxon yüksek fiyatlar ve üretim sayesinde dev kâr açıkladı</x:v>
      </x:c>
      <x:c r="E36" s="21" t="n">
        <x:v>1</x:v>
      </x:c>
      <x:c r="F36" s="21" t="str">
        <x:v>positive</x:v>
      </x:c>
      <x:c r="G36" s="23" t="n">
        <x:v>0.9419840574264526</x:v>
      </x:c>
      <x:c r="H36" s="21" t="n">
        <x:v>1</x:v>
      </x:c>
      <x:c r="I36" s="21" t="str">
        <x:v>positive</x:v>
      </x:c>
      <x:c r="J36" s="24" t="n">
        <x:v>0.96</x:v>
      </x:c>
      <x:c r="K36" s="21" t="str">
        <x:v>Çok güçlü kâr haberi açık olumlu finansal sinyaldir.</x:v>
      </x:c>
      <x:c r="L36" s="21" t="str">
        <x:f>IF(F36=I36,"same","different")</x:f>
        <x:v>same</x:v>
      </x:c>
      <x:c r="M36" s="21" t="str">
        <x:f>IF(L36="same","","FinBERT etiketiyle farklı; manuel kontrol önerilir.")</x:f>
      </x:c>
    </x:row>
    <x:row r="37">
      <x:c r="A37" s="30" t="str">
        <x:v>REUTERS_ANN_01386</x:v>
      </x:c>
      <x:c r="B37" s="22" t="n">
        <x:v>39134</x:v>
      </x:c>
      <x:c r="C37" s="21" t="str">
        <x:v>oil vaults above $60 on u.s. energy snags</x:v>
      </x:c>
      <x:c r="D37" s="21" t="str">
        <x:v>Petrol, ABD enerji aksaklıklarıyla 60 doların üzerine sıçradı</x:v>
      </x:c>
      <x:c r="E37" s="21" t="n">
        <x:v>-1</x:v>
      </x:c>
      <x:c r="F37" s="21" t="str">
        <x:v>negative</x:v>
      </x:c>
      <x:c r="G37" s="23" t="n">
        <x:v>0.7483412623405457</x:v>
      </x:c>
      <x:c r="H37" s="21" t="n">
        <x:v>-1</x:v>
      </x:c>
      <x:c r="I37" s="21" t="str">
        <x:v>negative</x:v>
      </x:c>
      <x:c r="J37" s="24" t="n">
        <x:v>0.72</x:v>
      </x:c>
      <x:c r="K37" s="21" t="str">
        <x:v>Enerji arz aksaklığı ve fiyat sıçraması geniş ekonomi için maliyet baskısı yaratır.</x:v>
      </x:c>
      <x:c r="L37" s="21" t="str">
        <x:f>IF(F37=I37,"same","different")</x:f>
        <x:v>same</x:v>
      </x:c>
      <x:c r="M37" s="21" t="str">
        <x:f>IF(L37="same","","FinBERT etiketiyle farklı; manuel kontrol önerilir.")</x:f>
      </x:c>
    </x:row>
    <x:row r="38">
      <x:c r="A38" s="30" t="str">
        <x:v>REUTERS_ANN_01387</x:v>
      </x:c>
      <x:c r="B38" s="22" t="n">
        <x:v>39139</x:v>
      </x:c>
      <x:c r="C38" s="21" t="str">
        <x:v>station casinos accepts $5.5 bln offer report</x:v>
      </x:c>
      <x:c r="D38" s="21" t="str">
        <x:v>Station Casinos'un 5,5 milyar dolarlık teklifi kabul ettiği bildirildi</x:v>
      </x:c>
      <x:c r="E38" s="21" t="n">
        <x:v>0</x:v>
      </x:c>
      <x:c r="F38" s="21" t="str">
        <x:v>neutral</x:v>
      </x:c>
      <x:c r="G38" s="23" t="n">
        <x:v>0.9053304195404052</x:v>
      </x:c>
      <x:c r="H38" s="21" t="n">
        <x:v>1</x:v>
      </x:c>
      <x:c r="I38" s="21" t="str">
        <x:v>positive</x:v>
      </x:c>
      <x:c r="J38" s="24" t="n">
        <x:v>0.76</x:v>
      </x:c>
      <x:c r="K38" s="21" t="str">
        <x:v>Teklifin kabulü anlaşma belirsizliğini azaltır ve hissedar değeri yaratabilir.</x:v>
      </x:c>
      <x:c r="L38" s="21" t="str">
        <x:f>IF(F38=I38,"same","different")</x:f>
        <x:v>different</x:v>
      </x:c>
      <x:c r="M38" s="21" t="str">
        <x:f>IF(L38="same","","FinBERT etiketiyle farklı; manuel kontrol önerilir.")</x:f>
        <x:v>FinBERT etiketiyle farklı; manuel kontrol önerilir.</x:v>
      </x:c>
    </x:row>
    <x:row r="39">
      <x:c r="A39" s="30" t="str">
        <x:v>REUTERS_ANN_01388</x:v>
      </x:c>
      <x:c r="B39" s="22" t="n">
        <x:v>39126</x:v>
      </x:c>
      <x:c r="C39" s="21" t="str">
        <x:v>marsh mclennan quarterly earnings soar</x:v>
      </x:c>
      <x:c r="D39" s="21" t="str">
        <x:v>Marsh McLennan'ın üç aylık kârı sert yükseldi</x:v>
      </x:c>
      <x:c r="E39" s="21" t="n">
        <x:v>1</x:v>
      </x:c>
      <x:c r="F39" s="21" t="str">
        <x:v>positive</x:v>
      </x:c>
      <x:c r="G39" s="23" t="n">
        <x:v>0.9443884491920472</x:v>
      </x:c>
      <x:c r="H39" s="21" t="n">
        <x:v>1</x:v>
      </x:c>
      <x:c r="I39" s="21" t="str">
        <x:v>positive</x:v>
      </x:c>
      <x:c r="J39" s="24" t="n">
        <x:v>0.94</x:v>
      </x:c>
      <x:c r="K39" s="21" t="str">
        <x:v>Kârdaki güçlü artış açık olumlu sonuçtur.</x:v>
      </x:c>
      <x:c r="L39" s="21" t="str">
        <x:f>IF(F39=I39,"same","different")</x:f>
        <x:v>same</x:v>
      </x:c>
      <x:c r="M39" s="21" t="str">
        <x:f>IF(L39="same","","FinBERT etiketiyle farklı; manuel kontrol önerilir.")</x:f>
      </x:c>
    </x:row>
    <x:row r="40">
      <x:c r="A40" s="30" t="str">
        <x:v>REUTERS_ANN_01389</x:v>
      </x:c>
      <x:c r="B40" s="22" t="n">
        <x:v>39186</x:v>
      </x:c>
      <x:c r="C40" s="21" t="str">
        <x:v>african ministers say wolfowitz a visionary</x:v>
      </x:c>
      <x:c r="D40" s="21" t="str">
        <x:v>Afrikalı bakanlar Wolfowitz'i vizyoner olarak nitelendirdi</x:v>
      </x:c>
      <x:c r="E40" s="21" t="n">
        <x:v>-1</x:v>
      </x:c>
      <x:c r="F40" s="21" t="str">
        <x:v>negative</x:v>
      </x:c>
      <x:c r="G40" s="23" t="n">
        <x:v>0.9179680943489076</x:v>
      </x:c>
      <x:c r="H40" s="21" t="n">
        <x:v>0</x:v>
      </x:c>
      <x:c r="I40" s="21" t="str">
        <x:v>neutral</x:v>
      </x:c>
      <x:c r="J40" s="24" t="n">
        <x:v>0.61</x:v>
      </x:c>
      <x:c r="K40" s="21" t="str">
        <x:v>Kişisel/kurumsal açıklama niteliğinde; finansal etkisi doğrudan değil.</x:v>
      </x:c>
      <x:c r="L40" s="21" t="str">
        <x:f>IF(F40=I40,"same","different")</x:f>
        <x:v>different</x:v>
      </x:c>
      <x:c r="M40" s="21" t="str">
        <x:f>IF(L40="same","","FinBERT etiketiyle farklı; manuel kontrol önerilir.")</x:f>
        <x:v>FinBERT etiketiyle farklı; manuel kontrol önerilir.</x:v>
      </x:c>
    </x:row>
    <x:row r="41">
      <x:c r="A41" s="30" t="str">
        <x:v>REUTERS_ANN_01390</x:v>
      </x:c>
      <x:c r="B41" s="22" t="n">
        <x:v>39141</x:v>
      </x:c>
      <x:c r="C41" s="21" t="str">
        <x:v>instant view bernanke comments help u.s. stocks</x:v>
      </x:c>
      <x:c r="D41" s="21" t="str">
        <x:v>Bernanke'nin yorumları ABD hisselerine destek oldu</x:v>
      </x:c>
      <x:c r="E41" s="21" t="n">
        <x:v>-1</x:v>
      </x:c>
      <x:c r="F41" s="21" t="str">
        <x:v>negative</x:v>
      </x:c>
      <x:c r="G41" s="23" t="n">
        <x:v>0.7159525156021118</x:v>
      </x:c>
      <x:c r="H41" s="21" t="n">
        <x:v>1</x:v>
      </x:c>
      <x:c r="I41" s="21" t="str">
        <x:v>positive</x:v>
      </x:c>
      <x:c r="J41" s="24" t="n">
        <x:v>0.88</x:v>
      </x:c>
      <x:c r="K41" s="21" t="str">
        <x:v>Merkez bankası yorumlarının hisse piyasasını desteklemesi olumlu.</x:v>
      </x:c>
      <x:c r="L41" s="21" t="str">
        <x:f>IF(F41=I41,"same","different")</x:f>
        <x:v>different</x:v>
      </x:c>
      <x:c r="M41" s="21" t="str">
        <x:f>IF(L41="same","","FinBERT etiketiyle farklı; manuel kontrol önerilir.")</x:f>
        <x:v>FinBERT etiketiyle farklı; manuel kontrol önerilir.</x:v>
      </x:c>
    </x:row>
    <x:row r="42">
      <x:c r="A42" s="30" t="str">
        <x:v>REUTERS_ANN_01391</x:v>
      </x:c>
      <x:c r="B42" s="22" t="n">
        <x:v>39193</x:v>
      </x:c>
      <x:c r="C42" s="21" t="str">
        <x:v>workers end four-day strike at freeport indonesia</x:v>
      </x:c>
      <x:c r="D42" s="21" t="str">
        <x:v>İşçiler Freeport Endonezya'daki dört günlük grevi bitirdi</x:v>
      </x:c>
      <x:c r="E42" s="21" t="n">
        <x:v>-1</x:v>
      </x:c>
      <x:c r="F42" s="21" t="str">
        <x:v>negative</x:v>
      </x:c>
      <x:c r="G42" s="23" t="n">
        <x:v>0.9142044186592102</x:v>
      </x:c>
      <x:c r="H42" s="21" t="n">
        <x:v>1</x:v>
      </x:c>
      <x:c r="I42" s="21" t="str">
        <x:v>positive</x:v>
      </x:c>
      <x:c r="J42" s="24" t="n">
        <x:v>0.84</x:v>
      </x:c>
      <x:c r="K42" s="21" t="str">
        <x:v>Grevin sona ermesi operasyonel aksaklık riskini azaltır.</x:v>
      </x:c>
      <x:c r="L42" s="21" t="str">
        <x:f>IF(F42=I42,"same","different")</x:f>
        <x:v>different</x:v>
      </x:c>
      <x:c r="M42" s="21" t="str">
        <x:f>IF(L42="same","","FinBERT etiketiyle farklı; manuel kontrol önerilir.")</x:f>
        <x:v>FinBERT etiketiyle farklı; manuel kontrol önerilir.</x:v>
      </x:c>
    </x:row>
    <x:row r="43">
      <x:c r="A43" s="30" t="str">
        <x:v>REUTERS_ANN_01392</x:v>
      </x:c>
      <x:c r="B43" s="22" t="n">
        <x:v>39065</x:v>
      </x:c>
      <x:c r="C43" s="21" t="str">
        <x:v>wal-mart recalls 56,000 stuffed toys</x:v>
      </x:c>
      <x:c r="D43" s="21" t="str">
        <x:v>Wal-Mart 56.000 pelüş oyuncağı geri çağırıyor</x:v>
      </x:c>
      <x:c r="E43" s="21" t="n">
        <x:v>-1</x:v>
      </x:c>
      <x:c r="F43" s="21" t="str">
        <x:v>negative</x:v>
      </x:c>
      <x:c r="G43" s="23" t="n">
        <x:v>0.8880684971809387</x:v>
      </x:c>
      <x:c r="H43" s="21" t="n">
        <x:v>-1</x:v>
      </x:c>
      <x:c r="I43" s="21" t="str">
        <x:v>negative</x:v>
      </x:c>
      <x:c r="J43" s="24" t="n">
        <x:v>0.92</x:v>
      </x:c>
      <x:c r="K43" s="21" t="str">
        <x:v>Ürün geri çağırma maliyet ve itibar riski yaratır.</x:v>
      </x:c>
      <x:c r="L43" s="21" t="str">
        <x:f>IF(F43=I43,"same","different")</x:f>
        <x:v>same</x:v>
      </x:c>
      <x:c r="M43" s="21" t="str">
        <x:f>IF(L43="same","","FinBERT etiketiyle farklı; manuel kontrol önerilir.")</x:f>
      </x:c>
    </x:row>
    <x:row r="44">
      <x:c r="A44" s="30" t="str">
        <x:v>REUTERS_ANN_01393</x:v>
      </x:c>
      <x:c r="B44" s="22" t="n">
        <x:v>39116</x:v>
      </x:c>
      <x:c r="C44" s="21" t="str">
        <x:v>bush says budget will limit non-defense spending</x:v>
      </x:c>
      <x:c r="D44" s="21" t="str">
        <x:v>Bush, bütçenin savunma dışı harcamaları sınırlayacağını söyledi</x:v>
      </x:c>
      <x:c r="E44" s="21" t="n">
        <x:v>0</x:v>
      </x:c>
      <x:c r="F44" s="21" t="str">
        <x:v>neutral</x:v>
      </x:c>
      <x:c r="G44" s="23" t="n">
        <x:v>0.7803321480751038</x:v>
      </x:c>
      <x:c r="H44" s="21" t="n">
        <x:v>0</x:v>
      </x:c>
      <x:c r="I44" s="21" t="str">
        <x:v>neutral</x:v>
      </x:c>
      <x:c r="J44" s="24" t="n">
        <x:v>0.7</x:v>
      </x:c>
      <x:c r="K44" s="21" t="str">
        <x:v>Mali politika başlığıdır; piyasa/şirket yönü net değil.</x:v>
      </x:c>
      <x:c r="L44" s="21" t="str">
        <x:f>IF(F44=I44,"same","different")</x:f>
        <x:v>same</x:v>
      </x:c>
      <x:c r="M44" s="21" t="str">
        <x:f>IF(L44="same","","FinBERT etiketiyle farklı; manuel kontrol önerilir.")</x:f>
      </x:c>
    </x:row>
    <x:row r="45">
      <x:c r="A45" s="30" t="str">
        <x:v>REUTERS_ANN_01394</x:v>
      </x:c>
      <x:c r="B45" s="22" t="n">
        <x:v>39073</x:v>
      </x:c>
      <x:c r="C45" s="21" t="str">
        <x:v>u.s. court cuts exxon valdez damages by $2 billion</x:v>
      </x:c>
      <x:c r="D45" s="21" t="str">
        <x:v>ABD mahkemesi Exxon Valdez tazminatını 2 milyar dolar azalttı</x:v>
      </x:c>
      <x:c r="E45" s="21" t="n">
        <x:v>-1</x:v>
      </x:c>
      <x:c r="F45" s="21" t="str">
        <x:v>negative</x:v>
      </x:c>
      <x:c r="G45" s="23" t="n">
        <x:v>0.9437300562858582</x:v>
      </x:c>
      <x:c r="H45" s="21" t="n">
        <x:v>1</x:v>
      </x:c>
      <x:c r="I45" s="21" t="str">
        <x:v>positive</x:v>
      </x:c>
      <x:c r="J45" s="24" t="n">
        <x:v>0.83</x:v>
      </x:c>
      <x:c r="K45" s="21" t="str">
        <x:v>Tazminat yükünün azalması Exxon açısından olumlu.</x:v>
      </x:c>
      <x:c r="L45" s="21" t="str">
        <x:f>IF(F45=I45,"same","different")</x:f>
        <x:v>different</x:v>
      </x:c>
      <x:c r="M45" s="21" t="str">
        <x:f>IF(L45="same","","FinBERT etiketiyle farklı; manuel kontrol önerilir.")</x:f>
        <x:v>FinBERT etiketiyle farklı; manuel kontrol önerilir.</x:v>
      </x:c>
    </x:row>
    <x:row r="46">
      <x:c r="A46" s="30" t="str">
        <x:v>REUTERS_ANN_01395</x:v>
      </x:c>
      <x:c r="B46" s="22" t="n">
        <x:v>39063</x:v>
      </x:c>
      <x:c r="C46" s="21" t="str">
        <x:v>microsoft starts test of new voip server</x:v>
      </x:c>
      <x:c r="D46" s="21" t="str">
        <x:v>Microsoft yeni VoIP sunucusunun testine başladı</x:v>
      </x:c>
      <x:c r="E46" s="21" t="n">
        <x:v>1</x:v>
      </x:c>
      <x:c r="F46" s="21" t="str">
        <x:v>positive</x:v>
      </x:c>
      <x:c r="G46" s="23" t="n">
        <x:v>0.6035844683647156</x:v>
      </x:c>
      <x:c r="H46" s="21" t="n">
        <x:v>1</x:v>
      </x:c>
      <x:c r="I46" s="21" t="str">
        <x:v>positive</x:v>
      </x:c>
      <x:c r="J46" s="24" t="n">
        <x:v>0.7</x:v>
      </x:c>
      <x:c r="K46" s="21" t="str">
        <x:v>Yeni ürün testi potansiyel büyüme/ürün genişlemesi anlamına gelir.</x:v>
      </x:c>
      <x:c r="L46" s="21" t="str">
        <x:f>IF(F46=I46,"same","different")</x:f>
        <x:v>same</x:v>
      </x:c>
      <x:c r="M46" s="21" t="str">
        <x:f>IF(L46="same","","FinBERT etiketiyle farklı; manuel kontrol önerilir.")</x:f>
      </x:c>
    </x:row>
    <x:row r="47">
      <x:c r="A47" s="30" t="str">
        <x:v>REUTERS_ANN_01396</x:v>
      </x:c>
      <x:c r="B47" s="22" t="n">
        <x:v>39015</x:v>
      </x:c>
      <x:c r="C47" s="21" t="str">
        <x:v>colgate beats street view but net slips on charges</x:v>
      </x:c>
      <x:c r="D47" s="21" t="str">
        <x:v>Colgate beklentiyi aştı ancak masraflar nedeniyle net kâr geriledi</x:v>
      </x:c>
      <x:c r="E47" s="21" t="n">
        <x:v>1</x:v>
      </x:c>
      <x:c r="F47" s="21" t="str">
        <x:v>positive</x:v>
      </x:c>
      <x:c r="G47" s="23" t="n">
        <x:v>0.8143147230148315</x:v>
      </x:c>
      <x:c r="H47" s="21" t="n">
        <x:v>0</x:v>
      </x:c>
      <x:c r="I47" s="21" t="str">
        <x:v>neutral</x:v>
      </x:c>
      <x:c r="J47" s="24" t="n">
        <x:v>0.6</x:v>
      </x:c>
      <x:c r="K47" s="21" t="str">
        <x:v>Beklentiyi aşma olumlu, net kâr düşüşü olumsuz; sinyal karışık.</x:v>
      </x:c>
      <x:c r="L47" s="21" t="str">
        <x:f>IF(F47=I47,"same","different")</x:f>
        <x:v>different</x:v>
      </x:c>
      <x:c r="M47" s="21" t="str">
        <x:f>IF(L47="same","","FinBERT etiketiyle farklı; manuel kontrol önerilir.")</x:f>
        <x:v>FinBERT etiketiyle farklı; manuel kontrol önerilir.</x:v>
      </x:c>
    </x:row>
    <x:row r="48">
      <x:c r="A48" s="30" t="str">
        <x:v>REUTERS_ANN_01397</x:v>
      </x:c>
      <x:c r="B48" s="22" t="n">
        <x:v>39082</x:v>
      </x:c>
      <x:c r="C48" s="21" t="str">
        <x:v>russia, belarus sign gas deal</x:v>
      </x:c>
      <x:c r="D48" s="21" t="str">
        <x:v>Rusya ve Belarus gaz anlaşması imzaladı</x:v>
      </x:c>
      <x:c r="E48" s="21" t="n">
        <x:v>-1</x:v>
      </x:c>
      <x:c r="F48" s="21" t="str">
        <x:v>negative</x:v>
      </x:c>
      <x:c r="G48" s="23" t="n">
        <x:v>0.9039984941482544</x:v>
      </x:c>
      <x:c r="H48" s="21" t="n">
        <x:v>1</x:v>
      </x:c>
      <x:c r="I48" s="21" t="str">
        <x:v>positive</x:v>
      </x:c>
      <x:c r="J48" s="24" t="n">
        <x:v>0.74</x:v>
      </x:c>
      <x:c r="K48" s="21" t="str">
        <x:v>Anlaşma enerji arzı belirsizliğini azaltarak olumlu olabilir.</x:v>
      </x:c>
      <x:c r="L48" s="21" t="str">
        <x:f>IF(F48=I48,"same","different")</x:f>
        <x:v>different</x:v>
      </x:c>
      <x:c r="M48" s="21" t="str">
        <x:f>IF(L48="same","","FinBERT etiketiyle farklı; manuel kontrol önerilir.")</x:f>
        <x:v>FinBERT etiketiyle farklı; manuel kontrol önerilir.</x:v>
      </x:c>
    </x:row>
    <x:row r="49">
      <x:c r="A49" s="30" t="str">
        <x:v>REUTERS_ANN_01398</x:v>
      </x:c>
      <x:c r="B49" s="22" t="n">
        <x:v>39198</x:v>
      </x:c>
      <x:c r="C49" s="21" t="str">
        <x:v>comcast profit rises on subscribers, one-time gain</x:v>
      </x:c>
      <x:c r="D49" s="21" t="str">
        <x:v>Comcast'in kârı abone artışı ve tek seferlik kazançla yükseldi</x:v>
      </x:c>
      <x:c r="E49" s="21" t="n">
        <x:v>1</x:v>
      </x:c>
      <x:c r="F49" s="21" t="str">
        <x:v>positive</x:v>
      </x:c>
      <x:c r="G49" s="23" t="n">
        <x:v>0.9551406502723694</x:v>
      </x:c>
      <x:c r="H49" s="21" t="n">
        <x:v>1</x:v>
      </x:c>
      <x:c r="I49" s="21" t="str">
        <x:v>positive</x:v>
      </x:c>
      <x:c r="J49" s="24" t="n">
        <x:v>0.96</x:v>
      </x:c>
      <x:c r="K49" s="21" t="str">
        <x:v>Kâr artışı ve abone katkısı net olumlu finansal sinyal.</x:v>
      </x:c>
      <x:c r="L49" s="21" t="str">
        <x:f>IF(F49=I49,"same","different")</x:f>
        <x:v>same</x:v>
      </x:c>
      <x:c r="M49" s="21" t="str">
        <x:f>IF(L49="same","","FinBERT etiketiyle farklı; manuel kontrol önerilir.")</x:f>
      </x:c>
    </x:row>
    <x:row r="50">
      <x:c r="A50" s="30" t="str">
        <x:v>REUTERS_ANN_01399</x:v>
      </x:c>
      <x:c r="B50" s="22" t="n">
        <x:v>39085</x:v>
      </x:c>
      <x:c r="C50" s="21" t="str">
        <x:v>gm u.s. december sales down 9.6 pct</x:v>
      </x:c>
      <x:c r="D50" s="21" t="str">
        <x:v>GM'in ABD Aralık satışları yüzde 9,6 düştü</x:v>
      </x:c>
      <x:c r="E50" s="21" t="n">
        <x:v>-1</x:v>
      </x:c>
      <x:c r="F50" s="21" t="str">
        <x:v>negative</x:v>
      </x:c>
      <x:c r="G50" s="23" t="n">
        <x:v>0.976213812828064</x:v>
      </x:c>
      <x:c r="H50" s="21" t="n">
        <x:v>-1</x:v>
      </x:c>
      <x:c r="I50" s="21" t="str">
        <x:v>negative</x:v>
      </x:c>
      <x:c r="J50" s="24" t="n">
        <x:v>0.95</x:v>
      </x:c>
      <x:c r="K50" s="21" t="str">
        <x:v>Satışlardaki düşüş şirket performansı açısından olumsuz.</x:v>
      </x:c>
      <x:c r="L50" s="21" t="str">
        <x:f>IF(F50=I50,"same","different")</x:f>
        <x:v>same</x:v>
      </x:c>
      <x:c r="M50" s="21" t="str">
        <x:f>IF(L50="same","","FinBERT etiketiyle farklı; manuel kontrol önerilir.")</x:f>
      </x:c>
    </x:row>
    <x:row r="51">
      <x:c r="A51" s="30" t="str">
        <x:v>REUTERS_ANN_01400</x:v>
      </x:c>
      <x:c r="B51" s="22" t="n">
        <x:v>39013</x:v>
      </x:c>
      <x:c r="C51" s="21" t="str">
        <x:v>ford ceo jury out on european premium brands</x:v>
      </x:c>
      <x:c r="D51" s="21" t="str">
        <x:v>Ford CEO'su Avrupa premium markaları konusunda kararın netleşmediğini söyledi</x:v>
      </x:c>
      <x:c r="E51" s="21" t="n">
        <x:v>0</x:v>
      </x:c>
      <x:c r="F51" s="21" t="str">
        <x:v>neutral</x:v>
      </x:c>
      <x:c r="G51" s="23" t="n">
        <x:v>0.5128681659698486</x:v>
      </x:c>
      <x:c r="H51" s="21" t="n">
        <x:v>0</x:v>
      </x:c>
      <x:c r="I51" s="21" t="str">
        <x:v>neutral</x:v>
      </x:c>
      <x:c r="J51" s="24" t="n">
        <x:v>0.55</x:v>
      </x:c>
      <x:c r="K51" s="21" t="str">
        <x:v>Stratejik belirsizlik var ancak doğrudan sonuç açıklanmıyor.</x:v>
      </x:c>
      <x:c r="L51" s="21" t="str">
        <x:f>IF(F51=I51,"same","different")</x:f>
        <x:v>same</x:v>
      </x:c>
      <x:c r="M51" s="21" t="str">
        <x:f>IF(L51="same","","FinBERT etiketiyle farklı; manuel kontrol önerilir.")</x:f>
      </x:c>
    </x:row>
  </x:sheetData>
  <x:conditionalFormatting sqref="I2:I51">
    <x:cfRule type="expression" dxfId="0" priority="1">
      <x:formula>I2="positive"</x:formula>
    </x:cfRule>
    <x:cfRule type="expression" dxfId="1" priority="2">
      <x:formula>I2="negative"</x:formula>
    </x:cfRule>
    <x:cfRule type="expression" dxfId="2" priority="3">
      <x:formula>I2="neutral"</x:formula>
    </x:cfRule>
  </x:conditionalFormatting>
  <x:conditionalFormatting sqref="L2:L51">
    <x:cfRule type="expression" dxfId="3" priority="4">
      <x:formula>L2="different"</x:formula>
    </x:cfRule>
  </x:conditionalFormatting>
  <x:dataValidations count="1">
    <x:dataValidation type="list" sqref="I2:I51">
      <x:formula1>"negative,neutral,positive"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7ec44e64d348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36" hidden="0" customWidth="1"/>
    <x:col min="4" max="4" width="12" hidden="0" customWidth="1"/>
  </x:cols>
  <x:sheetData>
    <x:row r="1">
      <x:c r="A1" s="33" t="str">
        <x:v>REUTERS Annotation Batch 028 - Summary</x:v>
      </x:c>
      <x:c r="B1" t="str"/>
      <x:c r="C1" t="str"/>
      <x:c r="D1" t="str"/>
    </x:row>
    <x:row r="3">
      <x:c r="A3" s="6" t="str">
        <x:v>Metric</x:v>
      </x:c>
      <x:c r="B3" s="6" t="str">
        <x:v>Value</x:v>
      </x:c>
      <x:c r="C3" s="6" t="str">
        <x:v>Formula/Note</x:v>
      </x:c>
      <x:c r="D3" s="6" t="str"/>
      <x:c r="F3" s="6" t="str">
        <x:v>Label</x:v>
      </x:c>
      <x:c r="G3" s="6" t="str">
        <x:v>Count</x:v>
      </x:c>
    </x:row>
    <x:row r="4">
      <x:c r="A4" s="12" t="str">
        <x:v>Total rows</x:v>
      </x:c>
      <x:c r="B4" s="12" t="n">
        <x:f>COUNTA(annotations!A2:A51)</x:f>
        <x:v>50</x:v>
      </x:c>
      <x:c r="C4" s="12" t="str">
        <x:v>COUNTA(annotation_id)</x:v>
      </x:c>
      <x:c r="D4" s="12" t="str"/>
      <x:c r="F4" t="str">
        <x:v>positive</x:v>
      </x:c>
      <x:c r="G4" t="n">
        <x:f>COUNTIF(annotations!I2:I51,F4)</x:f>
        <x:v>24</x:v>
      </x:c>
    </x:row>
    <x:row r="5">
      <x:c r="A5" s="12" t="str">
        <x:v>ChatGPT positive</x:v>
      </x:c>
      <x:c r="B5" s="12" t="n">
        <x:f>COUNTIF(annotations!I2:I51,"positive")</x:f>
        <x:v>24</x:v>
      </x:c>
      <x:c r="C5" s="12" t="str">
        <x:v>COUNTIF(chatgpt_label, positive)</x:v>
      </x:c>
      <x:c r="D5" s="12" t="str"/>
      <x:c r="F5" t="str">
        <x:v>neutral</x:v>
      </x:c>
      <x:c r="G5" t="n">
        <x:f>COUNTIF(annotations!I2:I51,F5)</x:f>
        <x:v>13</x:v>
      </x:c>
    </x:row>
    <x:row r="6">
      <x:c r="A6" s="12" t="str">
        <x:v>ChatGPT neutral</x:v>
      </x:c>
      <x:c r="B6" s="12" t="n">
        <x:f>COUNTIF(annotations!I2:I51,"neutral")</x:f>
        <x:v>13</x:v>
      </x:c>
      <x:c r="C6" s="12" t="str">
        <x:v>COUNTIF(chatgpt_label, neutral)</x:v>
      </x:c>
      <x:c r="D6" s="12" t="str"/>
      <x:c r="F6" t="str">
        <x:v>negative</x:v>
      </x:c>
      <x:c r="G6" t="n">
        <x:f>COUNTIF(annotations!I2:I51,F6)</x:f>
        <x:v>13</x:v>
      </x:c>
    </x:row>
    <x:row r="7">
      <x:c r="A7" s="12" t="str">
        <x:v>ChatGPT negative</x:v>
      </x:c>
      <x:c r="B7" s="12" t="n">
        <x:f>COUNTIF(annotations!I2:I51,"negative")</x:f>
        <x:v>13</x:v>
      </x:c>
      <x:c r="C7" s="12" t="str">
        <x:v>COUNTIF(chatgpt_label, negative)</x:v>
      </x:c>
      <x:c r="D7" s="12" t="str"/>
    </x:row>
    <x:row r="8">
      <x:c r="A8" s="12" t="str">
        <x:v>FinBERT same</x:v>
      </x:c>
      <x:c r="B8" s="12" t="n">
        <x:f>COUNTIF(annotations!L2:L51,"same")</x:f>
        <x:v>33</x:v>
      </x:c>
      <x:c r="C8" s="12" t="str">
        <x:v>COUNTIF(alignment, same)</x:v>
      </x:c>
      <x:c r="D8" s="12" t="str"/>
    </x:row>
    <x:row r="9">
      <x:c r="A9" s="12" t="str">
        <x:v>FinBERT different / review</x:v>
      </x:c>
      <x:c r="B9" s="12" t="n">
        <x:f>COUNTIF(annotations!L2:L51,"different")</x:f>
        <x:v>17</x:v>
      </x:c>
      <x:c r="C9" s="12" t="str">
        <x:v>COUNTIF(alignment, different)</x:v>
      </x:c>
      <x:c r="D9" s="12" t="str"/>
    </x:row>
    <x:row r="10">
      <x:c r="A10" s="12" t="str">
        <x:v>FinBERT agreement rate</x:v>
      </x:c>
      <x:c r="B10" s="38" t="n">
        <x:f>B8/B4</x:f>
        <x:v>0.66</x:v>
      </x:c>
      <x:c r="C10" s="12" t="str">
        <x:v>same / total</x:v>
      </x:c>
      <x:c r="D10" s="12" t="str"/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12adb52d3c1a4c2b"/>
  <x:tableParts count="2">
    <x:tablePart xmlns:r="http://schemas.openxmlformats.org/officeDocument/2006/relationships" r:id="R1ef5d40b4f184b48"/>
    <x:tablePart xmlns:r="http://schemas.openxmlformats.org/officeDocument/2006/relationships" r:id="R5f88eb9f5bc34b4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6" t="str">
        <x:v>Field</x:v>
      </x:c>
      <x:c r="B1" s="6" t="str">
        <x:v>Description</x:v>
      </x:c>
    </x:row>
    <x:row r="2">
      <x:c r="A2" t="str">
        <x:v>chatgpt_label</x:v>
      </x:c>
      <x:c r="B2" t="str">
        <x:v>Manuel nihai sentiment etiketi: positive, neutral veya negative.</x:v>
      </x:c>
    </x:row>
    <x:row r="3">
      <x:c r="A3" t="str">
        <x:v>chatgpt_score</x:v>
      </x:c>
      <x:c r="B3" t="str">
        <x:v>Etiketin sayısal karşılığı: negative=-1, neutral=0, positive=1.</x:v>
      </x:c>
    </x:row>
    <x:row r="4">
      <x:c r="A4" t="str">
        <x:v>chatgpt_confidence</x:v>
      </x:c>
      <x:c r="B4" t="str">
        <x:v>0-1 aralığında manuel güven; başlık açık olduğunda yüksek, karışık olduğunda düşük/orta.</x:v>
      </x:c>
    </x:row>
    <x:row r="5">
      <x:c r="A5" t="str">
        <x:v>chatgpt_reason_tr</x:v>
      </x:c>
      <x:c r="B5" t="str">
        <x:v>Etiket kararının kısa Türkçe gerekçesi.</x:v>
      </x:c>
    </x:row>
    <x:row r="6">
      <x:c r="A6" t="str">
        <x:v>finbert_alignment</x:v>
      </x:c>
      <x:c r="B6" t="str">
        <x:v>ChatGPT etiketi ile FinBERT etiketinin aynı/farklı karşılaştırması.</x:v>
      </x:c>
    </x:row>
    <x:row r="7">
      <x:c r="A7" t="str">
        <x:v>review_note</x:v>
      </x:c>
      <x:c r="B7" t="str">
        <x:v>Farklı etiketlerde manuel kontrol önerisi.</x:v>
      </x:c>
    </x:row>
    <x:row r="8">
      <x:c r="A8" t="str">
        <x:v>source</x:v>
      </x:c>
      <x:c r="B8" t="str">
        <x:v>Kullanıcı tarafından paylaşılan REUTERS ANNOTATION BATCH 028 metni.</x:v>
      </x:c>
    </x:row>
  </x:sheetData>
  <x:pageMargins left="0.7" right="0.7" top="0.75" bottom="0.75" header="0.3" footer="0.3"/>
  <x:tableParts count="1">
    <x:tablePart xmlns:r="http://schemas.openxmlformats.org/officeDocument/2006/relationships" r:id="R7f60b1c5d3f444d4"/>
  </x:tableParts>
</x:worksheet>
</file>