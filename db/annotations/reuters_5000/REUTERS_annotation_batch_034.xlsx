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2b217f98b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b6edbe306f0c4cfd"/>
    <x:sheet xmlns:r="http://schemas.openxmlformats.org/officeDocument/2006/relationships" name="summary" sheetId="2" r:id="R8bf9bffcbfc148bc"/>
    <x:sheet xmlns:r="http://schemas.openxmlformats.org/officeDocument/2006/relationships" name="labeling_notes" sheetId="3" r:id="R529105d2b050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b/>
      </x:font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bf196f55e48f0" /><Relationship Type="http://schemas.openxmlformats.org/officeDocument/2006/relationships/theme" Target="/xl/theme/theme1.xml" Id="R9e91b2694ceb4d82" /><Relationship Type="http://schemas.openxmlformats.org/officeDocument/2006/relationships/sharedStrings" Target="/xl/sharedStrings.xml" Id="R28e543078aed4e56" /><Relationship Type="http://schemas.openxmlformats.org/officeDocument/2006/relationships/worksheet" Target="/xl/worksheets/sheet1.xml" Id="Rb6edbe306f0c4cfd" /><Relationship Type="http://schemas.openxmlformats.org/officeDocument/2006/relationships/worksheet" Target="/xl/worksheets/sheet2.xml" Id="R8bf9bffcbfc148bc" /><Relationship Type="http://schemas.openxmlformats.org/officeDocument/2006/relationships/worksheet" Target="/xl/worksheets/sheet3.xml" Id="R529105d2b0504e7d" /></Relationships>
</file>

<file path=xl/tables/table1.xml><?xml version="1.0" encoding="utf-8"?>
<x:table xmlns:x="http://schemas.openxmlformats.org/spreadsheetml/2006/main" id="1" name="AnnotationsTable" displayName="AnnotationsTable" ref="A1:N51" headerRowCount="1">
  <x:tableColumns count="14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score"/>
    <x:tableColumn id="9" name="chatgpt_label"/>
    <x:tableColumn id="10" name="chatgpt_confidence"/>
    <x:tableColumn id="11" name="chatgpt_reason_tr"/>
    <x:tableColumn id="12" name="finbert_correctness"/>
    <x:tableColumn id="13" name="review_needed"/>
    <x:tableColumn id="14" name="row_note"/>
  </x:tableColumns>
  <x:tableStyleInfo name="TableStyleMedium2" showRowStripes="1"/>
</x:table>
</file>

<file path=xl/tables/table2.xml><?xml version="1.0" encoding="utf-8"?>
<x:table xmlns:x="http://schemas.openxmlformats.org/spreadsheetml/2006/main" id="2" name="LabelSummaryTable" displayName="LabelSummaryTable" ref="D1:F4" headerRowCount="1">
  <x:tableColumns count="3">
    <x:tableColumn id="1" name="Label"/>
    <x:tableColumn id="2" name="ChatGPT count"/>
    <x:tableColumn id="3" name="FinBERT count"/>
  </x:tableColumns>
  <x:tableStyleInfo name="TableStyleMedium2" showRowStripes="1"/>
</x:table>
</file>

<file path=xl/tables/table3.xml><?xml version="1.0" encoding="utf-8"?>
<x:table xmlns:x="http://schemas.openxmlformats.org/spreadsheetml/2006/main" id="3" name="LabelingNotesTable" displayName="LabelingNotesTable" ref="A1:B8" headerRowCount="1">
  <x:tableColumns count="2">
    <x:tableColumn id="1" name="field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e2c04418de4c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a5d9604bfc4a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a4f8a9cc574f3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5" hidden="0" customWidth="1"/>
    <x:col min="5" max="5" width="12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48" hidden="0" customWidth="1"/>
    <x:col min="12" max="12" width="18" hidden="0" customWidth="1"/>
    <x:col min="13" max="13" width="14" hidden="0" customWidth="1"/>
    <x:col min="14" max="14" width="20" hidden="0" customWidth="1"/>
  </x:cols>
  <x:sheetData>
    <x:row r="1">
      <x:c r="A1" s="6" t="str">
        <x:v>annotation_id</x:v>
      </x:c>
      <x:c r="B1" s="6" t="str">
        <x:v>date</x:v>
      </x:c>
      <x:c r="C1" s="6" t="str">
        <x:v>text_en</x:v>
      </x:c>
      <x:c r="D1" s="6" t="str">
        <x:v>text_tr</x:v>
      </x:c>
      <x:c r="E1" s="6" t="str">
        <x:v>finbert_score</x:v>
      </x:c>
      <x:c r="F1" s="6" t="str">
        <x:v>finbert_label</x:v>
      </x:c>
      <x:c r="G1" s="6" t="str">
        <x:v>finbert_confidence</x:v>
      </x:c>
      <x:c r="H1" s="6" t="str">
        <x:v>chatgpt_score</x:v>
      </x:c>
      <x:c r="I1" s="6" t="str">
        <x:v>chatgpt_label</x:v>
      </x:c>
      <x:c r="J1" s="6" t="str">
        <x:v>chatgpt_confidence</x:v>
      </x:c>
      <x:c r="K1" s="6" t="str">
        <x:v>chatgpt_reason_tr</x:v>
      </x:c>
      <x:c r="L1" s="6" t="str">
        <x:v>finbert_correctness</x:v>
      </x:c>
      <x:c r="M1" s="6" t="str">
        <x:v>review_needed</x:v>
      </x:c>
      <x:c r="N1" s="6" t="str">
        <x:v>row_note</x:v>
      </x:c>
    </x:row>
    <x:row r="2">
      <x:c r="A2" t="str">
        <x:v>REUTERS_ANN_01651</x:v>
      </x:c>
      <x:c r="B2" s="12" t="n">
        <x:v>39163</x:v>
      </x:c>
      <x:c r="C2" t="str">
        <x:v>barnes noble forecasts loss</x:v>
      </x:c>
      <x:c r="D2" t="str">
        <x:v>Barnes &amp; Noble zarar öngörüyor</x:v>
      </x:c>
      <x:c r="E2" t="n">
        <x:v>-1</x:v>
      </x:c>
      <x:c r="F2" t="str">
        <x:v>negative</x:v>
      </x:c>
      <x:c r="G2" s="14" t="n">
        <x:v>0.9737055897712708</x:v>
      </x:c>
      <x:c r="H2" t="n">
        <x:v>-1</x:v>
      </x:c>
      <x:c r="I2" t="str">
        <x:v>negative</x:v>
      </x:c>
      <x:c r="J2" s="16" t="n">
        <x:v>0.94</x:v>
      </x:c>
      <x:c r="K2" t="str">
        <x:v>Zarar beklentisi şirket performansı açısından açık olumsuz sinyal.</x:v>
      </x:c>
      <x:c r="L2" t="str">
        <x:f>IF(F2=I2,"same","different")</x:f>
        <x:v>same</x:v>
      </x:c>
      <x:c r="M2" t="str">
        <x:f>IF(OR(L2="different",J2&lt;0.75),"review","")</x:f>
      </x:c>
      <x:c r="N2" t="str"/>
    </x:row>
    <x:row r="3">
      <x:c r="A3" t="str">
        <x:v>REUTERS_ANN_01652</x:v>
      </x:c>
      <x:c r="B3" s="12" t="n">
        <x:v>39029</x:v>
      </x:c>
      <x:c r="C3" t="str">
        <x:v>airbus a380 woes push eads to q3 loss</x:v>
      </x:c>
      <x:c r="D3" t="str">
        <x:v>Airbus A380 sorunları EADS'i üçüncü çeyrekte zarara itti</x:v>
      </x:c>
      <x:c r="E3" t="n">
        <x:v>-1</x:v>
      </x:c>
      <x:c r="F3" t="str">
        <x:v>negative</x:v>
      </x:c>
      <x:c r="G3" s="14" t="n">
        <x:v>0.9724598526954652</x:v>
      </x:c>
      <x:c r="H3" t="n">
        <x:v>-1</x:v>
      </x:c>
      <x:c r="I3" t="str">
        <x:v>negative</x:v>
      </x:c>
      <x:c r="J3" s="16" t="n">
        <x:v>0.96</x:v>
      </x:c>
      <x:c r="K3" t="str">
        <x:v>Ürün/gecikme sorunları doğrudan dönem zararına yol açıyor.</x:v>
      </x:c>
      <x:c r="L3" t="str">
        <x:f>IF(F3=I3,"same","different")</x:f>
        <x:v>same</x:v>
      </x:c>
      <x:c r="M3" t="str">
        <x:f>IF(OR(L3="different",J3&lt;0.75),"review","")</x:f>
      </x:c>
      <x:c r="N3" t="str"/>
    </x:row>
    <x:row r="4">
      <x:c r="A4" t="str">
        <x:v>REUTERS_ANN_01653</x:v>
      </x:c>
      <x:c r="B4" s="12" t="n">
        <x:v>39136</x:v>
      </x:c>
      <x:c r="C4" t="str">
        <x:v>circuit city cfo leaving to join petco</x:v>
      </x:c>
      <x:c r="D4" t="str">
        <x:v>Circuit City finans direktörü Petco'ya geçmek üzere ayrılıyor</x:v>
      </x:c>
      <x:c r="E4" t="n">
        <x:v>-1</x:v>
      </x:c>
      <x:c r="F4" t="str">
        <x:v>negative</x:v>
      </x:c>
      <x:c r="G4" s="14" t="n">
        <x:v>0.9583492279052734</x:v>
      </x:c>
      <x:c r="H4" t="n">
        <x:v>-1</x:v>
      </x:c>
      <x:c r="I4" t="str">
        <x:v>negative</x:v>
      </x:c>
      <x:c r="J4" s="16" t="n">
        <x:v>0.7</x:v>
      </x:c>
      <x:c r="K4" t="str">
        <x:v>CFO ayrılığı yönetim istikrarı açısından zayıf negatif sinyal; finansal etki sınırlı.</x:v>
      </x:c>
      <x:c r="L4" t="str">
        <x:f>IF(F4=I4,"same","different")</x:f>
        <x:v>same</x:v>
      </x:c>
      <x:c r="M4" t="str">
        <x:f>IF(OR(L4="different",J4&lt;0.75),"review","")</x:f>
        <x:v>review</x:v>
      </x:c>
      <x:c r="N4" t="str"/>
    </x:row>
    <x:row r="5">
      <x:c r="A5" t="str">
        <x:v>REUTERS_ANN_01654</x:v>
      </x:c>
      <x:c r="B5" s="12" t="n">
        <x:v>39059</x:v>
      </x:c>
      <x:c r="C5" t="str">
        <x:v>volkswagen recalls just over 300,000 passats</x:v>
      </x:c>
      <x:c r="D5" t="str">
        <x:v>Volkswagen 300 binden biraz fazla Passat'ı geri çağırıyor</x:v>
      </x:c>
      <x:c r="E5" t="n">
        <x:v>-1</x:v>
      </x:c>
      <x:c r="F5" t="str">
        <x:v>negative</x:v>
      </x:c>
      <x:c r="G5" s="14" t="n">
        <x:v>0.9659206867218018</x:v>
      </x:c>
      <x:c r="H5" t="n">
        <x:v>-1</x:v>
      </x:c>
      <x:c r="I5" t="str">
        <x:v>negative</x:v>
      </x:c>
      <x:c r="J5" s="16" t="n">
        <x:v>0.94</x:v>
      </x:c>
      <x:c r="K5" t="str">
        <x:v>Geri çağırma maliyet ve itibar riski doğurur.</x:v>
      </x:c>
      <x:c r="L5" t="str">
        <x:f>IF(F5=I5,"same","different")</x:f>
        <x:v>same</x:v>
      </x:c>
      <x:c r="M5" t="str">
        <x:f>IF(OR(L5="different",J5&lt;0.75),"review","")</x:f>
      </x:c>
      <x:c r="N5" t="str"/>
    </x:row>
    <x:row r="6">
      <x:c r="A6" t="str">
        <x:v>REUTERS_ANN_01655</x:v>
      </x:c>
      <x:c r="B6" s="12" t="n">
        <x:v>39171</x:v>
      </x:c>
      <x:c r="C6" t="str">
        <x:v>friedman billings to cut jobs at subprime unit</x:v>
      </x:c>
      <x:c r="D6" t="str">
        <x:v>Friedman Billings subprime biriminde işten çıkarmaya gidecek</x:v>
      </x:c>
      <x:c r="E6" t="n">
        <x:v>-1</x:v>
      </x:c>
      <x:c r="F6" t="str">
        <x:v>negative</x:v>
      </x:c>
      <x:c r="G6" s="14" t="n">
        <x:v>0.971458911895752</x:v>
      </x:c>
      <x:c r="H6" t="n">
        <x:v>-1</x:v>
      </x:c>
      <x:c r="I6" t="str">
        <x:v>negative</x:v>
      </x:c>
      <x:c r="J6" s="16" t="n">
        <x:v>0.95</x:v>
      </x:c>
      <x:c r="K6" t="str">
        <x:v>Subprime biriminde küçülme ve işten çıkarma olumsuz operasyonel sinyal.</x:v>
      </x:c>
      <x:c r="L6" t="str">
        <x:f>IF(F6=I6,"same","different")</x:f>
        <x:v>same</x:v>
      </x:c>
      <x:c r="M6" t="str">
        <x:f>IF(OR(L6="different",J6&lt;0.75),"review","")</x:f>
      </x:c>
      <x:c r="N6" t="str"/>
    </x:row>
    <x:row r="7">
      <x:c r="A7" t="str">
        <x:v>REUTERS_ANN_01656</x:v>
      </x:c>
      <x:c r="B7" s="12" t="n">
        <x:v>39150</x:v>
      </x:c>
      <x:c r="C7" t="str">
        <x:v>vonage says wont go out of business despite verdict</x:v>
      </x:c>
      <x:c r="D7" t="str">
        <x:v>Vonage, karara rağmen iflas etmeyeceğini söylüyor</x:v>
      </x:c>
      <x:c r="E7" t="n">
        <x:v>-1</x:v>
      </x:c>
      <x:c r="F7" t="str">
        <x:v>negative</x:v>
      </x:c>
      <x:c r="G7" s="14" t="n">
        <x:v>0.6153370141983032</x:v>
      </x:c>
      <x:c r="H7" t="n">
        <x:v>-1</x:v>
      </x:c>
      <x:c r="I7" t="str">
        <x:v>negative</x:v>
      </x:c>
      <x:c r="J7" s="16" t="n">
        <x:v>0.74</x:v>
      </x:c>
      <x:c r="K7" t="str">
        <x:v>Şirketin ayakta kalma vurgusu, önceki mahkeme kararından kaynaklı baskıyı gösteriyor.</x:v>
      </x:c>
      <x:c r="L7" t="str">
        <x:f>IF(F7=I7,"same","different")</x:f>
        <x:v>same</x:v>
      </x:c>
      <x:c r="M7" t="str">
        <x:f>IF(OR(L7="different",J7&lt;0.75),"review","")</x:f>
        <x:v>review</x:v>
      </x:c>
      <x:c r="N7" t="str"/>
    </x:row>
    <x:row r="8">
      <x:c r="A8" t="str">
        <x:v>REUTERS_ANN_01657</x:v>
      </x:c>
      <x:c r="B8" s="12" t="n">
        <x:v>39027</x:v>
      </x:c>
      <x:c r="C8" t="str">
        <x:v>el paso posts profit, but warns on gas output</x:v>
      </x:c>
      <x:c r="D8" t="str">
        <x:v>El Paso kâr açıkladı ancak gaz üretimi konusunda uyardı</x:v>
      </x:c>
      <x:c r="E8" t="n">
        <x:v>-1</x:v>
      </x:c>
      <x:c r="F8" t="str">
        <x:v>negative</x:v>
      </x:c>
      <x:c r="G8" s="14" t="n">
        <x:v>0.9157220125198364</x:v>
      </x:c>
      <x:c r="H8" t="n">
        <x:v>-1</x:v>
      </x:c>
      <x:c r="I8" t="str">
        <x:v>negative</x:v>
      </x:c>
      <x:c r="J8" s="16" t="n">
        <x:v>0.72</x:v>
      </x:c>
      <x:c r="K8" t="str">
        <x:v>Kâr olumlu olsa da üretim uyarısı ileriye dönük beklentiyi zayıflatıyor.</x:v>
      </x:c>
      <x:c r="L8" t="str">
        <x:f>IF(F8=I8,"same","different")</x:f>
        <x:v>same</x:v>
      </x:c>
      <x:c r="M8" t="str">
        <x:f>IF(OR(L8="different",J8&lt;0.75),"review","")</x:f>
        <x:v>review</x:v>
      </x:c>
      <x:c r="N8" t="str"/>
    </x:row>
    <x:row r="9">
      <x:c r="A9" t="str">
        <x:v>REUTERS_ANN_01658</x:v>
      </x:c>
      <x:c r="B9" s="12" t="n">
        <x:v>39100</x:v>
      </x:c>
      <x:c r="C9" t="str">
        <x:v>jobless claims post surprising drop last week</x:v>
      </x:c>
      <x:c r="D9" t="str">
        <x:v>İşsizlik başvuruları geçen hafta beklenmedik biçimde düştü</x:v>
      </x:c>
      <x:c r="E9" t="n">
        <x:v>-1</x:v>
      </x:c>
      <x:c r="F9" t="str">
        <x:v>negative</x:v>
      </x:c>
      <x:c r="G9" s="14" t="n">
        <x:v>0.976435124874115</x:v>
      </x:c>
      <x:c r="H9" t="n">
        <x:v>1</x:v>
      </x:c>
      <x:c r="I9" t="str">
        <x:v>positive</x:v>
      </x:c>
      <x:c r="J9" s="16" t="n">
        <x:v>0.91</x:v>
      </x:c>
      <x:c r="K9" t="str">
        <x:v>İşgücü piyasasına ilişkin güçlü makro sinyal.</x:v>
      </x:c>
      <x:c r="L9" t="str">
        <x:f>IF(F9=I9,"same","different")</x:f>
        <x:v>different</x:v>
      </x:c>
      <x:c r="M9" t="str">
        <x:f>IF(OR(L9="different",J9&lt;0.75),"review","")</x:f>
        <x:v>review</x:v>
      </x:c>
      <x:c r="N9" t="str"/>
    </x:row>
    <x:row r="10">
      <x:c r="A10" t="str">
        <x:v>REUTERS_ANN_01659</x:v>
      </x:c>
      <x:c r="B10" s="12" t="n">
        <x:v>39161</x:v>
      </x:c>
      <x:c r="C10" t="str">
        <x:v>continental, american balk at pilot rest rules report</x:v>
      </x:c>
      <x:c r="D10" t="str">
        <x:v>Continental ve American pilot dinlenme kurallarına karşı çıkıyor</x:v>
      </x:c>
      <x:c r="E10" t="n">
        <x:v>-1</x:v>
      </x:c>
      <x:c r="F10" t="str">
        <x:v>negative</x:v>
      </x:c>
      <x:c r="G10" s="14" t="n">
        <x:v>0.8394586443901062</x:v>
      </x:c>
      <x:c r="H10" t="n">
        <x:v>-1</x:v>
      </x:c>
      <x:c r="I10" t="str">
        <x:v>negative</x:v>
      </x:c>
      <x:c r="J10" s="16" t="n">
        <x:v>0.68</x:v>
      </x:c>
      <x:c r="K10" t="str">
        <x:v>Regülasyon/operasyonel uyum gerilimi havayolları için risk yaratıyor.</x:v>
      </x:c>
      <x:c r="L10" t="str">
        <x:f>IF(F10=I10,"same","different")</x:f>
        <x:v>same</x:v>
      </x:c>
      <x:c r="M10" t="str">
        <x:f>IF(OR(L10="different",J10&lt;0.75),"review","")</x:f>
        <x:v>review</x:v>
      </x:c>
      <x:c r="N10" t="str"/>
    </x:row>
    <x:row r="11">
      <x:c r="A11" t="str">
        <x:v>REUTERS_ANN_01660</x:v>
      </x:c>
      <x:c r="B11" s="12" t="n">
        <x:v>39154</x:v>
      </x:c>
      <x:c r="C11" t="str">
        <x:v>citigroup raises offer for japans nikko by 26 pct</x:v>
      </x:c>
      <x:c r="D11" t="str">
        <x:v>Citigroup, Japonya'nın Nikko'su için teklifini yüzde 26 artırdı</x:v>
      </x:c>
      <x:c r="E11" t="n">
        <x:v>1</x:v>
      </x:c>
      <x:c r="F11" t="str">
        <x:v>positive</x:v>
      </x:c>
      <x:c r="G11" s="14" t="n">
        <x:v>0.9374290108680724</x:v>
      </x:c>
      <x:c r="H11" t="n">
        <x:v>1</x:v>
      </x:c>
      <x:c r="I11" t="str">
        <x:v>positive</x:v>
      </x:c>
      <x:c r="J11" s="16" t="n">
        <x:v>0.88</x:v>
      </x:c>
      <x:c r="K11" t="str">
        <x:v>Artan satın alma teklifi hedef şirket ve anlaşma olasılığı açısından olumlu.</x:v>
      </x:c>
      <x:c r="L11" t="str">
        <x:f>IF(F11=I11,"same","different")</x:f>
        <x:v>same</x:v>
      </x:c>
      <x:c r="M11" t="str">
        <x:f>IF(OR(L11="different",J11&lt;0.75),"review","")</x:f>
      </x:c>
      <x:c r="N11" t="str"/>
    </x:row>
    <x:row r="12">
      <x:c r="A12" t="str">
        <x:v>REUTERS_ANN_01661</x:v>
      </x:c>
      <x:c r="B12" s="12" t="n">
        <x:v>39150</x:v>
      </x:c>
      <x:c r="C12" t="str">
        <x:v>forbes list shows rich getting richer</x:v>
      </x:c>
      <x:c r="D12" t="str">
        <x:v>Forbes listesi zenginlerin daha da zenginleştiğini gösteriyor</x:v>
      </x:c>
      <x:c r="E12" t="n">
        <x:v>1</x:v>
      </x:c>
      <x:c r="F12" t="str">
        <x:v>positive</x:v>
      </x:c>
      <x:c r="G12" s="14" t="n">
        <x:v>0.3901042640209198</x:v>
      </x:c>
      <x:c r="H12" t="n">
        <x:v>0</x:v>
      </x:c>
      <x:c r="I12" t="str">
        <x:v>neutral</x:v>
      </x:c>
      <x:c r="J12" s="16" t="n">
        <x:v>0.72</x:v>
      </x:c>
      <x:c r="K12" t="str">
        <x:v>Genel servet haberi; belirli şirket performansına doğrudan sinyal vermiyor.</x:v>
      </x:c>
      <x:c r="L12" t="str">
        <x:f>IF(F12=I12,"same","different")</x:f>
        <x:v>different</x:v>
      </x:c>
      <x:c r="M12" t="str">
        <x:f>IF(OR(L12="different",J12&lt;0.75),"review","")</x:f>
        <x:v>review</x:v>
      </x:c>
      <x:c r="N12" t="str"/>
    </x:row>
    <x:row r="13">
      <x:c r="A13" t="str">
        <x:v>REUTERS_ANN_01662</x:v>
      </x:c>
      <x:c r="B13" s="12" t="n">
        <x:v>39199</x:v>
      </x:c>
      <x:c r="C13" t="str">
        <x:v>april consumer sentiment at 7-month low umich</x:v>
      </x:c>
      <x:c r="D13" t="str">
        <x:v>Nisan tüketici güveni Michigan anketinde 7 ayın en düşüğünde</x:v>
      </x:c>
      <x:c r="E13" t="n">
        <x:v>-1</x:v>
      </x:c>
      <x:c r="F13" t="str">
        <x:v>negative</x:v>
      </x:c>
      <x:c r="G13" s="14" t="n">
        <x:v>0.972679316997528</x:v>
      </x:c>
      <x:c r="H13" t="n">
        <x:v>-1</x:v>
      </x:c>
      <x:c r="I13" t="str">
        <x:v>negative</x:v>
      </x:c>
      <x:c r="J13" s="16" t="n">
        <x:v>0.95</x:v>
      </x:c>
      <x:c r="K13" t="str">
        <x:v>Tüketici güvenindeki düşüş makro talep açısından olumsuz.</x:v>
      </x:c>
      <x:c r="L13" t="str">
        <x:f>IF(F13=I13,"same","different")</x:f>
        <x:v>same</x:v>
      </x:c>
      <x:c r="M13" t="str">
        <x:f>IF(OR(L13="different",J13&lt;0.75),"review","")</x:f>
      </x:c>
      <x:c r="N13" t="str"/>
    </x:row>
    <x:row r="14">
      <x:c r="A14" t="str">
        <x:v>REUTERS_ANN_01663</x:v>
      </x:c>
      <x:c r="B14" s="12" t="n">
        <x:v>39094</x:v>
      </x:c>
      <x:c r="C14" t="str">
        <x:v>oil rises on opec jitters after 15 pct slide</x:v>
      </x:c>
      <x:c r="D14" t="str">
        <x:v>Petrol, yüzde 15'lik düşüşün ardından OPEC endişeleriyle yükseldi</x:v>
      </x:c>
      <x:c r="E14" t="n">
        <x:v>-1</x:v>
      </x:c>
      <x:c r="F14" t="str">
        <x:v>negative</x:v>
      </x:c>
      <x:c r="G14" s="14" t="n">
        <x:v>0.8555945754051208</x:v>
      </x:c>
      <x:c r="H14" t="n">
        <x:v>-1</x:v>
      </x:c>
      <x:c r="I14" t="str">
        <x:v>negative</x:v>
      </x:c>
      <x:c r="J14" s="16" t="n">
        <x:v>0.7</x:v>
      </x:c>
      <x:c r="K14" t="str">
        <x:v>OPEC kaynaklı arz/endişe vurgusu piyasa belirsizliği ve maliyet baskısı yaratıyor.</x:v>
      </x:c>
      <x:c r="L14" t="str">
        <x:f>IF(F14=I14,"same","different")</x:f>
        <x:v>same</x:v>
      </x:c>
      <x:c r="M14" t="str">
        <x:f>IF(OR(L14="different",J14&lt;0.75),"review","")</x:f>
        <x:v>review</x:v>
      </x:c>
      <x:c r="N14" t="str"/>
    </x:row>
    <x:row r="15">
      <x:c r="A15" t="str">
        <x:v>REUTERS_ANN_01664</x:v>
      </x:c>
      <x:c r="B15" s="12" t="n">
        <x:v>39051</x:v>
      </x:c>
      <x:c r="C15" t="str">
        <x:v>ford chief marketing officer to retire</x:v>
      </x:c>
      <x:c r="D15" t="str">
        <x:v>Ford'un pazarlama direktörü emekli olacak</x:v>
      </x:c>
      <x:c r="E15" t="n">
        <x:v>0</x:v>
      </x:c>
      <x:c r="F15" t="str">
        <x:v>neutral</x:v>
      </x:c>
      <x:c r="G15" s="14" t="n">
        <x:v>0.7572776675224304</x:v>
      </x:c>
      <x:c r="H15" t="n">
        <x:v>0</x:v>
      </x:c>
      <x:c r="I15" t="str">
        <x:v>neutral</x:v>
      </x:c>
      <x:c r="J15" s="16" t="n">
        <x:v>0.82</x:v>
      </x:c>
      <x:c r="K15" t="str">
        <x:v>Yönetici değişimi haberi; doğrudan olumlu/olumsuz finansal etki belirsiz.</x:v>
      </x:c>
      <x:c r="L15" t="str">
        <x:f>IF(F15=I15,"same","different")</x:f>
        <x:v>same</x:v>
      </x:c>
      <x:c r="M15" t="str">
        <x:f>IF(OR(L15="different",J15&lt;0.75),"review","")</x:f>
      </x:c>
      <x:c r="N15" t="str"/>
    </x:row>
    <x:row r="16">
      <x:c r="A16" t="str">
        <x:v>REUTERS_ANN_01665</x:v>
      </x:c>
      <x:c r="B16" s="12" t="n">
        <x:v>39031</x:v>
      </x:c>
      <x:c r="C16" t="str">
        <x:v>bank of america could buy in midwest analyst</x:v>
      </x:c>
      <x:c r="D16" t="str">
        <x:v>Analiste göre Bank of America Orta Batı'da alım yapabilir</x:v>
      </x:c>
      <x:c r="E16" t="n">
        <x:v>0</x:v>
      </x:c>
      <x:c r="F16" t="str">
        <x:v>neutral</x:v>
      </x:c>
      <x:c r="G16" s="14" t="n">
        <x:v>0.6669807434082031</x:v>
      </x:c>
      <x:c r="H16" t="n">
        <x:v>0</x:v>
      </x:c>
      <x:c r="I16" t="str">
        <x:v>neutral</x:v>
      </x:c>
      <x:c r="J16" s="16" t="n">
        <x:v>0.72</x:v>
      </x:c>
      <x:c r="K16" t="str">
        <x:v>Spekülatif olası satın alma haberi; kesin etki yok.</x:v>
      </x:c>
      <x:c r="L16" t="str">
        <x:f>IF(F16=I16,"same","different")</x:f>
        <x:v>same</x:v>
      </x:c>
      <x:c r="M16" t="str">
        <x:f>IF(OR(L16="different",J16&lt;0.75),"review","")</x:f>
        <x:v>review</x:v>
      </x:c>
      <x:c r="N16" t="str"/>
    </x:row>
    <x:row r="17">
      <x:c r="A17" t="str">
        <x:v>REUTERS_ANN_01666</x:v>
      </x:c>
      <x:c r="B17" s="12" t="n">
        <x:v>39032</x:v>
      </x:c>
      <x:c r="C17" t="str">
        <x:v>ntl set to bid mostly in cash for itv source</x:v>
      </x:c>
      <x:c r="D17" t="str">
        <x:v>Kaynağa göre NTL, ITV için çoğunlukla nakit teklif vermeye hazırlanıyor</x:v>
      </x:c>
      <x:c r="E17" t="n">
        <x:v>0</x:v>
      </x:c>
      <x:c r="F17" t="str">
        <x:v>neutral</x:v>
      </x:c>
      <x:c r="G17" s="14" t="n">
        <x:v>0.914026379585266</x:v>
      </x:c>
      <x:c r="H17" t="n">
        <x:v>1</x:v>
      </x:c>
      <x:c r="I17" t="str">
        <x:v>positive</x:v>
      </x:c>
      <x:c r="J17" s="16" t="n">
        <x:v>0.76</x:v>
      </x:c>
      <x:c r="K17" t="str">
        <x:v>Nakit ağırlıklı potansiyel satın alma teklifi anlaşma değeri açısından olumlu.</x:v>
      </x:c>
      <x:c r="L17" t="str">
        <x:f>IF(F17=I17,"same","different")</x:f>
        <x:v>different</x:v>
      </x:c>
      <x:c r="M17" t="str">
        <x:f>IF(OR(L17="different",J17&lt;0.75),"review","")</x:f>
        <x:v>review</x:v>
      </x:c>
      <x:c r="N17" t="str"/>
    </x:row>
    <x:row r="18">
      <x:c r="A18" t="str">
        <x:v>REUTERS_ANN_01667</x:v>
      </x:c>
      <x:c r="B18" s="12" t="n">
        <x:v>39153</x:v>
      </x:c>
      <x:c r="C18" t="str">
        <x:v>merrill lynch eyes bid for canwest ten stake source</x:v>
      </x:c>
      <x:c r="D18" t="str">
        <x:v>Kaynağa göre Merrill Lynch, CanWest Ten hissesi için teklif düşünüyor</x:v>
      </x:c>
      <x:c r="E18" t="n">
        <x:v>0</x:v>
      </x:c>
      <x:c r="F18" t="str">
        <x:v>neutral</x:v>
      </x:c>
      <x:c r="G18" s="14" t="n">
        <x:v>0.870987057685852</x:v>
      </x:c>
      <x:c r="H18" t="n">
        <x:v>0</x:v>
      </x:c>
      <x:c r="I18" t="str">
        <x:v>neutral</x:v>
      </x:c>
      <x:c r="J18" s="16" t="n">
        <x:v>0.69</x:v>
      </x:c>
      <x:c r="K18" t="str">
        <x:v>Henüz olası/erken aşama teklif; net finansal yön sınırlı.</x:v>
      </x:c>
      <x:c r="L18" t="str">
        <x:f>IF(F18=I18,"same","different")</x:f>
        <x:v>same</x:v>
      </x:c>
      <x:c r="M18" t="str">
        <x:f>IF(OR(L18="different",J18&lt;0.75),"review","")</x:f>
        <x:v>review</x:v>
      </x:c>
      <x:c r="N18" t="str"/>
    </x:row>
    <x:row r="19">
      <x:c r="A19" t="str">
        <x:v>REUTERS_ANN_01668</x:v>
      </x:c>
      <x:c r="B19" s="12" t="n">
        <x:v>39203</x:v>
      </x:c>
      <x:c r="C19" t="str">
        <x:v>drugmakers face $140 bln patent loss report</x:v>
      </x:c>
      <x:c r="D19" t="str">
        <x:v>Rapora göre ilaç şirketleri 140 milyar dolarlık patent kaybıyla karşı karşıya</x:v>
      </x:c>
      <x:c r="E19" t="n">
        <x:v>-1</x:v>
      </x:c>
      <x:c r="F19" t="str">
        <x:v>negative</x:v>
      </x:c>
      <x:c r="G19" s="14" t="n">
        <x:v>0.962158501148224</x:v>
      </x:c>
      <x:c r="H19" t="n">
        <x:v>-1</x:v>
      </x:c>
      <x:c r="I19" t="str">
        <x:v>negative</x:v>
      </x:c>
      <x:c r="J19" s="16" t="n">
        <x:v>0.95</x:v>
      </x:c>
      <x:c r="K19" t="str">
        <x:v>Büyük patent kaybı gelir ve kârlılık riski doğurur.</x:v>
      </x:c>
      <x:c r="L19" t="str">
        <x:f>IF(F19=I19,"same","different")</x:f>
        <x:v>same</x:v>
      </x:c>
      <x:c r="M19" t="str">
        <x:f>IF(OR(L19="different",J19&lt;0.75),"review","")</x:f>
      </x:c>
      <x:c r="N19" t="str"/>
    </x:row>
    <x:row r="20">
      <x:c r="A20" t="str">
        <x:v>REUTERS_ANN_01669</x:v>
      </x:c>
      <x:c r="B20" s="12" t="n">
        <x:v>39160</x:v>
      </x:c>
      <x:c r="C20" t="str">
        <x:v>airbus a380 superjumbo jet lands in u.s.</x:v>
      </x:c>
      <x:c r="D20" t="str">
        <x:v>Airbus A380 süper jumbo jeti ABD'ye indi</x:v>
      </x:c>
      <x:c r="E20" t="n">
        <x:v>1</x:v>
      </x:c>
      <x:c r="F20" t="str">
        <x:v>positive</x:v>
      </x:c>
      <x:c r="G20" s="14" t="n">
        <x:v>0.7701269388198853</x:v>
      </x:c>
      <x:c r="H20" t="n">
        <x:v>1</x:v>
      </x:c>
      <x:c r="I20" t="str">
        <x:v>positive</x:v>
      </x:c>
      <x:c r="J20" s="16" t="n">
        <x:v>0.7</x:v>
      </x:c>
      <x:c r="K20" t="str">
        <x:v>A380 programı için görünürlük ve operasyonel ilerleme olumlu sinyal.</x:v>
      </x:c>
      <x:c r="L20" t="str">
        <x:f>IF(F20=I20,"same","different")</x:f>
        <x:v>same</x:v>
      </x:c>
      <x:c r="M20" t="str">
        <x:f>IF(OR(L20="different",J20&lt;0.75),"review","")</x:f>
        <x:v>review</x:v>
      </x:c>
      <x:c r="N20" t="str"/>
    </x:row>
    <x:row r="21">
      <x:c r="A21" t="str">
        <x:v>REUTERS_ANN_01670</x:v>
      </x:c>
      <x:c r="B21" s="12" t="n">
        <x:v>39202</x:v>
      </x:c>
      <x:c r="C21" t="str">
        <x:v>kellogg earnings up on strong sales</x:v>
      </x:c>
      <x:c r="D21" t="str">
        <x:v>Kellogg güçlü satışlarla kârını artırdı</x:v>
      </x:c>
      <x:c r="E21" t="n">
        <x:v>1</x:v>
      </x:c>
      <x:c r="F21" t="str">
        <x:v>positive</x:v>
      </x:c>
      <x:c r="G21" s="14" t="n">
        <x:v>0.9471377730369568</x:v>
      </x:c>
      <x:c r="H21" t="n">
        <x:v>1</x:v>
      </x:c>
      <x:c r="I21" t="str">
        <x:v>positive</x:v>
      </x:c>
      <x:c r="J21" s="16" t="n">
        <x:v>0.94</x:v>
      </x:c>
      <x:c r="K21" t="str">
        <x:v>Kâr artışı ve güçlü satışlar doğrudan olumlu performans göstergesi.</x:v>
      </x:c>
      <x:c r="L21" t="str">
        <x:f>IF(F21=I21,"same","different")</x:f>
        <x:v>same</x:v>
      </x:c>
      <x:c r="M21" t="str">
        <x:f>IF(OR(L21="different",J21&lt;0.75),"review","")</x:f>
      </x:c>
      <x:c r="N21" t="str"/>
    </x:row>
    <x:row r="22">
      <x:c r="A22" t="str">
        <x:v>REUTERS_ANN_01671</x:v>
      </x:c>
      <x:c r="B22" s="12" t="n">
        <x:v>39205</x:v>
      </x:c>
      <x:c r="C22" t="str">
        <x:v>martha stewart loss widens on charge</x:v>
      </x:c>
      <x:c r="D22" t="str">
        <x:v>Martha Stewart'ın zararı gider nedeniyle genişledi</x:v>
      </x:c>
      <x:c r="E22" t="n">
        <x:v>-1</x:v>
      </x:c>
      <x:c r="F22" t="str">
        <x:v>negative</x:v>
      </x:c>
      <x:c r="G22" s="14" t="n">
        <x:v>0.9547277092933656</x:v>
      </x:c>
      <x:c r="H22" t="n">
        <x:v>-1</x:v>
      </x:c>
      <x:c r="I22" t="str">
        <x:v>negative</x:v>
      </x:c>
      <x:c r="J22" s="16" t="n">
        <x:v>0.94</x:v>
      </x:c>
      <x:c r="K22" t="str">
        <x:v>Zararın büyümesi şirket performansı açısından olumsuz.</x:v>
      </x:c>
      <x:c r="L22" t="str">
        <x:f>IF(F22=I22,"same","different")</x:f>
        <x:v>same</x:v>
      </x:c>
      <x:c r="M22" t="str">
        <x:f>IF(OR(L22="different",J22&lt;0.75),"review","")</x:f>
      </x:c>
      <x:c r="N22" t="str"/>
    </x:row>
    <x:row r="23">
      <x:c r="A23" t="str">
        <x:v>REUTERS_ANN_01672</x:v>
      </x:c>
      <x:c r="B23" s="12" t="n">
        <x:v>39209</x:v>
      </x:c>
      <x:c r="C23" t="str">
        <x:v>goldman to buy s.korea asset manager from macquarie</x:v>
      </x:c>
      <x:c r="D23" t="str">
        <x:v>Goldman, Macquarie'den Güney Koreli varlık yöneticisini satın alacak</x:v>
      </x:c>
      <x:c r="E23" t="n">
        <x:v>1</x:v>
      </x:c>
      <x:c r="F23" t="str">
        <x:v>positive</x:v>
      </x:c>
      <x:c r="G23" s="14" t="n">
        <x:v>0.9273728728294371</x:v>
      </x:c>
      <x:c r="H23" t="n">
        <x:v>1</x:v>
      </x:c>
      <x:c r="I23" t="str">
        <x:v>positive</x:v>
      </x:c>
      <x:c r="J23" s="16" t="n">
        <x:v>0.76</x:v>
      </x:c>
      <x:c r="K23" t="str">
        <x:v>Satın alma büyüme/stratejik genişleme sinyali veriyor.</x:v>
      </x:c>
      <x:c r="L23" t="str">
        <x:f>IF(F23=I23,"same","different")</x:f>
        <x:v>same</x:v>
      </x:c>
      <x:c r="M23" t="str">
        <x:f>IF(OR(L23="different",J23&lt;0.75),"review","")</x:f>
      </x:c>
      <x:c r="N23" t="str"/>
    </x:row>
    <x:row r="24">
      <x:c r="A24" t="str">
        <x:v>REUTERS_ANN_01673</x:v>
      </x:c>
      <x:c r="B24" s="12" t="n">
        <x:v>39135</x:v>
      </x:c>
      <x:c r="C24" t="str">
        <x:v>coke ceo sees strong growth despite n. america lag</x:v>
      </x:c>
      <x:c r="D24" t="str">
        <x:v>Coca-Cola CEO'su Kuzey Amerika'daki zayıflığa rağmen güçlü büyüme bekliyor</x:v>
      </x:c>
      <x:c r="E24" t="n">
        <x:v>1</x:v>
      </x:c>
      <x:c r="F24" t="str">
        <x:v>positive</x:v>
      </x:c>
      <x:c r="G24" s="14" t="n">
        <x:v>0.9372082352638244</x:v>
      </x:c>
      <x:c r="H24" t="n">
        <x:v>1</x:v>
      </x:c>
      <x:c r="I24" t="str">
        <x:v>positive</x:v>
      </x:c>
      <x:c r="J24" s="16" t="n">
        <x:v>0.83</x:v>
      </x:c>
      <x:c r="K24" t="str">
        <x:v>Bölgesel zayıflık olsa da güçlü büyüme beklentisi baskın olumlu.</x:v>
      </x:c>
      <x:c r="L24" t="str">
        <x:f>IF(F24=I24,"same","different")</x:f>
        <x:v>same</x:v>
      </x:c>
      <x:c r="M24" t="str">
        <x:f>IF(OR(L24="different",J24&lt;0.75),"review","")</x:f>
      </x:c>
      <x:c r="N24" t="str"/>
    </x:row>
    <x:row r="25">
      <x:c r="A25" t="str">
        <x:v>REUTERS_ANN_01674</x:v>
      </x:c>
      <x:c r="B25" s="12" t="n">
        <x:v>39182</x:v>
      </x:c>
      <x:c r="C25" t="str">
        <x:v>yahoo to provide search on viacom web sites</x:v>
      </x:c>
      <x:c r="D25" t="str">
        <x:v>Yahoo, Viacom web sitelerinde arama hizmeti sağlayacak</x:v>
      </x:c>
      <x:c r="E25" t="n">
        <x:v>1</x:v>
      </x:c>
      <x:c r="F25" t="str">
        <x:v>positive</x:v>
      </x:c>
      <x:c r="G25" s="14" t="n">
        <x:v>0.8885258436203003</x:v>
      </x:c>
      <x:c r="H25" t="n">
        <x:v>1</x:v>
      </x:c>
      <x:c r="I25" t="str">
        <x:v>positive</x:v>
      </x:c>
      <x:c r="J25" s="16" t="n">
        <x:v>0.82</x:v>
      </x:c>
      <x:c r="K25" t="str">
        <x:v>Yeni ticari ortaklık ve dağıtım kanalı olumlu.</x:v>
      </x:c>
      <x:c r="L25" t="str">
        <x:f>IF(F25=I25,"same","different")</x:f>
        <x:v>same</x:v>
      </x:c>
      <x:c r="M25" t="str">
        <x:f>IF(OR(L25="different",J25&lt;0.75),"review","")</x:f>
      </x:c>
      <x:c r="N25" t="str"/>
    </x:row>
    <x:row r="26">
      <x:c r="A26" t="str">
        <x:v>REUTERS_ANN_01675</x:v>
      </x:c>
      <x:c r="B26" s="12" t="n">
        <x:v>39156</x:v>
      </x:c>
      <x:c r="C26" t="str">
        <x:v>cisco to buy web conference co. webex for $2.9 bln</x:v>
      </x:c>
      <x:c r="D26" t="str">
        <x:v>Cisco, web konferans şirketi WebEx'i 2,9 milyar dolara satın alacak</x:v>
      </x:c>
      <x:c r="E26" t="n">
        <x:v>0</x:v>
      </x:c>
      <x:c r="F26" t="str">
        <x:v>neutral</x:v>
      </x:c>
      <x:c r="G26" s="14" t="n">
        <x:v>0.5532026290893555</x:v>
      </x:c>
      <x:c r="H26" t="n">
        <x:v>1</x:v>
      </x:c>
      <x:c r="I26" t="str">
        <x:v>positive</x:v>
      </x:c>
      <x:c r="J26" s="16" t="n">
        <x:v>0.79</x:v>
      </x:c>
      <x:c r="K26" t="str">
        <x:v>Stratejik satın alma büyüme ve ürün genişlemesi açısından olumlu.</x:v>
      </x:c>
      <x:c r="L26" t="str">
        <x:f>IF(F26=I26,"same","different")</x:f>
        <x:v>different</x:v>
      </x:c>
      <x:c r="M26" t="str">
        <x:f>IF(OR(L26="different",J26&lt;0.75),"review","")</x:f>
        <x:v>review</x:v>
      </x:c>
      <x:c r="N26" t="str"/>
    </x:row>
    <x:row r="27">
      <x:c r="A27" t="str">
        <x:v>REUTERS_ANN_01676</x:v>
      </x:c>
      <x:c r="B27" s="12" t="n">
        <x:v>39111</x:v>
      </x:c>
      <x:c r="C27" t="str">
        <x:v>verizon earnings fall but wireless beats forecasts</x:v>
      </x:c>
      <x:c r="D27" t="str">
        <x:v>Verizon kârı düştü ancak kablosuz birimi beklentileri aştı</x:v>
      </x:c>
      <x:c r="E27" t="n">
        <x:v>-1</x:v>
      </x:c>
      <x:c r="F27" t="str">
        <x:v>negative</x:v>
      </x:c>
      <x:c r="G27" s="14" t="n">
        <x:v>0.9734593629837036</x:v>
      </x:c>
      <x:c r="H27" t="n">
        <x:v>-1</x:v>
      </x:c>
      <x:c r="I27" t="str">
        <x:v>negative</x:v>
      </x:c>
      <x:c r="J27" s="16" t="n">
        <x:v>0.72</x:v>
      </x:c>
      <x:c r="K27" t="str">
        <x:v>Kablosuz taraf olumlu olsa da ana başlıkta kâr düşüşü baskın.</x:v>
      </x:c>
      <x:c r="L27" t="str">
        <x:f>IF(F27=I27,"same","different")</x:f>
        <x:v>same</x:v>
      </x:c>
      <x:c r="M27" t="str">
        <x:f>IF(OR(L27="different",J27&lt;0.75),"review","")</x:f>
        <x:v>review</x:v>
      </x:c>
      <x:c r="N27" t="str"/>
    </x:row>
    <x:row r="28">
      <x:c r="A28" t="str">
        <x:v>REUTERS_ANN_01677</x:v>
      </x:c>
      <x:c r="B28" s="12" t="n">
        <x:v>39066</x:v>
      </x:c>
      <x:c r="C28" t="str">
        <x:v>merck wins vioxx trial in alabama state court</x:v>
      </x:c>
      <x:c r="D28" t="str">
        <x:v>Merck, Alabama eyalet mahkemesinde Vioxx davasını kazandı</x:v>
      </x:c>
      <x:c r="E28" t="n">
        <x:v>-1</x:v>
      </x:c>
      <x:c r="F28" t="str">
        <x:v>negative</x:v>
      </x:c>
      <x:c r="G28" s="14" t="n">
        <x:v>0.6672140955924988</x:v>
      </x:c>
      <x:c r="H28" t="n">
        <x:v>1</x:v>
      </x:c>
      <x:c r="I28" t="str">
        <x:v>positive</x:v>
      </x:c>
      <x:c r="J28" s="16" t="n">
        <x:v>0.86</x:v>
      </x:c>
      <x:c r="K28" t="str">
        <x:v>Hukuki davayı kazanmak riskin azalması açısından olumlu.</x:v>
      </x:c>
      <x:c r="L28" t="str">
        <x:f>IF(F28=I28,"same","different")</x:f>
        <x:v>different</x:v>
      </x:c>
      <x:c r="M28" t="str">
        <x:f>IF(OR(L28="different",J28&lt;0.75),"review","")</x:f>
        <x:v>review</x:v>
      </x:c>
      <x:c r="N28" t="str"/>
    </x:row>
    <x:row r="29">
      <x:c r="A29" t="str">
        <x:v>REUTERS_ANN_01678</x:v>
      </x:c>
      <x:c r="B29" s="12" t="n">
        <x:v>39197</x:v>
      </x:c>
      <x:c r="C29" t="str">
        <x:v>mexican companies agree to cap tortilla prices</x:v>
      </x:c>
      <x:c r="D29" t="str">
        <x:v>Meksikalı şirketler tortilla fiyatlarını sınırlamayı kabul etti</x:v>
      </x:c>
      <x:c r="E29" t="n">
        <x:v>0</x:v>
      </x:c>
      <x:c r="F29" t="str">
        <x:v>neutral</x:v>
      </x:c>
      <x:c r="G29" s="14" t="n">
        <x:v>0.589480459690094</x:v>
      </x:c>
      <x:c r="H29" t="n">
        <x:v>0</x:v>
      </x:c>
      <x:c r="I29" t="str">
        <x:v>neutral</x:v>
      </x:c>
      <x:c r="J29" s="16" t="n">
        <x:v>0.74</x:v>
      </x:c>
      <x:c r="K29" t="str">
        <x:v>Fiyat sınırlaması regülasyon/uzlaşı haberi; finansal yön belirsiz.</x:v>
      </x:c>
      <x:c r="L29" t="str">
        <x:f>IF(F29=I29,"same","different")</x:f>
        <x:v>same</x:v>
      </x:c>
      <x:c r="M29" t="str">
        <x:f>IF(OR(L29="different",J29&lt;0.75),"review","")</x:f>
        <x:v>review</x:v>
      </x:c>
      <x:c r="N29" t="str"/>
    </x:row>
    <x:row r="30">
      <x:c r="A30" t="str">
        <x:v>REUTERS_ANN_01679</x:v>
      </x:c>
      <x:c r="B30" s="12" t="n">
        <x:v>39210</x:v>
      </x:c>
      <x:c r="C30" t="str">
        <x:v>jana asks alcoa to call off alcan bid, ponder sale</x:v>
      </x:c>
      <x:c r="D30" t="str">
        <x:v>Jana, Alcoa'dan Alcan teklifini iptal etmesini ve satışı düşünmesini istiyor</x:v>
      </x:c>
      <x:c r="E30" t="n">
        <x:v>0</x:v>
      </x:c>
      <x:c r="F30" t="str">
        <x:v>neutral</x:v>
      </x:c>
      <x:c r="G30" s="14" t="n">
        <x:v>0.831948459148407</x:v>
      </x:c>
      <x:c r="H30" t="n">
        <x:v>0</x:v>
      </x:c>
      <x:c r="I30" t="str">
        <x:v>neutral</x:v>
      </x:c>
      <x:c r="J30" s="16" t="n">
        <x:v>0.7</x:v>
      </x:c>
      <x:c r="K30" t="str">
        <x:v>Aktivist baskı ve stratejik belirsizlik içeriyor; yön net değil.</x:v>
      </x:c>
      <x:c r="L30" t="str">
        <x:f>IF(F30=I30,"same","different")</x:f>
        <x:v>same</x:v>
      </x:c>
      <x:c r="M30" t="str">
        <x:f>IF(OR(L30="different",J30&lt;0.75),"review","")</x:f>
        <x:v>review</x:v>
      </x:c>
      <x:c r="N30" t="str"/>
    </x:row>
    <x:row r="31">
      <x:c r="A31" t="str">
        <x:v>REUTERS_ANN_01680</x:v>
      </x:c>
      <x:c r="B31" s="12" t="n">
        <x:v>39175</x:v>
      </x:c>
      <x:c r="C31" t="str">
        <x:v>google enters tv ad sales market with echostar</x:v>
      </x:c>
      <x:c r="D31" t="str">
        <x:v>Google, EchoStar ile televizyon reklam satış pazarına giriyor</x:v>
      </x:c>
      <x:c r="E31" t="n">
        <x:v>1</x:v>
      </x:c>
      <x:c r="F31" t="str">
        <x:v>positive</x:v>
      </x:c>
      <x:c r="G31" s="14" t="n">
        <x:v>0.5728422999382019</x:v>
      </x:c>
      <x:c r="H31" t="n">
        <x:v>1</x:v>
      </x:c>
      <x:c r="I31" t="str">
        <x:v>positive</x:v>
      </x:c>
      <x:c r="J31" s="16" t="n">
        <x:v>0.84</x:v>
      </x:c>
      <x:c r="K31" t="str">
        <x:v>Yeni reklam pazarı açılımı büyüme potansiyeli taşır.</x:v>
      </x:c>
      <x:c r="L31" t="str">
        <x:f>IF(F31=I31,"same","different")</x:f>
        <x:v>same</x:v>
      </x:c>
      <x:c r="M31" t="str">
        <x:f>IF(OR(L31="different",J31&lt;0.75),"review","")</x:f>
      </x:c>
      <x:c r="N31" t="str"/>
    </x:row>
    <x:row r="32">
      <x:c r="A32" t="str">
        <x:v>REUTERS_ANN_01681</x:v>
      </x:c>
      <x:c r="B32" s="12" t="n">
        <x:v>39080</x:v>
      </x:c>
      <x:c r="C32" t="str">
        <x:v>goodyear workers ratify three-year contract</x:v>
      </x:c>
      <x:c r="D32" t="str">
        <x:v>Goodyear işçileri üç yıllık sözleşmeyi onayladı</x:v>
      </x:c>
      <x:c r="E32" t="n">
        <x:v>1</x:v>
      </x:c>
      <x:c r="F32" t="str">
        <x:v>positive</x:v>
      </x:c>
      <x:c r="G32" s="14" t="n">
        <x:v>0.7408862113952637</x:v>
      </x:c>
      <x:c r="H32" t="n">
        <x:v>1</x:v>
      </x:c>
      <x:c r="I32" t="str">
        <x:v>positive</x:v>
      </x:c>
      <x:c r="J32" s="16" t="n">
        <x:v>0.82</x:v>
      </x:c>
      <x:c r="K32" t="str">
        <x:v>İşçi sözleşmesinin onaylanması iş sürekliliği açısından olumlu.</x:v>
      </x:c>
      <x:c r="L32" t="str">
        <x:f>IF(F32=I32,"same","different")</x:f>
        <x:v>same</x:v>
      </x:c>
      <x:c r="M32" t="str">
        <x:f>IF(OR(L32="different",J32&lt;0.75),"review","")</x:f>
      </x:c>
      <x:c r="N32" t="str"/>
    </x:row>
    <x:row r="33">
      <x:c r="A33" t="str">
        <x:v>REUTERS_ANN_01682</x:v>
      </x:c>
      <x:c r="B33" s="12" t="n">
        <x:v>39191</x:v>
      </x:c>
      <x:c r="C33" t="str">
        <x:v>logitech shares fall after 2007/8 sales miss target</x:v>
      </x:c>
      <x:c r="D33" t="str">
        <x:v>Logitech hisseleri 2007/08 satış hedefinin tutmaması sonrası düştü</x:v>
      </x:c>
      <x:c r="E33" t="n">
        <x:v>-1</x:v>
      </x:c>
      <x:c r="F33" t="str">
        <x:v>negative</x:v>
      </x:c>
      <x:c r="G33" s="14" t="n">
        <x:v>0.9753363132476808</x:v>
      </x:c>
      <x:c r="H33" t="n">
        <x:v>-1</x:v>
      </x:c>
      <x:c r="I33" t="str">
        <x:v>negative</x:v>
      </x:c>
      <x:c r="J33" s="16" t="n">
        <x:v>0.95</x:v>
      </x:c>
      <x:c r="K33" t="str">
        <x:v>Satış hedefinin kaçırılması ve hisse düşüşü açık olumsuz.</x:v>
      </x:c>
      <x:c r="L33" t="str">
        <x:f>IF(F33=I33,"same","different")</x:f>
        <x:v>same</x:v>
      </x:c>
      <x:c r="M33" t="str">
        <x:f>IF(OR(L33="different",J33&lt;0.75),"review","")</x:f>
      </x:c>
      <x:c r="N33" t="str"/>
    </x:row>
    <x:row r="34">
      <x:c r="A34" t="str">
        <x:v>REUTERS_ANN_01683</x:v>
      </x:c>
      <x:c r="B34" s="12" t="n">
        <x:v>39017</x:v>
      </x:c>
      <x:c r="C34" t="str">
        <x:v>microsoft profit rises 11 pct</x:v>
      </x:c>
      <x:c r="D34" t="str">
        <x:v>Microsoft kârı yüzde 11 arttı</x:v>
      </x:c>
      <x:c r="E34" t="n">
        <x:v>1</x:v>
      </x:c>
      <x:c r="F34" t="str">
        <x:v>positive</x:v>
      </x:c>
      <x:c r="G34" s="14" t="n">
        <x:v>0.506020724773407</x:v>
      </x:c>
      <x:c r="H34" t="n">
        <x:v>1</x:v>
      </x:c>
      <x:c r="I34" t="str">
        <x:v>positive</x:v>
      </x:c>
      <x:c r="J34" s="16" t="n">
        <x:v>0.9</x:v>
      </x:c>
      <x:c r="K34" t="str">
        <x:v>Kâr artışı doğrudan olumlu performans göstergesi.</x:v>
      </x:c>
      <x:c r="L34" t="str">
        <x:f>IF(F34=I34,"same","different")</x:f>
        <x:v>same</x:v>
      </x:c>
      <x:c r="M34" t="str">
        <x:f>IF(OR(L34="different",J34&lt;0.75),"review","")</x:f>
      </x:c>
      <x:c r="N34" t="str"/>
    </x:row>
    <x:row r="35">
      <x:c r="A35" t="str">
        <x:v>REUTERS_ANN_01684</x:v>
      </x:c>
      <x:c r="B35" s="12" t="n">
        <x:v>39020</x:v>
      </x:c>
      <x:c r="C35" t="str">
        <x:v>update 6-schneider to buy apc for $6.1 billion</x:v>
      </x:c>
      <x:c r="D35" t="str">
        <x:v>Schneider, APC'yi 6,1 milyar dolara satın alacak</x:v>
      </x:c>
      <x:c r="E35" t="n">
        <x:v>0</x:v>
      </x:c>
      <x:c r="F35" t="str">
        <x:v>neutral</x:v>
      </x:c>
      <x:c r="G35" s="14" t="n">
        <x:v>0.658875584602356</x:v>
      </x:c>
      <x:c r="H35" t="n">
        <x:v>1</x:v>
      </x:c>
      <x:c r="I35" t="str">
        <x:v>positive</x:v>
      </x:c>
      <x:c r="J35" s="16" t="n">
        <x:v>0.77</x:v>
      </x:c>
      <x:c r="K35" t="str">
        <x:v>Büyük stratejik satın alma büyüme sinyali verir.</x:v>
      </x:c>
      <x:c r="L35" t="str">
        <x:f>IF(F35=I35,"same","different")</x:f>
        <x:v>different</x:v>
      </x:c>
      <x:c r="M35" t="str">
        <x:f>IF(OR(L35="different",J35&lt;0.75),"review","")</x:f>
        <x:v>review</x:v>
      </x:c>
      <x:c r="N35" t="str"/>
    </x:row>
    <x:row r="36">
      <x:c r="A36" t="str">
        <x:v>REUTERS_ANN_01685</x:v>
      </x:c>
      <x:c r="B36" s="12" t="n">
        <x:v>39014</x:v>
      </x:c>
      <x:c r="C36" t="str">
        <x:v>dupont flips to profit on strong pricing</x:v>
      </x:c>
      <x:c r="D36" t="str">
        <x:v>DuPont güçlü fiyatlamayla yeniden kâra geçti</x:v>
      </x:c>
      <x:c r="E36" t="n">
        <x:v>1</x:v>
      </x:c>
      <x:c r="F36" t="str">
        <x:v>positive</x:v>
      </x:c>
      <x:c r="G36" s="14" t="n">
        <x:v>0.9500208497047424</x:v>
      </x:c>
      <x:c r="H36" t="n">
        <x:v>1</x:v>
      </x:c>
      <x:c r="I36" t="str">
        <x:v>positive</x:v>
      </x:c>
      <x:c r="J36" s="16" t="n">
        <x:v>0.94</x:v>
      </x:c>
      <x:c r="K36" t="str">
        <x:v>Zarardan kâra dönüş ve güçlü fiyatlama çok olumlu.</x:v>
      </x:c>
      <x:c r="L36" t="str">
        <x:f>IF(F36=I36,"same","different")</x:f>
        <x:v>same</x:v>
      </x:c>
      <x:c r="M36" t="str">
        <x:f>IF(OR(L36="different",J36&lt;0.75),"review","")</x:f>
      </x:c>
      <x:c r="N36" t="str"/>
    </x:row>
    <x:row r="37">
      <x:c r="A37" t="str">
        <x:v>REUTERS_ANN_01686</x:v>
      </x:c>
      <x:c r="B37" s="12" t="n">
        <x:v>39203</x:v>
      </x:c>
      <x:c r="C37" t="str">
        <x:v>u.s. april auto sales stall</x:v>
      </x:c>
      <x:c r="D37" t="str">
        <x:v>ABD'de Nisan otomobil satışları duraksadı</x:v>
      </x:c>
      <x:c r="E37" t="n">
        <x:v>-1</x:v>
      </x:c>
      <x:c r="F37" t="str">
        <x:v>negative</x:v>
      </x:c>
      <x:c r="G37" s="14" t="n">
        <x:v>0.9745502471923828</x:v>
      </x:c>
      <x:c r="H37" t="n">
        <x:v>-1</x:v>
      </x:c>
      <x:c r="I37" t="str">
        <x:v>negative</x:v>
      </x:c>
      <x:c r="J37" s="16" t="n">
        <x:v>0.92</x:v>
      </x:c>
      <x:c r="K37" t="str">
        <x:v>Otomobil satışlarında durgunluk sektör talebi için olumsuz.</x:v>
      </x:c>
      <x:c r="L37" t="str">
        <x:f>IF(F37=I37,"same","different")</x:f>
        <x:v>same</x:v>
      </x:c>
      <x:c r="M37" t="str">
        <x:f>IF(OR(L37="different",J37&lt;0.75),"review","")</x:f>
      </x:c>
      <x:c r="N37" t="str"/>
    </x:row>
    <x:row r="38">
      <x:c r="A38" t="str">
        <x:v>REUTERS_ANN_01687</x:v>
      </x:c>
      <x:c r="B38" s="12" t="n">
        <x:v>39100</x:v>
      </x:c>
      <x:c r="C38" t="str">
        <x:v>ibm profit rises 11 percent but shares drop</x:v>
      </x:c>
      <x:c r="D38" t="str">
        <x:v>IBM kârı yüzde 11 arttı ancak hisseleri düştü</x:v>
      </x:c>
      <x:c r="E38" t="n">
        <x:v>-1</x:v>
      </x:c>
      <x:c r="F38" t="str">
        <x:v>negative</x:v>
      </x:c>
      <x:c r="G38" s="14" t="n">
        <x:v>0.8481743335723877</x:v>
      </x:c>
      <x:c r="H38" t="n">
        <x:v>-1</x:v>
      </x:c>
      <x:c r="I38" t="str">
        <x:v>negative</x:v>
      </x:c>
      <x:c r="J38" s="16" t="n">
        <x:v>0.74</x:v>
      </x:c>
      <x:c r="K38" t="str">
        <x:v>Kâr artışı olumlu olsa da piyasa tepkisi ve hayal kırıklığı baskın.</x:v>
      </x:c>
      <x:c r="L38" t="str">
        <x:f>IF(F38=I38,"same","different")</x:f>
        <x:v>same</x:v>
      </x:c>
      <x:c r="M38" t="str">
        <x:f>IF(OR(L38="different",J38&lt;0.75),"review","")</x:f>
        <x:v>review</x:v>
      </x:c>
      <x:c r="N38" t="str"/>
    </x:row>
    <x:row r="39">
      <x:c r="A39" t="str">
        <x:v>REUTERS_ANN_01688</x:v>
      </x:c>
      <x:c r="B39" s="12" t="n">
        <x:v>39048</x:v>
      </x:c>
      <x:c r="C39" t="str">
        <x:v>wal-mart faces must-win december after weak november</x:v>
      </x:c>
      <x:c r="D39" t="str">
        <x:v>Wal-Mart zayıf Kasım sonrası Aralık'ta mutlaka kazanması gereken bir ayla karşı karşıya</x:v>
      </x:c>
      <x:c r="E39" t="n">
        <x:v>-1</x:v>
      </x:c>
      <x:c r="F39" t="str">
        <x:v>negative</x:v>
      </x:c>
      <x:c r="G39" s="14" t="n">
        <x:v>0.9729605317115784</x:v>
      </x:c>
      <x:c r="H39" t="n">
        <x:v>-1</x:v>
      </x:c>
      <x:c r="I39" t="str">
        <x:v>negative</x:v>
      </x:c>
      <x:c r="J39" s="16" t="n">
        <x:v>0.88</x:v>
      </x:c>
      <x:c r="K39" t="str">
        <x:v>Zayıf satış sonrası kritik dönem baskısı olumsuz beklenti yaratıyor.</x:v>
      </x:c>
      <x:c r="L39" t="str">
        <x:f>IF(F39=I39,"same","different")</x:f>
        <x:v>same</x:v>
      </x:c>
      <x:c r="M39" t="str">
        <x:f>IF(OR(L39="different",J39&lt;0.75),"review","")</x:f>
      </x:c>
      <x:c r="N39" t="str"/>
    </x:row>
    <x:row r="40">
      <x:c r="A40" t="str">
        <x:v>REUTERS_ANN_01689</x:v>
      </x:c>
      <x:c r="B40" s="12" t="n">
        <x:v>39079</x:v>
      </x:c>
      <x:c r="C40" t="str">
        <x:v>secs cox defends compensation disclosure change</x:v>
      </x:c>
      <x:c r="D40" t="str">
        <x:v>SEC Başkanı Cox ücret açıklama değişikliğini savunuyor</x:v>
      </x:c>
      <x:c r="E40" t="n">
        <x:v>-1</x:v>
      </x:c>
      <x:c r="F40" t="str">
        <x:v>negative</x:v>
      </x:c>
      <x:c r="G40" s="14" t="n">
        <x:v>0.6566985249519348</x:v>
      </x:c>
      <x:c r="H40" t="n">
        <x:v>0</x:v>
      </x:c>
      <x:c r="I40" t="str">
        <x:v>neutral</x:v>
      </x:c>
      <x:c r="J40" s="16" t="n">
        <x:v>0.78</x:v>
      </x:c>
      <x:c r="K40" t="str">
        <x:v>Regülasyon açıklaması; belirli şirket performansına doğrudan yön yok.</x:v>
      </x:c>
      <x:c r="L40" t="str">
        <x:f>IF(F40=I40,"same","different")</x:f>
        <x:v>different</x:v>
      </x:c>
      <x:c r="M40" t="str">
        <x:f>IF(OR(L40="different",J40&lt;0.75),"review","")</x:f>
        <x:v>review</x:v>
      </x:c>
      <x:c r="N40" t="str"/>
    </x:row>
    <x:row r="41">
      <x:c r="A41" t="str">
        <x:v>REUTERS_ANN_01690</x:v>
      </x:c>
      <x:c r="B41" s="12" t="n">
        <x:v>39113</x:v>
      </x:c>
      <x:c r="C41" t="str">
        <x:v>honda q3 up but disappoints amid tough competition</x:v>
      </x:c>
      <x:c r="D41" t="str">
        <x:v>Honda'nın üçüncü çeyreği yükseldi ancak zorlu rekabet nedeniyle hayal kırıklığı yarattı</x:v>
      </x:c>
      <x:c r="E41" t="n">
        <x:v>1</x:v>
      </x:c>
      <x:c r="F41" t="str">
        <x:v>positive</x:v>
      </x:c>
      <x:c r="G41" s="14" t="n">
        <x:v>0.667958676815033</x:v>
      </x:c>
      <x:c r="H41" t="n">
        <x:v>-1</x:v>
      </x:c>
      <x:c r="I41" t="str">
        <x:v>negative</x:v>
      </x:c>
      <x:c r="J41" s="16" t="n">
        <x:v>0.74</x:v>
      </x:c>
      <x:c r="K41" t="str">
        <x:v>Sonuçlar artsa da beklenti/rekabet baskısı nedeniyle olumsuz piyasa tonu var.</x:v>
      </x:c>
      <x:c r="L41" t="str">
        <x:f>IF(F41=I41,"same","different")</x:f>
        <x:v>different</x:v>
      </x:c>
      <x:c r="M41" t="str">
        <x:f>IF(OR(L41="different",J41&lt;0.75),"review","")</x:f>
        <x:v>review</x:v>
      </x:c>
      <x:c r="N41" t="str"/>
    </x:row>
    <x:row r="42">
      <x:c r="A42" t="str">
        <x:v>REUTERS_ANN_01691</x:v>
      </x:c>
      <x:c r="B42" s="12" t="n">
        <x:v>39177</x:v>
      </x:c>
      <x:c r="C42" t="str">
        <x:v>socal grocery workers walk out of contract talks</x:v>
      </x:c>
      <x:c r="D42" t="str">
        <x:v>Güney Kaliforniya market işçileri sözleşme görüşmelerini terk etti</x:v>
      </x:c>
      <x:c r="E42" t="n">
        <x:v>-1</x:v>
      </x:c>
      <x:c r="F42" t="str">
        <x:v>negative</x:v>
      </x:c>
      <x:c r="G42" s="14" t="n">
        <x:v>0.956800639629364</x:v>
      </x:c>
      <x:c r="H42" t="n">
        <x:v>-1</x:v>
      </x:c>
      <x:c r="I42" t="str">
        <x:v>negative</x:v>
      </x:c>
      <x:c r="J42" s="16" t="n">
        <x:v>0.88</x:v>
      </x:c>
      <x:c r="K42" t="str">
        <x:v>İşçi görüşmelerinin bozulması grev/operasyon riski doğurur.</x:v>
      </x:c>
      <x:c r="L42" t="str">
        <x:f>IF(F42=I42,"same","different")</x:f>
        <x:v>same</x:v>
      </x:c>
      <x:c r="M42" t="str">
        <x:f>IF(OR(L42="different",J42&lt;0.75),"review","")</x:f>
      </x:c>
      <x:c r="N42" t="str"/>
    </x:row>
    <x:row r="43">
      <x:c r="A43" t="str">
        <x:v>REUTERS_ANN_01692</x:v>
      </x:c>
      <x:c r="B43" s="12" t="n">
        <x:v>39095</x:v>
      </x:c>
      <x:c r="C43" t="str">
        <x:v>gm says strong euro bad for opel sales in u.s.</x:v>
      </x:c>
      <x:c r="D43" t="str">
        <x:v>GM, güçlü euronun Opel'in ABD satışları için kötü olduğunu söylüyor</x:v>
      </x:c>
      <x:c r="E43" t="n">
        <x:v>0</x:v>
      </x:c>
      <x:c r="F43" t="str">
        <x:v>neutral</x:v>
      </x:c>
      <x:c r="G43" s="14" t="n">
        <x:v>0.541865885257721</x:v>
      </x:c>
      <x:c r="H43" t="n">
        <x:v>-1</x:v>
      </x:c>
      <x:c r="I43" t="str">
        <x:v>negative</x:v>
      </x:c>
      <x:c r="J43" s="16" t="n">
        <x:v>0.82</x:v>
      </x:c>
      <x:c r="K43" t="str">
        <x:v>Kur baskısı ve satış riski olumsuz.</x:v>
      </x:c>
      <x:c r="L43" t="str">
        <x:f>IF(F43=I43,"same","different")</x:f>
        <x:v>different</x:v>
      </x:c>
      <x:c r="M43" t="str">
        <x:f>IF(OR(L43="different",J43&lt;0.75),"review","")</x:f>
        <x:v>review</x:v>
      </x:c>
      <x:c r="N43" t="str"/>
    </x:row>
    <x:row r="44">
      <x:c r="A44" t="str">
        <x:v>REUTERS_ANN_01693</x:v>
      </x:c>
      <x:c r="B44" s="12" t="n">
        <x:v>39139</x:v>
      </x:c>
      <x:c r="C44" t="str">
        <x:v>rj reynolds says no added nicotine in its cigarettes</x:v>
      </x:c>
      <x:c r="D44" t="str">
        <x:v>RJ Reynolds sigaralarına ek nikotin koymadığını söylüyor</x:v>
      </x:c>
      <x:c r="E44" t="n">
        <x:v>0</x:v>
      </x:c>
      <x:c r="F44" t="str">
        <x:v>neutral</x:v>
      </x:c>
      <x:c r="G44" s="14" t="n">
        <x:v>0.8486735820770264</x:v>
      </x:c>
      <x:c r="H44" t="n">
        <x:v>0</x:v>
      </x:c>
      <x:c r="I44" t="str">
        <x:v>neutral</x:v>
      </x:c>
      <x:c r="J44" s="16" t="n">
        <x:v>0.78</x:v>
      </x:c>
      <x:c r="K44" t="str">
        <x:v>Savunma niteliğinde açıklama; finansal yön net değil.</x:v>
      </x:c>
      <x:c r="L44" t="str">
        <x:f>IF(F44=I44,"same","different")</x:f>
        <x:v>same</x:v>
      </x:c>
      <x:c r="M44" t="str">
        <x:f>IF(OR(L44="different",J44&lt;0.75),"review","")</x:f>
      </x:c>
      <x:c r="N44" t="str"/>
    </x:row>
    <x:row r="45">
      <x:c r="A45" t="str">
        <x:v>REUTERS_ANN_01694</x:v>
      </x:c>
      <x:c r="B45" s="12" t="n">
        <x:v>39092</x:v>
      </x:c>
      <x:c r="C45" t="str">
        <x:v>us airways raises offer for delta air lines</x:v>
      </x:c>
      <x:c r="D45" t="str">
        <x:v>US Airways, Delta Air Lines için teklifini artırdı</x:v>
      </x:c>
      <x:c r="E45" t="n">
        <x:v>1</x:v>
      </x:c>
      <x:c r="F45" t="str">
        <x:v>positive</x:v>
      </x:c>
      <x:c r="G45" s="14" t="n">
        <x:v>0.8005205988883972</x:v>
      </x:c>
      <x:c r="H45" t="n">
        <x:v>1</x:v>
      </x:c>
      <x:c r="I45" t="str">
        <x:v>positive</x:v>
      </x:c>
      <x:c r="J45" s="16" t="n">
        <x:v>0.84</x:v>
      </x:c>
      <x:c r="K45" t="str">
        <x:v>Artırılan satın alma teklifi hedef değerini destekleyen olumlu sinyal.</x:v>
      </x:c>
      <x:c r="L45" t="str">
        <x:f>IF(F45=I45,"same","different")</x:f>
        <x:v>same</x:v>
      </x:c>
      <x:c r="M45" t="str">
        <x:f>IF(OR(L45="different",J45&lt;0.75),"review","")</x:f>
      </x:c>
      <x:c r="N45" t="str"/>
    </x:row>
    <x:row r="46">
      <x:c r="A46" t="str">
        <x:v>REUTERS_ANN_01695</x:v>
      </x:c>
      <x:c r="B46" s="12" t="n">
        <x:v>39051</x:v>
      </x:c>
      <x:c r="C46" t="str">
        <x:v>sterling at 14-yr high vs weak dollar, stocks up</x:v>
      </x:c>
      <x:c r="D46" t="str">
        <x:v>Sterlin zayıf dolara karşı 14 yılın zirvesinde, hisseler yükseldi</x:v>
      </x:c>
      <x:c r="E46" t="n">
        <x:v>1</x:v>
      </x:c>
      <x:c r="F46" t="str">
        <x:v>positive</x:v>
      </x:c>
      <x:c r="G46" s="14" t="n">
        <x:v>0.7786471843719482</x:v>
      </x:c>
      <x:c r="H46" t="n">
        <x:v>1</x:v>
      </x:c>
      <x:c r="I46" t="str">
        <x:v>positive</x:v>
      </x:c>
      <x:c r="J46" s="16" t="n">
        <x:v>0.82</x:v>
      </x:c>
      <x:c r="K46" t="str">
        <x:v>Hisse piyasasındaki yükseliş ve güçlü para birimi olumlu piyasa tonu veriyor.</x:v>
      </x:c>
      <x:c r="L46" t="str">
        <x:f>IF(F46=I46,"same","different")</x:f>
        <x:v>same</x:v>
      </x:c>
      <x:c r="M46" t="str">
        <x:f>IF(OR(L46="different",J46&lt;0.75),"review","")</x:f>
      </x:c>
      <x:c r="N46" t="str"/>
    </x:row>
    <x:row r="47">
      <x:c r="A47" t="str">
        <x:v>REUTERS_ANN_01696</x:v>
      </x:c>
      <x:c r="B47" s="12" t="n">
        <x:v>39091</x:v>
      </x:c>
      <x:c r="C47" t="str">
        <x:v>williams-sonoma affirms forecast, cautious on 2007</x:v>
      </x:c>
      <x:c r="D47" t="str">
        <x:v>Williams-Sonoma tahminini teyit etti, 2007 konusunda temkinli</x:v>
      </x:c>
      <x:c r="E47" t="n">
        <x:v>1</x:v>
      </x:c>
      <x:c r="F47" t="str">
        <x:v>positive</x:v>
      </x:c>
      <x:c r="G47" s="14" t="n">
        <x:v>0.9258900284767152</x:v>
      </x:c>
      <x:c r="H47" t="n">
        <x:v>0</x:v>
      </x:c>
      <x:c r="I47" t="str">
        <x:v>neutral</x:v>
      </x:c>
      <x:c r="J47" s="16" t="n">
        <x:v>0.72</x:v>
      </x:c>
      <x:c r="K47" t="str">
        <x:v>Tahminin teyidi olumlu, temkinli görünüm olumsuz; net sinyal dengeli.</x:v>
      </x:c>
      <x:c r="L47" t="str">
        <x:f>IF(F47=I47,"same","different")</x:f>
        <x:v>different</x:v>
      </x:c>
      <x:c r="M47" t="str">
        <x:f>IF(OR(L47="different",J47&lt;0.75),"review","")</x:f>
        <x:v>review</x:v>
      </x:c>
      <x:c r="N47" t="str"/>
    </x:row>
    <x:row r="48">
      <x:c r="A48" t="str">
        <x:v>REUTERS_ANN_01697</x:v>
      </x:c>
      <x:c r="B48" s="12" t="n">
        <x:v>39185</x:v>
      </x:c>
      <x:c r="C48" t="str">
        <x:v>texas house bill avoids more scrutiny of txu sale</x:v>
      </x:c>
      <x:c r="D48" t="str">
        <x:v>Teksas Temsilciler Meclisi tasarısı TXU satışında daha fazla incelemeden kaçınıyor</x:v>
      </x:c>
      <x:c r="E48" t="n">
        <x:v>0</x:v>
      </x:c>
      <x:c r="F48" t="str">
        <x:v>neutral</x:v>
      </x:c>
      <x:c r="G48" s="14" t="n">
        <x:v>0.5551096200942993</x:v>
      </x:c>
      <x:c r="H48" t="n">
        <x:v>1</x:v>
      </x:c>
      <x:c r="I48" t="str">
        <x:v>positive</x:v>
      </x:c>
      <x:c r="J48" s="16" t="n">
        <x:v>0.76</x:v>
      </x:c>
      <x:c r="K48" t="str">
        <x:v>Anlaşma üzerindeki inceleme riskinin azalması olumlu.</x:v>
      </x:c>
      <x:c r="L48" t="str">
        <x:f>IF(F48=I48,"same","different")</x:f>
        <x:v>different</x:v>
      </x:c>
      <x:c r="M48" t="str">
        <x:f>IF(OR(L48="different",J48&lt;0.75),"review","")</x:f>
        <x:v>review</x:v>
      </x:c>
      <x:c r="N48" t="str"/>
    </x:row>
    <x:row r="49">
      <x:c r="A49" t="str">
        <x:v>REUTERS_ANN_01698</x:v>
      </x:c>
      <x:c r="B49" s="12" t="n">
        <x:v>39148</x:v>
      </x:c>
      <x:c r="C49" t="str">
        <x:v>take-two investors plan board takeover</x:v>
      </x:c>
      <x:c r="D49" t="str">
        <x:v>Take-Two yatırımcıları yönetim kurulu kontrolünü ele geçirmeyi planlıyor</x:v>
      </x:c>
      <x:c r="E49" t="n">
        <x:v>-1</x:v>
      </x:c>
      <x:c r="F49" t="str">
        <x:v>negative</x:v>
      </x:c>
      <x:c r="G49" s="14" t="n">
        <x:v>0.9088926911354064</x:v>
      </x:c>
      <x:c r="H49" t="n">
        <x:v>-1</x:v>
      </x:c>
      <x:c r="I49" t="str">
        <x:v>negative</x:v>
      </x:c>
      <x:c r="J49" s="16" t="n">
        <x:v>0.78</x:v>
      </x:c>
      <x:c r="K49" t="str">
        <x:v>Yönetim kurulu mücadelesi kurumsal belirsizlik ve gerilim yaratır.</x:v>
      </x:c>
      <x:c r="L49" t="str">
        <x:f>IF(F49=I49,"same","different")</x:f>
        <x:v>same</x:v>
      </x:c>
      <x:c r="M49" t="str">
        <x:f>IF(OR(L49="different",J49&lt;0.75),"review","")</x:f>
      </x:c>
      <x:c r="N49" t="str"/>
    </x:row>
    <x:row r="50">
      <x:c r="A50" t="str">
        <x:v>REUTERS_ANN_01699</x:v>
      </x:c>
      <x:c r="B50" s="12" t="n">
        <x:v>39100</x:v>
      </x:c>
      <x:c r="C50" t="str">
        <x:v>bernanke budget action needed before storm</x:v>
      </x:c>
      <x:c r="D50" t="str">
        <x:v>Bernanke, fırtına öncesi bütçe adımı gerektiğini söylüyor</x:v>
      </x:c>
      <x:c r="E50" t="n">
        <x:v>-1</x:v>
      </x:c>
      <x:c r="F50" t="str">
        <x:v>negative</x:v>
      </x:c>
      <x:c r="G50" s="14" t="n">
        <x:v>0.8924009203910828</x:v>
      </x:c>
      <x:c r="H50" t="n">
        <x:v>-1</x:v>
      </x:c>
      <x:c r="I50" t="str">
        <x:v>negative</x:v>
      </x:c>
      <x:c r="J50" s="16" t="n">
        <x:v>0.76</x:v>
      </x:c>
      <x:c r="K50" t="str">
        <x:v>Yaklaşan risklere karşı uyarı tonu olumsuz makro sinyal.</x:v>
      </x:c>
      <x:c r="L50" t="str">
        <x:f>IF(F50=I50,"same","different")</x:f>
        <x:v>same</x:v>
      </x:c>
      <x:c r="M50" t="str">
        <x:f>IF(OR(L50="different",J50&lt;0.75),"review","")</x:f>
      </x:c>
      <x:c r="N50" t="str"/>
    </x:row>
    <x:row r="51">
      <x:c r="A51" t="str">
        <x:v>REUTERS_ANN_01700</x:v>
      </x:c>
      <x:c r="B51" s="12" t="n">
        <x:v>39197</x:v>
      </x:c>
      <x:c r="C51" t="str">
        <x:v>tci urges abn amro to back rbs group bid proposal</x:v>
      </x:c>
      <x:c r="D51" t="str">
        <x:v>TCI, ABN Amro'yu RBS grubunun teklif önerisini desteklemeye çağırıyor</x:v>
      </x:c>
      <x:c r="E51" t="n">
        <x:v>0</x:v>
      </x:c>
      <x:c r="F51" t="str">
        <x:v>neutral</x:v>
      </x:c>
      <x:c r="G51" s="14" t="n">
        <x:v>0.7905867099761963</x:v>
      </x:c>
      <x:c r="H51" t="n">
        <x:v>0</x:v>
      </x:c>
      <x:c r="I51" t="str">
        <x:v>neutral</x:v>
      </x:c>
      <x:c r="J51" s="16" t="n">
        <x:v>0.7</x:v>
      </x:c>
      <x:c r="K51" t="str">
        <x:v>M&amp;A sürecinde aktivist çağrı; nihai finansal yön henüz net değil.</x:v>
      </x:c>
      <x:c r="L51" t="str">
        <x:f>IF(F51=I51,"same","different")</x:f>
        <x:v>same</x:v>
      </x:c>
      <x:c r="M51" t="str">
        <x:f>IF(OR(L51="different",J51&lt;0.75),"review","")</x:f>
        <x:v>review</x:v>
      </x:c>
      <x:c r="N51" t="str"/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L2="different"</x:formula>
    </x:cfRule>
  </x:conditionalFormatting>
  <x:conditionalFormatting sqref="M2:M51">
    <x:cfRule type="expression" dxfId="4" priority="5">
      <x:formula>M2="review"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e2c04418de4c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REUTERS Annotation Batch</x:v>
      </x:c>
      <x:c r="B1" s="3" t="str">
        <x:v>034</x:v>
      </x:c>
      <x:c r="D1" s="22" t="str">
        <x:v>Label</x:v>
      </x:c>
      <x:c r="E1" s="22" t="str">
        <x:v>ChatGPT count</x:v>
      </x:c>
      <x:c r="F1" s="22" t="str">
        <x:v>FinBERT count</x:v>
      </x:c>
    </x:row>
    <x:row r="2">
      <x:c r="A2" t="str">
        <x:v>Rows</x:v>
      </x:c>
      <x:c r="B2" t="str">
        <x:v>1650 - 1699</x:v>
      </x:c>
      <x:c r="D2" t="str">
        <x:v>positive</x:v>
      </x:c>
      <x:c r="E2" t="n">
        <x:f>COUNTIF(annotations!I2:I51,D2)</x:f>
        <x:v>18</x:v>
      </x:c>
      <x:c r="F2" t="n">
        <x:f>COUNTIF(annotations!F2:F51,D2)</x:f>
        <x:v>15</x:v>
      </x:c>
    </x:row>
    <x:row r="3">
      <x:c r="A3" s="19" t="str">
        <x:v>Total records</x:v>
      </x:c>
      <x:c r="B3" t="n">
        <x:f>COUNTA(annotations!A2:A51)</x:f>
        <x:v>50</x:v>
      </x:c>
      <x:c r="D3" t="str">
        <x:v>neutral</x:v>
      </x:c>
      <x:c r="E3" t="n">
        <x:f>COUNTIF(annotations!I2:I51,D3)</x:f>
        <x:v>10</x:v>
      </x:c>
      <x:c r="F3" t="n">
        <x:f>COUNTIF(annotations!F2:F51,D3)</x:f>
        <x:v>12</x:v>
      </x:c>
    </x:row>
    <x:row r="4">
      <x:c r="A4" s="19" t="str">
        <x:v>ChatGPT positive</x:v>
      </x:c>
      <x:c r="B4" t="n">
        <x:f>COUNTIF(annotations!I2:I51,"positive")</x:f>
        <x:v>18</x:v>
      </x:c>
      <x:c r="D4" t="str">
        <x:v>negative</x:v>
      </x:c>
      <x:c r="E4" t="n">
        <x:f>COUNTIF(annotations!I2:I51,D4)</x:f>
        <x:v>22</x:v>
      </x:c>
      <x:c r="F4" t="n">
        <x:f>COUNTIF(annotations!F2:F51,D4)</x:f>
        <x:v>23</x:v>
      </x:c>
    </x:row>
    <x:row r="5">
      <x:c r="A5" s="19" t="str">
        <x:v>ChatGPT neutral</x:v>
      </x:c>
      <x:c r="B5" t="n">
        <x:f>COUNTIF(annotations!I2:I51,"neutral")</x:f>
        <x:v>10</x:v>
      </x:c>
    </x:row>
    <x:row r="6">
      <x:c r="A6" s="19" t="str">
        <x:v>ChatGPT negative</x:v>
      </x:c>
      <x:c r="B6" t="n">
        <x:f>COUNTIF(annotations!I2:I51,"negative")</x:f>
        <x:v>22</x:v>
      </x:c>
    </x:row>
    <x:row r="7">
      <x:c r="A7" s="19" t="str">
        <x:v>FinBERT same</x:v>
      </x:c>
      <x:c r="B7" t="n">
        <x:f>COUNTIF(annotations!L2:L51,"same")</x:f>
        <x:v>39</x:v>
      </x:c>
    </x:row>
    <x:row r="8">
      <x:c r="A8" s="19" t="str">
        <x:v>FinBERT different / review</x:v>
      </x:c>
      <x:c r="B8" t="n">
        <x:f>COUNTIF(annotations!L2:L51,"different")</x:f>
        <x:v>11</x:v>
      </x:c>
    </x:row>
    <x:row r="9">
      <x:c r="A9" s="19" t="str">
        <x:v>Low confidence or different</x:v>
      </x:c>
      <x:c r="B9" t="n">
        <x:f>COUNTIF(annotations!M2:M51,"review")</x:f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8fa5d9604bfc4a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field</x:v>
      </x:c>
      <x:c r="B1" s="4" t="str">
        <x:v>note</x:v>
      </x:c>
    </x:row>
    <x:row r="2">
      <x:c r="A2" t="str">
        <x:v>Task</x:v>
      </x:c>
      <x:c r="B2" t="str">
        <x:v>English Reuters financial/news headline translation into Turkish and sentiment annotation.</x:v>
      </x:c>
    </x:row>
    <x:row r="3">
      <x:c r="A3" t="str">
        <x:v>Sentiment labels</x:v>
      </x:c>
      <x:c r="B3" t="str">
        <x:v>positive, neutral, negative. Score mapping: positive=1, neutral=0, negative=-1.</x:v>
      </x:c>
    </x:row>
    <x:row r="4">
      <x:c r="A4" t="str">
        <x:v>Labeling basis</x:v>
      </x:c>
      <x:c r="B4" t="str">
        <x:v>Dominant investor/company/market signal in the headline, not literal emotional tone.</x:v>
      </x:c>
    </x:row>
    <x:row r="5">
      <x:c r="A5" t="str">
        <x:v>Confidence</x:v>
      </x:c>
      <x:c r="B5" t="str">
        <x:v>0.90+ clear signal; 0.75-0.89 moderate; below 0.75 mixed/ambiguous or context-limited.</x:v>
      </x:c>
    </x:row>
    <x:row r="6">
      <x:c r="A6" t="str">
        <x:v>finbert_correctness</x:v>
      </x:c>
      <x:c r="B6" t="str">
        <x:v>Formula compares FinBERT label and ChatGPT label: same/different.</x:v>
      </x:c>
    </x:row>
    <x:row r="7">
      <x:c r="A7" t="str">
        <x:v>review_needed</x:v>
      </x:c>
      <x:c r="B7" t="str">
        <x:v>Formula marks rows where labels differ or ChatGPT confidence is below 0.75.</x:v>
      </x:c>
    </x:row>
    <x:row r="8">
      <x:c r="A8" t="str">
        <x:v>Source file</x:v>
      </x:c>
      <x:c r="B8" t="str">
        <x:v>Pasted text(71).txt / REUTERS ANNOTATION BATCH 034</x:v>
      </x:c>
    </x:row>
  </x:sheetData>
  <x:pageMargins left="0.7" right="0.7" top="0.75" bottom="0.75" header="0.3" footer="0.3"/>
  <x:tableParts count="1">
    <x:tablePart xmlns:r="http://schemas.openxmlformats.org/officeDocument/2006/relationships" r:id="R34a4f8a9cc574f3b"/>
  </x:tableParts>
</x:worksheet>
</file>