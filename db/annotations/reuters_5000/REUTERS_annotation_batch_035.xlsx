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7237134e0c46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fba533b3afa4f1a"/>
    <x:sheet xmlns:r="http://schemas.openxmlformats.org/officeDocument/2006/relationships" name="summary" sheetId="2" r:id="R2267c026ebf14359"/>
    <x:sheet xmlns:r="http://schemas.openxmlformats.org/officeDocument/2006/relationships" name="labeling_notes" sheetId="3" r:id="R49049cacba7c43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0F2FE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E0F2FE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09c554db1b4474" /><Relationship Type="http://schemas.openxmlformats.org/officeDocument/2006/relationships/theme" Target="/xl/theme/theme1.xml" Id="R27bd5e2aa1074ebb" /><Relationship Type="http://schemas.openxmlformats.org/officeDocument/2006/relationships/sharedStrings" Target="/xl/sharedStrings.xml" Id="R383e0de0c4484f4b" /><Relationship Type="http://schemas.openxmlformats.org/officeDocument/2006/relationships/worksheet" Target="/xl/worksheets/sheet1.xml" Id="R6fba533b3afa4f1a" /><Relationship Type="http://schemas.openxmlformats.org/officeDocument/2006/relationships/worksheet" Target="/xl/worksheets/sheet2.xml" Id="R2267c026ebf14359" /><Relationship Type="http://schemas.openxmlformats.org/officeDocument/2006/relationships/worksheet" Target="/xl/worksheets/sheet3.xml" Id="R49049cacba7c43c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0406cf6784d47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ChatGPT Label Distribution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'summary'!$D$2:$D$4</c:f>
              <c:strCache>
                <c:ptCount val="0"/>
              </c:strCache>
            </c:strRef>
          </c:cat>
          <c:val>
            <c:numRef>
              <c:f>'summary'!$E$2:$E$4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406cf6784d47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nnotationsTable" displayName="AnnotationsTable" ref="A1:M51" headerRowCount="1">
  <x:tableColumns count="13">
    <x:tableColumn id="1" name="annotation_id"/>
    <x:tableColumn id="2" name="date"/>
    <x:tableColumn id="3" name="finbert_score"/>
    <x:tableColumn id="4" name="finbert_label"/>
    <x:tableColumn id="5" name="finbert_confidence"/>
    <x:tableColumn id="6" name="text_en"/>
    <x:tableColumn id="7" name="text_tr"/>
    <x:tableColumn id="8" name="chatgpt_score"/>
    <x:tableColumn id="9" name="chatgpt_label"/>
    <x:tableColumn id="10" name="chatgpt_confidence"/>
    <x:tableColumn id="11" name="chatgpt_reason_tr"/>
    <x:tableColumn id="12" name="finbert_correctness"/>
    <x:tableColumn id="13" name="revie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2fd9d9d26144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3e5a4161fc4d6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12" hidden="0" customWidth="1"/>
    <x:col min="4" max="4" width="14" hidden="0" customWidth="1"/>
    <x:col min="5" max="5" width="16" hidden="0" customWidth="1"/>
    <x:col min="6" max="6" width="44" hidden="0" customWidth="1"/>
    <x:col min="7" max="7" width="48" hidden="0" customWidth="1"/>
    <x:col min="8" max="8" width="14" hidden="0" customWidth="1"/>
    <x:col min="9" max="9" width="14" hidden="0" customWidth="1"/>
    <x:col min="10" max="10" width="16" hidden="0" customWidth="1"/>
    <x:col min="11" max="11" width="50" hidden="0" customWidth="1"/>
    <x:col min="12" max="12" width="18" hidden="0" customWidth="1"/>
    <x:col min="13" max="13" width="42" hidden="0" customWidth="1"/>
  </x:cols>
  <x:sheetData>
    <x:row r="1">
      <x:c r="A1" s="14" t="str">
        <x:v>annotation_id</x:v>
      </x:c>
      <x:c r="B1" s="14" t="str">
        <x:v>date</x:v>
      </x:c>
      <x:c r="C1" s="14" t="str">
        <x:v>finbert_score</x:v>
      </x:c>
      <x:c r="D1" s="14" t="str">
        <x:v>finbert_label</x:v>
      </x:c>
      <x:c r="E1" s="14" t="str">
        <x:v>finbert_confidence</x:v>
      </x:c>
      <x:c r="F1" s="14" t="str">
        <x:v>text_en</x:v>
      </x:c>
      <x:c r="G1" s="14" t="str">
        <x:v>text_tr</x:v>
      </x:c>
      <x:c r="H1" s="14" t="str">
        <x:v>chatgpt_score</x:v>
      </x:c>
      <x:c r="I1" s="14" t="str">
        <x:v>chatgpt_label</x:v>
      </x:c>
      <x:c r="J1" s="14" t="str">
        <x:v>chatgpt_confidence</x:v>
      </x:c>
      <x:c r="K1" s="14" t="str">
        <x:v>chatgpt_reason_tr</x:v>
      </x:c>
      <x:c r="L1" s="14" t="str">
        <x:v>finbert_correctness</x:v>
      </x:c>
      <x:c r="M1" s="14" t="str">
        <x:v>review_note</x:v>
      </x:c>
    </x:row>
    <x:row r="2">
      <x:c r="A2" s="15" t="str">
        <x:v>REUTERS_ANN_01701</x:v>
      </x:c>
      <x:c r="B2" s="15" t="str">
        <x:v>2007-01-15</x:v>
      </x:c>
      <x:c r="C2" s="15" t="n">
        <x:v>0</x:v>
      </x:c>
      <x:c r="D2" s="15" t="str">
        <x:v>neutral</x:v>
      </x:c>
      <x:c r="E2" s="18" t="n">
        <x:v>0.7510697841644287</x:v>
      </x:c>
      <x:c r="F2" s="15" t="str">
        <x:v>technology, globalization changing retail landscape</x:v>
      </x:c>
      <x:c r="G2" s="15" t="str">
        <x:v>teknoloji ve küreselleşme perakende görünümünü değiştiriyor</x:v>
      </x:c>
      <x:c r="H2" s="15" t="n">
        <x:v>0</x:v>
      </x:c>
      <x:c r="I2" s="15" t="str">
        <x:v>neutral</x:v>
      </x:c>
      <x:c r="J2" s="20" t="n">
        <x:v>0.72</x:v>
      </x:c>
      <x:c r="K2" s="15" t="str">
        <x:v>Yapısal değişimi anlatıyor; doğrudan kâr, satış veya piyasa yönü sinyali yok.</x:v>
      </x:c>
      <x:c r="L2" s="15" t="str">
        <x:f>IF(D2=I2,"same","different")</x:f>
        <x:v>same</x:v>
      </x:c>
      <x:c r="M2" s="15" t="str"/>
    </x:row>
    <x:row r="3">
      <x:c r="A3" s="15" t="str">
        <x:v>REUTERS_ANN_01702</x:v>
      </x:c>
      <x:c r="B3" s="15" t="str">
        <x:v>2007-02-05</x:v>
      </x:c>
      <x:c r="C3" s="15" t="n">
        <x:v>1</x:v>
      </x:c>
      <x:c r="D3" s="15" t="str">
        <x:v>positive</x:v>
      </x:c>
      <x:c r="E3" s="18" t="n">
        <x:v>0.9434586763381958</x:v>
      </x:c>
      <x:c r="F3" s="15" t="str">
        <x:v>january service growth strongest in 8 months</x:v>
      </x:c>
      <x:c r="G3" s="15" t="str">
        <x:v>ocak ayında hizmet sektörü büyümesi son 8 ayın en güçlü seviyesinde</x:v>
      </x:c>
      <x:c r="H3" s="15" t="n">
        <x:v>1</x:v>
      </x:c>
      <x:c r="I3" s="15" t="str">
        <x:v>positive</x:v>
      </x:c>
      <x:c r="J3" s="20" t="n">
        <x:v>0.93</x:v>
      </x:c>
      <x:c r="K3" s="15" t="str">
        <x:v>Hizmet sektöründe güçlü büyüme ekonomik görünüm için olumlu sinyal.</x:v>
      </x:c>
      <x:c r="L3" s="15" t="str">
        <x:f>IF(D3=I3,"same","different")</x:f>
        <x:v>same</x:v>
      </x:c>
      <x:c r="M3" s="15" t="str"/>
    </x:row>
    <x:row r="4">
      <x:c r="A4" s="15" t="str">
        <x:v>REUTERS_ANN_01703</x:v>
      </x:c>
      <x:c r="B4" s="15" t="str">
        <x:v>2007-02-02</x:v>
      </x:c>
      <x:c r="C4" s="15" t="n">
        <x:v>-1</x:v>
      </x:c>
      <x:c r="D4" s="15" t="str">
        <x:v>negative</x:v>
      </x:c>
      <x:c r="E4" s="18" t="n">
        <x:v>0.9764743447303772</x:v>
      </x:c>
      <x:c r="F4" s="15" t="str">
        <x:v>wendys 4th-quarter net down 90 percent</x:v>
      </x:c>
      <x:c r="G4" s="15" t="str">
        <x:v>Wendy's'in 4. çeyrek net kârı yüzde 90 düştü</x:v>
      </x:c>
      <x:c r="H4" s="15" t="n">
        <x:v>-1</x:v>
      </x:c>
      <x:c r="I4" s="15" t="str">
        <x:v>negative</x:v>
      </x:c>
      <x:c r="J4" s="20" t="n">
        <x:v>0.96</x:v>
      </x:c>
      <x:c r="K4" s="15" t="str">
        <x:v>Net kârda çok sert düşüş şirket performansı açısından olumsuz.</x:v>
      </x:c>
      <x:c r="L4" s="15" t="str">
        <x:f>IF(D4=I4,"same","different")</x:f>
        <x:v>same</x:v>
      </x:c>
      <x:c r="M4" s="15" t="str"/>
    </x:row>
    <x:row r="5">
      <x:c r="A5" s="15" t="str">
        <x:v>REUTERS_ANN_01704</x:v>
      </x:c>
      <x:c r="B5" s="15" t="str">
        <x:v>2007-03-09</x:v>
      </x:c>
      <x:c r="C5" s="15" t="n">
        <x:v>-1</x:v>
      </x:c>
      <x:c r="D5" s="15" t="str">
        <x:v>negative</x:v>
      </x:c>
      <x:c r="E5" s="18" t="n">
        <x:v>0.9702593088150024</x:v>
      </x:c>
      <x:c r="F5" s="15" t="str">
        <x:v>jobs auction points to subdued gain in employment</x:v>
      </x:c>
      <x:c r="G5" s="15" t="str">
        <x:v>istihdam piyasası göstergesi işe alımlarda zayıf artışa işaret ediyor</x:v>
      </x:c>
      <x:c r="H5" s="15" t="n">
        <x:v>-1</x:v>
      </x:c>
      <x:c r="I5" s="15" t="str">
        <x:v>negative</x:v>
      </x:c>
      <x:c r="J5" s="20" t="n">
        <x:v>0.82</x:v>
      </x:c>
      <x:c r="K5" s="15" t="str">
        <x:v>İstihdam artışının zayıf kalacağı beklentisi makro görünüm için olumsuz.</x:v>
      </x:c>
      <x:c r="L5" s="15" t="str">
        <x:f>IF(D5=I5,"same","different")</x:f>
        <x:v>same</x:v>
      </x:c>
      <x:c r="M5" s="15" t="str"/>
    </x:row>
    <x:row r="6">
      <x:c r="A6" s="15" t="str">
        <x:v>REUTERS_ANN_01705</x:v>
      </x:c>
      <x:c r="B6" s="15" t="str">
        <x:v>2006-10-24</x:v>
      </x:c>
      <x:c r="C6" s="15" t="n">
        <x:v>0</x:v>
      </x:c>
      <x:c r="D6" s="15" t="str">
        <x:v>neutral</x:v>
      </x:c>
      <x:c r="E6" s="18" t="n">
        <x:v>0.5164084434509277</x:v>
      </x:c>
      <x:c r="F6" s="15" t="str">
        <x:v>microsoft to defer $1.5 billion in sales to third quarter</x:v>
      </x:c>
      <x:c r="G6" s="15" t="str">
        <x:v>Microsoft 1,5 milyar dolarlık satış gelirini üçüncü çeyreğe erteleyecek</x:v>
      </x:c>
      <x:c r="H6" s="15" t="n">
        <x:v>0</x:v>
      </x:c>
      <x:c r="I6" s="15" t="str">
        <x:v>neutral</x:v>
      </x:c>
      <x:c r="J6" s="20" t="n">
        <x:v>0.62</x:v>
      </x:c>
      <x:c r="K6" s="15" t="str">
        <x:v>Gelir zamanlamasıyla ilgili; etkisi yön bakımından net değil.</x:v>
      </x:c>
      <x:c r="L6" s="15" t="str">
        <x:f>IF(D6=I6,"same","different")</x:f>
        <x:v>same</x:v>
      </x:c>
      <x:c r="M6" s="15" t="str"/>
    </x:row>
    <x:row r="7">
      <x:c r="A7" s="15" t="str">
        <x:v>REUTERS_ANN_01706</x:v>
      </x:c>
      <x:c r="B7" s="15" t="str">
        <x:v>2007-01-21</x:v>
      </x:c>
      <x:c r="C7" s="15" t="n">
        <x:v>-1</x:v>
      </x:c>
      <x:c r="D7" s="15" t="str">
        <x:v>negative</x:v>
      </x:c>
      <x:c r="E7" s="18" t="n">
        <x:v>0.6635447144508362</x:v>
      </x:c>
      <x:c r="F7" s="15" t="str">
        <x:v>tribune looking at offers, may pursue own action</x:v>
      </x:c>
      <x:c r="G7" s="15" t="str">
        <x:v>Tribune teklifleri değerlendiriyor, kendi adımını da atabilir</x:v>
      </x:c>
      <x:c r="H7" s="15" t="n">
        <x:v>0</x:v>
      </x:c>
      <x:c r="I7" s="15" t="str">
        <x:v>neutral</x:v>
      </x:c>
      <x:c r="J7" s="20" t="n">
        <x:v>0.63</x:v>
      </x:c>
      <x:c r="K7" s="15" t="str">
        <x:v>Stratejik alternatif/teklif süreci haberidir; kesin pozitif veya negatif sonuç yok.</x:v>
      </x:c>
      <x:c r="L7" s="15" t="str">
        <x:f>IF(D7=I7,"same","different")</x:f>
        <x:v>different</x:v>
      </x:c>
      <x:c r="M7" s="15" t="str">
        <x:v>Kontrol önerilir: FinBERT ve ChatGPT etiketi farklı.</x:v>
      </x:c>
    </x:row>
    <x:row r="8">
      <x:c r="A8" s="15" t="str">
        <x:v>REUTERS_ANN_01707</x:v>
      </x:c>
      <x:c r="B8" s="15" t="str">
        <x:v>2007-02-22</x:v>
      </x:c>
      <x:c r="C8" s="15" t="n">
        <x:v>-1</x:v>
      </x:c>
      <x:c r="D8" s="15" t="str">
        <x:v>negative</x:v>
      </x:c>
      <x:c r="E8" s="18" t="n">
        <x:v>0.9614733457565308</x:v>
      </x:c>
      <x:c r="F8" s="15" t="str">
        <x:v>stocks down on higher oil, housing woes</x:v>
      </x:c>
      <x:c r="G8" s="15" t="str">
        <x:v>hisseler yüksek petrol fiyatı ve konut sorunlarıyla geriledi</x:v>
      </x:c>
      <x:c r="H8" s="15" t="n">
        <x:v>-1</x:v>
      </x:c>
      <x:c r="I8" s="15" t="str">
        <x:v>negative</x:v>
      </x:c>
      <x:c r="J8" s="20" t="n">
        <x:v>0.95</x:v>
      </x:c>
      <x:c r="K8" s="15" t="str">
        <x:v>Piyasa düşüşü ve konut baskısı açık olumsuz sinyal.</x:v>
      </x:c>
      <x:c r="L8" s="15" t="str">
        <x:f>IF(D8=I8,"same","different")</x:f>
        <x:v>same</x:v>
      </x:c>
      <x:c r="M8" s="15" t="str"/>
    </x:row>
    <x:row r="9">
      <x:c r="A9" s="15" t="str">
        <x:v>REUTERS_ANN_01708</x:v>
      </x:c>
      <x:c r="B9" s="15" t="str">
        <x:v>2007-04-10</x:v>
      </x:c>
      <x:c r="C9" s="15" t="n">
        <x:v>1</x:v>
      </x:c>
      <x:c r="D9" s="15" t="str">
        <x:v>positive</x:v>
      </x:c>
      <x:c r="E9" s="18" t="n">
        <x:v>0.9387097358703612</x:v>
      </x:c>
      <x:c r="F9" s="15" t="str">
        <x:v>mexicos cemex ups bid for rinker</x:v>
      </x:c>
      <x:c r="G9" s="15" t="str">
        <x:v>Meksikalı Cemex, Rinker için teklifini artırdı</x:v>
      </x:c>
      <x:c r="H9" s="15" t="n">
        <x:v>1</x:v>
      </x:c>
      <x:c r="I9" s="15" t="str">
        <x:v>positive</x:v>
      </x:c>
      <x:c r="J9" s="20" t="n">
        <x:v>0.86</x:v>
      </x:c>
      <x:c r="K9" s="15" t="str">
        <x:v>Artırılan satın alma teklifi hedef şirket/deal algısı için olumlu.</x:v>
      </x:c>
      <x:c r="L9" s="15" t="str">
        <x:f>IF(D9=I9,"same","different")</x:f>
        <x:v>same</x:v>
      </x:c>
      <x:c r="M9" s="15" t="str"/>
    </x:row>
    <x:row r="10">
      <x:c r="A10" s="15" t="str">
        <x:v>REUTERS_ANN_01709</x:v>
      </x:c>
      <x:c r="B10" s="15" t="str">
        <x:v>2007-04-12</x:v>
      </x:c>
      <x:c r="C10" s="15" t="n">
        <x:v>1</x:v>
      </x:c>
      <x:c r="D10" s="15" t="str">
        <x:v>positive</x:v>
      </x:c>
      <x:c r="E10" s="18" t="n">
        <x:v>0.90329110622406</x:v>
      </x:c>
      <x:c r="F10" s="15" t="str">
        <x:v>aids drugs sales seen topping $10 billion by 2015</x:v>
      </x:c>
      <x:c r="G10" s="15" t="str">
        <x:v>AIDS ilaç satışlarının 2015'e kadar 10 milyar doları aşması bekleniyor</x:v>
      </x:c>
      <x:c r="H10" s="15" t="n">
        <x:v>1</x:v>
      </x:c>
      <x:c r="I10" s="15" t="str">
        <x:v>positive</x:v>
      </x:c>
      <x:c r="J10" s="20" t="n">
        <x:v>0.88</x:v>
      </x:c>
      <x:c r="K10" s="15" t="str">
        <x:v>Güçlü satış büyümesi beklentisi sektör/şirketler için olumlu.</x:v>
      </x:c>
      <x:c r="L10" s="15" t="str">
        <x:f>IF(D10=I10,"same","different")</x:f>
        <x:v>same</x:v>
      </x:c>
      <x:c r="M10" s="15" t="str"/>
    </x:row>
    <x:row r="11">
      <x:c r="A11" s="15" t="str">
        <x:v>REUTERS_ANN_01710</x:v>
      </x:c>
      <x:c r="B11" s="15" t="str">
        <x:v>2007-05-02</x:v>
      </x:c>
      <x:c r="C11" s="15" t="n">
        <x:v>1</x:v>
      </x:c>
      <x:c r="D11" s="15" t="str">
        <x:v>positive</x:v>
      </x:c>
      <x:c r="E11" s="18" t="n">
        <x:v>0.8292151093482971</x:v>
      </x:c>
      <x:c r="F11" s="15" t="str">
        <x:v>murdochs dow bid sparks european focus on content</x:v>
      </x:c>
      <x:c r="G11" s="15" t="str">
        <x:v>Murdoch'ın Dow Jones teklifi Avrupa'da içerik varlıklarına ilgiyi artırdı</x:v>
      </x:c>
      <x:c r="H11" s="15" t="n">
        <x:v>1</x:v>
      </x:c>
      <x:c r="I11" s="15" t="str">
        <x:v>positive</x:v>
      </x:c>
      <x:c r="J11" s="20" t="n">
        <x:v>0.74</x:v>
      </x:c>
      <x:c r="K11" s="15" t="str">
        <x:v>Satın alma teklifi ve içerik varlıklarına artan ilgi değerleme açısından olumlu.</x:v>
      </x:c>
      <x:c r="L11" s="15" t="str">
        <x:f>IF(D11=I11,"same","different")</x:f>
        <x:v>same</x:v>
      </x:c>
      <x:c r="M11" s="15" t="str"/>
    </x:row>
    <x:row r="12">
      <x:c r="A12" s="15" t="str">
        <x:v>REUTERS_ANN_01711</x:v>
      </x:c>
      <x:c r="B12" s="15" t="str">
        <x:v>2007-02-10</x:v>
      </x:c>
      <x:c r="C12" s="15" t="n">
        <x:v>-1</x:v>
      </x:c>
      <x:c r="D12" s="15" t="str">
        <x:v>negative</x:v>
      </x:c>
      <x:c r="E12" s="18" t="n">
        <x:v>0.9666690230369568</x:v>
      </x:c>
      <x:c r="F12" s="15" t="str">
        <x:v>nasdaqs offer for london stock exchange lapses</x:v>
      </x:c>
      <x:c r="G12" s="15" t="str">
        <x:v>Nasdaq'ın Londra Borsası için yaptığı teklif süresi doldu</x:v>
      </x:c>
      <x:c r="H12" s="15" t="n">
        <x:v>-1</x:v>
      </x:c>
      <x:c r="I12" s="15" t="str">
        <x:v>negative</x:v>
      </x:c>
      <x:c r="J12" s="20" t="n">
        <x:v>0.88</x:v>
      </x:c>
      <x:c r="K12" s="15" t="str">
        <x:v>Satın alma teklifinin başarısız olması anlaşma beklentisi açısından olumsuz.</x:v>
      </x:c>
      <x:c r="L12" s="15" t="str">
        <x:f>IF(D12=I12,"same","different")</x:f>
        <x:v>same</x:v>
      </x:c>
      <x:c r="M12" s="15" t="str"/>
    </x:row>
    <x:row r="13">
      <x:c r="A13" s="15" t="str">
        <x:v>REUTERS_ANN_01712</x:v>
      </x:c>
      <x:c r="B13" s="15" t="str">
        <x:v>2006-12-12</x:v>
      </x:c>
      <x:c r="C13" s="15" t="n">
        <x:v>1</x:v>
      </x:c>
      <x:c r="D13" s="15" t="str">
        <x:v>positive</x:v>
      </x:c>
      <x:c r="E13" s="18" t="n">
        <x:v>0.5052039623260498</x:v>
      </x:c>
      <x:c r="F13" s="15" t="str">
        <x:v>new coo for citigroup</x:v>
      </x:c>
      <x:c r="G13" s="15" t="str">
        <x:v>Citigroup için yeni operasyon direktörü atandı</x:v>
      </x:c>
      <x:c r="H13" s="15" t="n">
        <x:v>0</x:v>
      </x:c>
      <x:c r="I13" s="15" t="str">
        <x:v>neutral</x:v>
      </x:c>
      <x:c r="J13" s="20" t="n">
        <x:v>0.7</x:v>
      </x:c>
      <x:c r="K13" s="15" t="str">
        <x:v>Yönetici ataması tek başına belirgin finansal yön göstermiyor.</x:v>
      </x:c>
      <x:c r="L13" s="15" t="str">
        <x:f>IF(D13=I13,"same","different")</x:f>
        <x:v>different</x:v>
      </x:c>
      <x:c r="M13" s="15" t="str">
        <x:v>Kontrol önerilir: FinBERT ve ChatGPT etiketi farklı.</x:v>
      </x:c>
    </x:row>
    <x:row r="14">
      <x:c r="A14" s="15" t="str">
        <x:v>REUTERS_ANN_01713</x:v>
      </x:c>
      <x:c r="B14" s="15" t="str">
        <x:v>2007-04-14</x:v>
      </x:c>
      <x:c r="C14" s="15" t="n">
        <x:v>1</x:v>
      </x:c>
      <x:c r="D14" s="15" t="str">
        <x:v>positive</x:v>
      </x:c>
      <x:c r="E14" s="18" t="n">
        <x:v>0.5398118495941162</x:v>
      </x:c>
      <x:c r="F14" s="15" t="str">
        <x:v>major economies promise to reduce imbalances</x:v>
      </x:c>
      <x:c r="G14" s="15" t="str">
        <x:v>büyük ekonomiler dengesizlikleri azaltma sözü verdi</x:v>
      </x:c>
      <x:c r="H14" s="15" t="n">
        <x:v>1</x:v>
      </x:c>
      <x:c r="I14" s="15" t="str">
        <x:v>positive</x:v>
      </x:c>
      <x:c r="J14" s="20" t="n">
        <x:v>0.7</x:v>
      </x:c>
      <x:c r="K14" s="15" t="str">
        <x:v>Makro dengesizlikleri azaltmaya yönelik koordinasyon olumlu algılanabilir.</x:v>
      </x:c>
      <x:c r="L14" s="15" t="str">
        <x:f>IF(D14=I14,"same","different")</x:f>
        <x:v>same</x:v>
      </x:c>
      <x:c r="M14" s="15" t="str"/>
    </x:row>
    <x:row r="15">
      <x:c r="A15" s="15" t="str">
        <x:v>REUTERS_ANN_01714</x:v>
      </x:c>
      <x:c r="B15" s="15" t="str">
        <x:v>2007-01-24</x:v>
      </x:c>
      <x:c r="C15" s="15" t="n">
        <x:v>1</x:v>
      </x:c>
      <x:c r="D15" s="15" t="str">
        <x:v>positive</x:v>
      </x:c>
      <x:c r="E15" s="18" t="n">
        <x:v>0.566375732421875</x:v>
      </x:c>
      <x:c r="F15" s="15" t="str">
        <x:v>dow jones awards bonuses to ceo, journal publisher</x:v>
      </x:c>
      <x:c r="G15" s="15" t="str">
        <x:v>Dow Jones CEO ve Wall Street Journal yayıncısına prim verdi</x:v>
      </x:c>
      <x:c r="H15" s="15" t="n">
        <x:v>0</x:v>
      </x:c>
      <x:c r="I15" s="15" t="str">
        <x:v>neutral</x:v>
      </x:c>
      <x:c r="J15" s="20" t="n">
        <x:v>0.65</x:v>
      </x:c>
      <x:c r="K15" s="15" t="str">
        <x:v>Prim ödemesi bilgisi finansal performans yönünü doğrudan göstermiyor.</x:v>
      </x:c>
      <x:c r="L15" s="15" t="str">
        <x:f>IF(D15=I15,"same","different")</x:f>
        <x:v>different</x:v>
      </x:c>
      <x:c r="M15" s="15" t="str">
        <x:v>Kontrol önerilir: FinBERT ve ChatGPT etiketi farklı.</x:v>
      </x:c>
    </x:row>
    <x:row r="16">
      <x:c r="A16" s="15" t="str">
        <x:v>REUTERS_ANN_01715</x:v>
      </x:c>
      <x:c r="B16" s="15" t="str">
        <x:v>2007-02-06</x:v>
      </x:c>
      <x:c r="C16" s="15" t="n">
        <x:v>0</x:v>
      </x:c>
      <x:c r="D16" s="15" t="str">
        <x:v>neutral</x:v>
      </x:c>
      <x:c r="E16" s="18" t="n">
        <x:v>0.9110639691352844</x:v>
      </x:c>
      <x:c r="F16" s="15" t="str">
        <x:v>zucker takes helm at nbc universal</x:v>
      </x:c>
      <x:c r="G16" s="15" t="str">
        <x:v>Zucker, NBC Universal'ın başına geçti</x:v>
      </x:c>
      <x:c r="H16" s="15" t="n">
        <x:v>0</x:v>
      </x:c>
      <x:c r="I16" s="15" t="str">
        <x:v>neutral</x:v>
      </x:c>
      <x:c r="J16" s="20" t="n">
        <x:v>0.72</x:v>
      </x:c>
      <x:c r="K16" s="15" t="str">
        <x:v>Yönetim değişikliği haberi; etkisi haber başlığından net değil.</x:v>
      </x:c>
      <x:c r="L16" s="15" t="str">
        <x:f>IF(D16=I16,"same","different")</x:f>
        <x:v>same</x:v>
      </x:c>
      <x:c r="M16" s="15" t="str"/>
    </x:row>
    <x:row r="17">
      <x:c r="A17" s="15" t="str">
        <x:v>REUTERS_ANN_01716</x:v>
      </x:c>
      <x:c r="B17" s="15" t="str">
        <x:v>2006-11-24</x:v>
      </x:c>
      <x:c r="C17" s="15" t="n">
        <x:v>-1</x:v>
      </x:c>
      <x:c r="D17" s="15" t="str">
        <x:v>negative</x:v>
      </x:c>
      <x:c r="E17" s="18" t="n">
        <x:v>0.9676151275634766</x:v>
      </x:c>
      <x:c r="F17" s="15" t="str">
        <x:v>stock futures signal soft start dollar drops</x:v>
      </x:c>
      <x:c r="G17" s="15" t="str">
        <x:v>vadeli hisseler zayıf açılışa işaret ediyor, dolar düşüyor</x:v>
      </x:c>
      <x:c r="H17" s="15" t="n">
        <x:v>-1</x:v>
      </x:c>
      <x:c r="I17" s="15" t="str">
        <x:v>negative</x:v>
      </x:c>
      <x:c r="J17" s="20" t="n">
        <x:v>0.87</x:v>
      </x:c>
      <x:c r="K17" s="15" t="str">
        <x:v>Zayıf piyasa açılışı beklentisi olumsuz.</x:v>
      </x:c>
      <x:c r="L17" s="15" t="str">
        <x:f>IF(D17=I17,"same","different")</x:f>
        <x:v>same</x:v>
      </x:c>
      <x:c r="M17" s="15" t="str"/>
    </x:row>
    <x:row r="18">
      <x:c r="A18" s="15" t="str">
        <x:v>REUTERS_ANN_01717</x:v>
      </x:c>
      <x:c r="B18" s="15" t="str">
        <x:v>2007-01-11</x:v>
      </x:c>
      <x:c r="C18" s="15" t="n">
        <x:v>0</x:v>
      </x:c>
      <x:c r="D18" s="15" t="str">
        <x:v>neutral</x:v>
      </x:c>
      <x:c r="E18" s="18" t="n">
        <x:v>0.8670281171798706</x:v>
      </x:c>
      <x:c r="F18" s="15" t="str">
        <x:v>nasdaq says lse offer deadline extended</x:v>
      </x:c>
      <x:c r="G18" s="15" t="str">
        <x:v>Nasdaq, LSE teklif süresinin uzatıldığını söyledi</x:v>
      </x:c>
      <x:c r="H18" s="15" t="n">
        <x:v>0</x:v>
      </x:c>
      <x:c r="I18" s="15" t="str">
        <x:v>neutral</x:v>
      </x:c>
      <x:c r="J18" s="20" t="n">
        <x:v>0.76</x:v>
      </x:c>
      <x:c r="K18" s="15" t="str">
        <x:v>Teklif süresine ilişkin süreç bilgisi; kesin yön sinyali sınırlı.</x:v>
      </x:c>
      <x:c r="L18" s="15" t="str">
        <x:f>IF(D18=I18,"same","different")</x:f>
        <x:v>same</x:v>
      </x:c>
      <x:c r="M18" s="15" t="str"/>
    </x:row>
    <x:row r="19">
      <x:c r="A19" s="15" t="str">
        <x:v>REUTERS_ANN_01718</x:v>
      </x:c>
      <x:c r="B19" s="15" t="str">
        <x:v>2007-03-23</x:v>
      </x:c>
      <x:c r="C19" s="15" t="n">
        <x:v>1</x:v>
      </x:c>
      <x:c r="D19" s="15" t="str">
        <x:v>positive</x:v>
      </x:c>
      <x:c r="E19" s="18" t="n">
        <x:v>0.905449628829956</x:v>
      </x:c>
      <x:c r="F19" s="15" t="str">
        <x:v>ge to buy sanyo credit for $1.1 billion</x:v>
      </x:c>
      <x:c r="G19" s="15" t="str">
        <x:v>GE, Sanyo Credit'i 1,1 milyar dolara satın alacak</x:v>
      </x:c>
      <x:c r="H19" s="15" t="n">
        <x:v>1</x:v>
      </x:c>
      <x:c r="I19" s="15" t="str">
        <x:v>positive</x:v>
      </x:c>
      <x:c r="J19" s="20" t="n">
        <x:v>0.68</x:v>
      </x:c>
      <x:c r="K19" s="15" t="str">
        <x:v>Satın alma büyüme/stratejik genişleme sinyali taşıyor.</x:v>
      </x:c>
      <x:c r="L19" s="15" t="str">
        <x:f>IF(D19=I19,"same","different")</x:f>
        <x:v>same</x:v>
      </x:c>
      <x:c r="M19" s="15" t="str"/>
    </x:row>
    <x:row r="20">
      <x:c r="A20" s="15" t="str">
        <x:v>REUTERS_ANN_01719</x:v>
      </x:c>
      <x:c r="B20" s="15" t="str">
        <x:v>2007-01-19</x:v>
      </x:c>
      <x:c r="C20" s="15" t="n">
        <x:v>-1</x:v>
      </x:c>
      <x:c r="D20" s="15" t="str">
        <x:v>negative</x:v>
      </x:c>
      <x:c r="E20" s="18" t="n">
        <x:v>0.9756021499633788</x:v>
      </x:c>
      <x:c r="F20" s="15" t="str">
        <x:v>krispy kreme posts narrower loss</x:v>
      </x:c>
      <x:c r="G20" s="15" t="str">
        <x:v>Krispy Kreme daha dar zarar açıkladı</x:v>
      </x:c>
      <x:c r="H20" s="15" t="n">
        <x:v>1</x:v>
      </x:c>
      <x:c r="I20" s="15" t="str">
        <x:v>positive</x:v>
      </x:c>
      <x:c r="J20" s="20" t="n">
        <x:v>0.76</x:v>
      </x:c>
      <x:c r="K20" s="15" t="str">
        <x:v>Zararın azalması operasyonel iyileşme işareti.</x:v>
      </x:c>
      <x:c r="L20" s="15" t="str">
        <x:f>IF(D20=I20,"same","different")</x:f>
        <x:v>different</x:v>
      </x:c>
      <x:c r="M20" s="15" t="str">
        <x:v>Kontrol önerilir: FinBERT ve ChatGPT etiketi farklı.</x:v>
      </x:c>
    </x:row>
    <x:row r="21">
      <x:c r="A21" s="15" t="str">
        <x:v>REUTERS_ANN_01720</x:v>
      </x:c>
      <x:c r="B21" s="15" t="str">
        <x:v>2007-02-11</x:v>
      </x:c>
      <x:c r="C21" s="15" t="n">
        <x:v>1</x:v>
      </x:c>
      <x:c r="D21" s="15" t="str">
        <x:v>positive</x:v>
      </x:c>
      <x:c r="E21" s="18" t="n">
        <x:v>0.9380029439926147</x:v>
      </x:c>
      <x:c r="F21" s="15" t="str">
        <x:v>gasoline prices rise to $2.22/gallon survey</x:v>
      </x:c>
      <x:c r="G21" s="15" t="str">
        <x:v>ankete göre benzin fiyatları galon başına 2,22 dolara yükseldi</x:v>
      </x:c>
      <x:c r="H21" s="15" t="n">
        <x:v>-1</x:v>
      </x:c>
      <x:c r="I21" s="15" t="str">
        <x:v>negative</x:v>
      </x:c>
      <x:c r="J21" s="20" t="n">
        <x:v>0.65</x:v>
      </x:c>
      <x:c r="K21" s="15" t="str">
        <x:v>Benzin fiyatlarındaki artış tüketici maliyetleri ve enflasyon baskısı yaratır.</x:v>
      </x:c>
      <x:c r="L21" s="15" t="str">
        <x:f>IF(D21=I21,"same","different")</x:f>
        <x:v>different</x:v>
      </x:c>
      <x:c r="M21" s="15" t="str">
        <x:v>Kontrol önerilir: FinBERT ve ChatGPT etiketi farklı.</x:v>
      </x:c>
    </x:row>
    <x:row r="22">
      <x:c r="A22" s="15" t="str">
        <x:v>REUTERS_ANN_01721</x:v>
      </x:c>
      <x:c r="B22" s="15" t="str">
        <x:v>2007-03-04</x:v>
      </x:c>
      <x:c r="C22" s="15" t="n">
        <x:v>0</x:v>
      </x:c>
      <x:c r="D22" s="15" t="str">
        <x:v>neutral</x:v>
      </x:c>
      <x:c r="E22" s="18" t="n">
        <x:v>0.7497487664222717</x:v>
      </x:c>
      <x:c r="F22" s="15" t="str">
        <x:v>apax in lead for buyout of claires report</x:v>
      </x:c>
      <x:c r="G22" s="15" t="str">
        <x:v>habere göre Apax, Claire's'in satın alınmasında önde</x:v>
      </x:c>
      <x:c r="H22" s="15" t="n">
        <x:v>0</x:v>
      </x:c>
      <x:c r="I22" s="15" t="str">
        <x:v>neutral</x:v>
      </x:c>
      <x:c r="J22" s="20" t="n">
        <x:v>0.66</x:v>
      </x:c>
      <x:c r="K22" s="15" t="str">
        <x:v>Olası satın alma sürecini anlatıyor; kesin sonuç yok.</x:v>
      </x:c>
      <x:c r="L22" s="15" t="str">
        <x:f>IF(D22=I22,"same","different")</x:f>
        <x:v>same</x:v>
      </x:c>
      <x:c r="M22" s="15" t="str"/>
    </x:row>
    <x:row r="23">
      <x:c r="A23" s="15" t="str">
        <x:v>REUTERS_ANN_01722</x:v>
      </x:c>
      <x:c r="B23" s="15" t="str">
        <x:v>2007-04-19</x:v>
      </x:c>
      <x:c r="C23" s="15" t="n">
        <x:v>1</x:v>
      </x:c>
      <x:c r="D23" s="15" t="str">
        <x:v>positive</x:v>
      </x:c>
      <x:c r="E23" s="18" t="n">
        <x:v>0.5362019538879395</x:v>
      </x:c>
      <x:c r="F23" s="15" t="str">
        <x:v>global banks to make wire transfers easier to track</x:v>
      </x:c>
      <x:c r="G23" s="15" t="str">
        <x:v>küresel bankalar para transferlerinin izlenmesini kolaylaştıracak</x:v>
      </x:c>
      <x:c r="H23" s="15" t="n">
        <x:v>1</x:v>
      </x:c>
      <x:c r="I23" s="15" t="str">
        <x:v>positive</x:v>
      </x:c>
      <x:c r="J23" s="20" t="n">
        <x:v>0.65</x:v>
      </x:c>
      <x:c r="K23" s="15" t="str">
        <x:v>Uyum ve takip süreçlerinin güçlenmesi risk azaltıcı olumlu sinyal.</x:v>
      </x:c>
      <x:c r="L23" s="15" t="str">
        <x:f>IF(D23=I23,"same","different")</x:f>
        <x:v>same</x:v>
      </x:c>
      <x:c r="M23" s="15" t="str"/>
    </x:row>
    <x:row r="24">
      <x:c r="A24" s="15" t="str">
        <x:v>REUTERS_ANN_01723</x:v>
      </x:c>
      <x:c r="B24" s="15" t="str">
        <x:v>2007-03-16</x:v>
      </x:c>
      <x:c r="C24" s="15" t="n">
        <x:v>-1</x:v>
      </x:c>
      <x:c r="D24" s="15" t="str">
        <x:v>negative</x:v>
      </x:c>
      <x:c r="E24" s="18" t="n">
        <x:v>0.84714674949646</x:v>
      </x:c>
      <x:c r="F24" s="15" t="str">
        <x:v>u.s. subprime spiral poses biggest investor risk lehman</x:v>
      </x:c>
      <x:c r="G24" s="15" t="str">
        <x:v>Lehman'a göre ABD subprime sarmalı en büyük yatırımcı riski</x:v>
      </x:c>
      <x:c r="H24" s="15" t="n">
        <x:v>-1</x:v>
      </x:c>
      <x:c r="I24" s="15" t="str">
        <x:v>negative</x:v>
      </x:c>
      <x:c r="J24" s="20" t="n">
        <x:v>0.95</x:v>
      </x:c>
      <x:c r="K24" s="15" t="str">
        <x:v>Subprime krizi ve yatırımcı riski açık şekilde olumsuz.</x:v>
      </x:c>
      <x:c r="L24" s="15" t="str">
        <x:f>IF(D24=I24,"same","different")</x:f>
        <x:v>same</x:v>
      </x:c>
      <x:c r="M24" s="15" t="str"/>
    </x:row>
    <x:row r="25">
      <x:c r="A25" s="15" t="str">
        <x:v>REUTERS_ANN_01724</x:v>
      </x:c>
      <x:c r="B25" s="15" t="str">
        <x:v>2007-02-08</x:v>
      </x:c>
      <x:c r="C25" s="15" t="n">
        <x:v>1</x:v>
      </x:c>
      <x:c r="D25" s="15" t="str">
        <x:v>positive</x:v>
      </x:c>
      <x:c r="E25" s="18" t="n">
        <x:v>0.9509602785110474</x:v>
      </x:c>
      <x:c r="F25" s="15" t="str">
        <x:v>disney profit more than doubles on dvds, e sale</x:v>
      </x:c>
      <x:c r="G25" s="15" t="str">
        <x:v>Disney'in kârı DVD ve elektronik satışlarla iki katından fazla arttı</x:v>
      </x:c>
      <x:c r="H25" s="15" t="n">
        <x:v>1</x:v>
      </x:c>
      <x:c r="I25" s="15" t="str">
        <x:v>positive</x:v>
      </x:c>
      <x:c r="J25" s="20" t="n">
        <x:v>0.96</x:v>
      </x:c>
      <x:c r="K25" s="15" t="str">
        <x:v>Kârın iki kattan fazla artması güçlü olumlu performans sinyali.</x:v>
      </x:c>
      <x:c r="L25" s="15" t="str">
        <x:f>IF(D25=I25,"same","different")</x:f>
        <x:v>same</x:v>
      </x:c>
      <x:c r="M25" s="15" t="str"/>
    </x:row>
    <x:row r="26">
      <x:c r="A26" s="15" t="str">
        <x:v>REUTERS_ANN_01725</x:v>
      </x:c>
      <x:c r="B26" s="15" t="str">
        <x:v>2007-03-20</x:v>
      </x:c>
      <x:c r="C26" s="15" t="n">
        <x:v>0</x:v>
      </x:c>
      <x:c r="D26" s="15" t="str">
        <x:v>neutral</x:v>
      </x:c>
      <x:c r="E26" s="18" t="n">
        <x:v>0.7125917673110962</x:v>
      </x:c>
      <x:c r="F26" s="15" t="str">
        <x:v>bae, carlyle bid for uk nuclear dockyard source</x:v>
      </x:c>
      <x:c r="G26" s="15" t="str">
        <x:v>BAE ve Carlyle, İngiltere nükleer tersanesi için teklif verdi - kaynak</x:v>
      </x:c>
      <x:c r="H26" s="15" t="n">
        <x:v>0</x:v>
      </x:c>
      <x:c r="I26" s="15" t="str">
        <x:v>neutral</x:v>
      </x:c>
      <x:c r="J26" s="20" t="n">
        <x:v>0.68</x:v>
      </x:c>
      <x:c r="K26" s="15" t="str">
        <x:v>Satın alma teklifi söylentisi/süreç bilgisi; etkisi belirsiz.</x:v>
      </x:c>
      <x:c r="L26" s="15" t="str">
        <x:f>IF(D26=I26,"same","different")</x:f>
        <x:v>same</x:v>
      </x:c>
      <x:c r="M26" s="15" t="str"/>
    </x:row>
    <x:row r="27">
      <x:c r="A27" s="15" t="str">
        <x:v>REUTERS_ANN_01726</x:v>
      </x:c>
      <x:c r="B27" s="15" t="str">
        <x:v>2007-03-15</x:v>
      </x:c>
      <x:c r="C27" s="15" t="n">
        <x:v>-1</x:v>
      </x:c>
      <x:c r="D27" s="15" t="str">
        <x:v>negative</x:v>
      </x:c>
      <x:c r="E27" s="18" t="n">
        <x:v>0.6609020829200745</x:v>
      </x:c>
      <x:c r="F27" s="15" t="str">
        <x:v>ual chief says industry mergers still possible</x:v>
      </x:c>
      <x:c r="G27" s="15" t="str">
        <x:v>UAL CEO'su sektörde birleşmelerin hâlâ mümkün olduğunu söyledi</x:v>
      </x:c>
      <x:c r="H27" s="15" t="n">
        <x:v>0</x:v>
      </x:c>
      <x:c r="I27" s="15" t="str">
        <x:v>neutral</x:v>
      </x:c>
      <x:c r="J27" s="20" t="n">
        <x:v>0.61</x:v>
      </x:c>
      <x:c r="K27" s="15" t="str">
        <x:v>Genel birleşme olasılığına dair açıklama; somut finansal etki yok.</x:v>
      </x:c>
      <x:c r="L27" s="15" t="str">
        <x:f>IF(D27=I27,"same","different")</x:f>
        <x:v>different</x:v>
      </x:c>
      <x:c r="M27" s="15" t="str">
        <x:v>Kontrol önerilir: FinBERT ve ChatGPT etiketi farklı.</x:v>
      </x:c>
    </x:row>
    <x:row r="28">
      <x:c r="A28" s="15" t="str">
        <x:v>REUTERS_ANN_01727</x:v>
      </x:c>
      <x:c r="B28" s="15" t="str">
        <x:v>2007-05-02</x:v>
      </x:c>
      <x:c r="C28" s="15" t="n">
        <x:v>-1</x:v>
      </x:c>
      <x:c r="D28" s="15" t="str">
        <x:v>negative</x:v>
      </x:c>
      <x:c r="E28" s="18" t="n">
        <x:v>0.9676528573036194</x:v>
      </x:c>
      <x:c r="F28" s="15" t="str">
        <x:v>fresh airbus strikes ahead of shareholder meeting</x:v>
      </x:c>
      <x:c r="G28" s="15" t="str">
        <x:v>Airbus'ta hissedar toplantısı öncesi yeni grevler yaşandı</x:v>
      </x:c>
      <x:c r="H28" s="15" t="n">
        <x:v>-1</x:v>
      </x:c>
      <x:c r="I28" s="15" t="str">
        <x:v>negative</x:v>
      </x:c>
      <x:c r="J28" s="20" t="n">
        <x:v>0.92</x:v>
      </x:c>
      <x:c r="K28" s="15" t="str">
        <x:v>Grevler operasyonel aksama ve iş gücü riski yaratır.</x:v>
      </x:c>
      <x:c r="L28" s="15" t="str">
        <x:f>IF(D28=I28,"same","different")</x:f>
        <x:v>same</x:v>
      </x:c>
      <x:c r="M28" s="15" t="str"/>
    </x:row>
    <x:row r="29">
      <x:c r="A29" s="15" t="str">
        <x:v>REUTERS_ANN_01728</x:v>
      </x:c>
      <x:c r="B29" s="15" t="str">
        <x:v>2007-05-09</x:v>
      </x:c>
      <x:c r="C29" s="15" t="n">
        <x:v>1</x:v>
      </x:c>
      <x:c r="D29" s="15" t="str">
        <x:v>positive</x:v>
      </x:c>
      <x:c r="E29" s="18" t="n">
        <x:v>0.8343344330787659</x:v>
      </x:c>
      <x:c r="F29" s="15" t="str">
        <x:v>countrywide april loans up 11 percent</x:v>
      </x:c>
      <x:c r="G29" s="15" t="str">
        <x:v>Countrywide'ın nisan ayı kredi hacmi yüzde 11 arttı</x:v>
      </x:c>
      <x:c r="H29" s="15" t="n">
        <x:v>1</x:v>
      </x:c>
      <x:c r="I29" s="15" t="str">
        <x:v>positive</x:v>
      </x:c>
      <x:c r="J29" s="20" t="n">
        <x:v>0.8</x:v>
      </x:c>
      <x:c r="K29" s="15" t="str">
        <x:v>Kredi hacminde artış gelir potansiyeli açısından olumlu.</x:v>
      </x:c>
      <x:c r="L29" s="15" t="str">
        <x:f>IF(D29=I29,"same","different")</x:f>
        <x:v>same</x:v>
      </x:c>
      <x:c r="M29" s="15" t="str"/>
    </x:row>
    <x:row r="30">
      <x:c r="A30" s="15" t="str">
        <x:v>REUTERS_ANN_01729</x:v>
      </x:c>
      <x:c r="B30" s="15" t="str">
        <x:v>2007-02-06</x:v>
      </x:c>
      <x:c r="C30" s="15" t="n">
        <x:v>0</x:v>
      </x:c>
      <x:c r="D30" s="15" t="str">
        <x:v>neutral</x:v>
      </x:c>
      <x:c r="E30" s="18" t="n">
        <x:v>0.6274546384811401</x:v>
      </x:c>
      <x:c r="F30" s="15" t="str">
        <x:v>mylan wins u.s. approval for zoloft generic</x:v>
      </x:c>
      <x:c r="G30" s="15" t="str">
        <x:v>Mylan, Zoloft jeneriği için ABD onayı aldı</x:v>
      </x:c>
      <x:c r="H30" s="15" t="n">
        <x:v>1</x:v>
      </x:c>
      <x:c r="I30" s="15" t="str">
        <x:v>positive</x:v>
      </x:c>
      <x:c r="J30" s="20" t="n">
        <x:v>0.85</x:v>
      </x:c>
      <x:c r="K30" s="15" t="str">
        <x:v>Jenerik ilaç onayı satış fırsatı yaratır.</x:v>
      </x:c>
      <x:c r="L30" s="15" t="str">
        <x:f>IF(D30=I30,"same","different")</x:f>
        <x:v>different</x:v>
      </x:c>
      <x:c r="M30" s="15" t="str">
        <x:v>Kontrol önerilir: FinBERT ve ChatGPT etiketi farklı.</x:v>
      </x:c>
    </x:row>
    <x:row r="31">
      <x:c r="A31" s="15" t="str">
        <x:v>REUTERS_ANN_01730</x:v>
      </x:c>
      <x:c r="B31" s="15" t="str">
        <x:v>2007-03-26</x:v>
      </x:c>
      <x:c r="C31" s="15" t="n">
        <x:v>1</x:v>
      </x:c>
      <x:c r="D31" s="15" t="str">
        <x:v>positive</x:v>
      </x:c>
      <x:c r="E31" s="18" t="n">
        <x:v>0.9437342882156372</x:v>
      </x:c>
      <x:c r="F31" s="15" t="str">
        <x:v>alcatel-lucent wins $6 bln verizon wireless deal</x:v>
      </x:c>
      <x:c r="G31" s="15" t="str">
        <x:v>Alcatel-Lucent, Verizon Wireless'tan 6 milyar dolarlık anlaşma kazandı</x:v>
      </x:c>
      <x:c r="H31" s="15" t="n">
        <x:v>1</x:v>
      </x:c>
      <x:c r="I31" s="15" t="str">
        <x:v>positive</x:v>
      </x:c>
      <x:c r="J31" s="20" t="n">
        <x:v>0.95</x:v>
      </x:c>
      <x:c r="K31" s="15" t="str">
        <x:v>Büyük ölçekli sözleşme şirket geliri için güçlü olumlu sinyal.</x:v>
      </x:c>
      <x:c r="L31" s="15" t="str">
        <x:f>IF(D31=I31,"same","different")</x:f>
        <x:v>same</x:v>
      </x:c>
      <x:c r="M31" s="15" t="str"/>
    </x:row>
    <x:row r="32">
      <x:c r="A32" s="15" t="str">
        <x:v>REUTERS_ANN_01731</x:v>
      </x:c>
      <x:c r="B32" s="15" t="str">
        <x:v>2007-03-22</x:v>
      </x:c>
      <x:c r="C32" s="15" t="n">
        <x:v>0</x:v>
      </x:c>
      <x:c r="D32" s="15" t="str">
        <x:v>neutral</x:v>
      </x:c>
      <x:c r="E32" s="18" t="n">
        <x:v>0.8833027482032776</x:v>
      </x:c>
      <x:c r="F32" s="15" t="str">
        <x:v>bush to meet with detroit carmakers next week</x:v>
      </x:c>
      <x:c r="G32" s="15" t="str">
        <x:v>Bush gelecek hafta Detroit otomobil üreticileriyle görüşecek</x:v>
      </x:c>
      <x:c r="H32" s="15" t="n">
        <x:v>0</x:v>
      </x:c>
      <x:c r="I32" s="15" t="str">
        <x:v>neutral</x:v>
      </x:c>
      <x:c r="J32" s="20" t="n">
        <x:v>0.7</x:v>
      </x:c>
      <x:c r="K32" s="15" t="str">
        <x:v>Politik/görüşme takvimi haberi; finansal sonuç belirsiz.</x:v>
      </x:c>
      <x:c r="L32" s="15" t="str">
        <x:f>IF(D32=I32,"same","different")</x:f>
        <x:v>same</x:v>
      </x:c>
      <x:c r="M32" s="15" t="str"/>
    </x:row>
    <x:row r="33">
      <x:c r="A33" s="15" t="str">
        <x:v>REUTERS_ANN_01732</x:v>
      </x:c>
      <x:c r="B33" s="15" t="str">
        <x:v>2007-05-01</x:v>
      </x:c>
      <x:c r="C33" s="15" t="n">
        <x:v>1</x:v>
      </x:c>
      <x:c r="D33" s="15" t="str">
        <x:v>positive</x:v>
      </x:c>
      <x:c r="E33" s="18" t="n">
        <x:v>0.950090765953064</x:v>
      </x:c>
      <x:c r="F33" s="15" t="str">
        <x:v>chryslers u.s. sales up 2 percent</x:v>
      </x:c>
      <x:c r="G33" s="15" t="str">
        <x:v>Chrysler'ın ABD satışları yüzde 2 arttı</x:v>
      </x:c>
      <x:c r="H33" s="15" t="n">
        <x:v>1</x:v>
      </x:c>
      <x:c r="I33" s="15" t="str">
        <x:v>positive</x:v>
      </x:c>
      <x:c r="J33" s="20" t="n">
        <x:v>0.84</x:v>
      </x:c>
      <x:c r="K33" s="15" t="str">
        <x:v>Satış artışı şirket performansı açısından olumlu.</x:v>
      </x:c>
      <x:c r="L33" s="15" t="str">
        <x:f>IF(D33=I33,"same","different")</x:f>
        <x:v>same</x:v>
      </x:c>
      <x:c r="M33" s="15" t="str"/>
    </x:row>
    <x:row r="34">
      <x:c r="A34" s="15" t="str">
        <x:v>REUTERS_ANN_01733</x:v>
      </x:c>
      <x:c r="B34" s="15" t="str">
        <x:v>2007-02-06</x:v>
      </x:c>
      <x:c r="C34" s="15" t="n">
        <x:v>-1</x:v>
      </x:c>
      <x:c r="D34" s="15" t="str">
        <x:v>negative</x:v>
      </x:c>
      <x:c r="E34" s="18" t="n">
        <x:v>0.9763067364692688</x:v>
      </x:c>
      <x:c r="F34" s="15" t="str">
        <x:v>duke energy earnings fall</x:v>
      </x:c>
      <x:c r="G34" s="15" t="str">
        <x:v>Duke Energy'nin kârı düştü</x:v>
      </x:c>
      <x:c r="H34" s="15" t="n">
        <x:v>-1</x:v>
      </x:c>
      <x:c r="I34" s="15" t="str">
        <x:v>negative</x:v>
      </x:c>
      <x:c r="J34" s="20" t="n">
        <x:v>0.94</x:v>
      </x:c>
      <x:c r="K34" s="15" t="str">
        <x:v>Kâr düşüşü olumsuz finansal performans gösterir.</x:v>
      </x:c>
      <x:c r="L34" s="15" t="str">
        <x:f>IF(D34=I34,"same","different")</x:f>
        <x:v>same</x:v>
      </x:c>
      <x:c r="M34" s="15" t="str"/>
    </x:row>
    <x:row r="35">
      <x:c r="A35" s="15" t="str">
        <x:v>REUTERS_ANN_01734</x:v>
      </x:c>
      <x:c r="B35" s="15" t="str">
        <x:v>2007-01-24</x:v>
      </x:c>
      <x:c r="C35" s="15" t="n">
        <x:v>1</x:v>
      </x:c>
      <x:c r="D35" s="15" t="str">
        <x:v>positive</x:v>
      </x:c>
      <x:c r="E35" s="18" t="n">
        <x:v>0.8496459722518921</x:v>
      </x:c>
      <x:c r="F35" s="15" t="str">
        <x:v>exclusive-myspace to speed overseas expansion in 07</x:v>
      </x:c>
      <x:c r="G35" s="15" t="str">
        <x:v>özel haber: MySpace 2007'de yurt dışı büyümesini hızlandıracak</x:v>
      </x:c>
      <x:c r="H35" s="15" t="n">
        <x:v>1</x:v>
      </x:c>
      <x:c r="I35" s="15" t="str">
        <x:v>positive</x:v>
      </x:c>
      <x:c r="J35" s="20" t="n">
        <x:v>0.82</x:v>
      </x:c>
      <x:c r="K35" s="15" t="str">
        <x:v>Yurt dışı genişleme büyüme beklentisi yaratır.</x:v>
      </x:c>
      <x:c r="L35" s="15" t="str">
        <x:f>IF(D35=I35,"same","different")</x:f>
        <x:v>same</x:v>
      </x:c>
      <x:c r="M35" s="15" t="str"/>
    </x:row>
    <x:row r="36">
      <x:c r="A36" s="15" t="str">
        <x:v>REUTERS_ANN_01735</x:v>
      </x:c>
      <x:c r="B36" s="15" t="str">
        <x:v>2006-11-30</x:v>
      </x:c>
      <x:c r="C36" s="15" t="n">
        <x:v>1</x:v>
      </x:c>
      <x:c r="D36" s="15" t="str">
        <x:v>positive</x:v>
      </x:c>
      <x:c r="E36" s="18" t="n">
        <x:v>0.9053024649620056</x:v>
      </x:c>
      <x:c r="F36" s="15" t="str">
        <x:v>gold and silver rally as dollar ails</x:v>
      </x:c>
      <x:c r="G36" s="15" t="str">
        <x:v>altın ve gümüş, zayıf dolar nedeniyle yükseldi</x:v>
      </x:c>
      <x:c r="H36" s="15" t="n">
        <x:v>1</x:v>
      </x:c>
      <x:c r="I36" s="15" t="str">
        <x:v>positive</x:v>
      </x:c>
      <x:c r="J36" s="20" t="n">
        <x:v>0.81</x:v>
      </x:c>
      <x:c r="K36" s="15" t="str">
        <x:v>Emtia fiyatlarında yükseliş ilgili varlıklar için olumlu piyasa sinyali.</x:v>
      </x:c>
      <x:c r="L36" s="15" t="str">
        <x:f>IF(D36=I36,"same","different")</x:f>
        <x:v>same</x:v>
      </x:c>
      <x:c r="M36" s="15" t="str"/>
    </x:row>
    <x:row r="37">
      <x:c r="A37" s="15" t="str">
        <x:v>REUTERS_ANN_01736</x:v>
      </x:c>
      <x:c r="B37" s="15" t="str">
        <x:v>2007-02-07</x:v>
      </x:c>
      <x:c r="C37" s="15" t="n">
        <x:v>0</x:v>
      </x:c>
      <x:c r="D37" s="15" t="str">
        <x:v>neutral</x:v>
      </x:c>
      <x:c r="E37" s="18" t="n">
        <x:v>0.8584877848625183</x:v>
      </x:c>
      <x:c r="F37" s="15" t="str">
        <x:v>u.s. companies prepare for bird flu pandemic</x:v>
      </x:c>
      <x:c r="G37" s="15" t="str">
        <x:v>ABD şirketleri kuş gribi pandemisine hazırlanıyor</x:v>
      </x:c>
      <x:c r="H37" s="15" t="n">
        <x:v>0</x:v>
      </x:c>
      <x:c r="I37" s="15" t="str">
        <x:v>neutral</x:v>
      </x:c>
      <x:c r="J37" s="20" t="n">
        <x:v>0.68</x:v>
      </x:c>
      <x:c r="K37" s="15" t="str">
        <x:v>Risk hazırlığını anlatıyor; doğrudan şirket değeri yönü yok.</x:v>
      </x:c>
      <x:c r="L37" s="15" t="str">
        <x:f>IF(D37=I37,"same","different")</x:f>
        <x:v>same</x:v>
      </x:c>
      <x:c r="M37" s="15" t="str"/>
    </x:row>
    <x:row r="38">
      <x:c r="A38" s="15" t="str">
        <x:v>REUTERS_ANN_01737</x:v>
      </x:c>
      <x:c r="B38" s="15" t="str">
        <x:v>2007-04-23</x:v>
      </x:c>
      <x:c r="C38" s="15" t="n">
        <x:v>1</x:v>
      </x:c>
      <x:c r="D38" s="15" t="str">
        <x:v>positive</x:v>
      </x:c>
      <x:c r="E38" s="18" t="n">
        <x:v>0.9390564560890198</x:v>
      </x:c>
      <x:c r="F38" s="15" t="str">
        <x:v>barclays agrees to buy abn for $91 billion</x:v>
      </x:c>
      <x:c r="G38" s="15" t="str">
        <x:v>Barclays, ABN'yi 91 milyar dolara satın almayı kabul etti</x:v>
      </x:c>
      <x:c r="H38" s="15" t="n">
        <x:v>1</x:v>
      </x:c>
      <x:c r="I38" s="15" t="str">
        <x:v>positive</x:v>
      </x:c>
      <x:c r="J38" s="20" t="n">
        <x:v>0.8</x:v>
      </x:c>
      <x:c r="K38" s="15" t="str">
        <x:v>Büyük birleşme anlaşması anlaşma tarafları için pozitif stratejik sinyal.</x:v>
      </x:c>
      <x:c r="L38" s="15" t="str">
        <x:f>IF(D38=I38,"same","different")</x:f>
        <x:v>same</x:v>
      </x:c>
      <x:c r="M38" s="15" t="str"/>
    </x:row>
    <x:row r="39">
      <x:c r="A39" s="15" t="str">
        <x:v>REUTERS_ANN_01738</x:v>
      </x:c>
      <x:c r="B39" s="15" t="str">
        <x:v>2006-11-21</x:v>
      </x:c>
      <x:c r="C39" s="15" t="n">
        <x:v>0</x:v>
      </x:c>
      <x:c r="D39" s="15" t="str">
        <x:v>neutral</x:v>
      </x:c>
      <x:c r="E39" s="18" t="n">
        <x:v>0.4779979586601257</x:v>
      </x:c>
      <x:c r="F39" s="15" t="str">
        <x:v>some consumers plan leaner holidays study</x:v>
      </x:c>
      <x:c r="G39" s="15" t="str">
        <x:v>bazı tüketiciler daha kısıtlı tatil harcaması planlıyor - araştırma</x:v>
      </x:c>
      <x:c r="H39" s="15" t="n">
        <x:v>-1</x:v>
      </x:c>
      <x:c r="I39" s="15" t="str">
        <x:v>negative</x:v>
      </x:c>
      <x:c r="J39" s="20" t="n">
        <x:v>0.78</x:v>
      </x:c>
      <x:c r="K39" s="15" t="str">
        <x:v>Daha düşük tüketici harcaması perakende/ekonomi için olumsuz.</x:v>
      </x:c>
      <x:c r="L39" s="15" t="str">
        <x:f>IF(D39=I39,"same","different")</x:f>
        <x:v>different</x:v>
      </x:c>
      <x:c r="M39" s="15" t="str">
        <x:v>Kontrol önerilir: FinBERT ve ChatGPT etiketi farklı.</x:v>
      </x:c>
    </x:row>
    <x:row r="40">
      <x:c r="A40" s="15" t="str">
        <x:v>REUTERS_ANN_01739</x:v>
      </x:c>
      <x:c r="B40" s="15" t="str">
        <x:v>2007-03-05</x:v>
      </x:c>
      <x:c r="C40" s="15" t="n">
        <x:v>-1</x:v>
      </x:c>
      <x:c r="D40" s="15" t="str">
        <x:v>negative</x:v>
      </x:c>
      <x:c r="E40" s="18" t="n">
        <x:v>0.863210141658783</x:v>
      </x:c>
      <x:c r="F40" s="15" t="str">
        <x:v>white house declines comment on stock market drop</x:v>
      </x:c>
      <x:c r="G40" s="15" t="str">
        <x:v>Beyaz Saray borsadaki düşüş hakkında yorum yapmadı</x:v>
      </x:c>
      <x:c r="H40" s="15" t="n">
        <x:v>-1</x:v>
      </x:c>
      <x:c r="I40" s="15" t="str">
        <x:v>negative</x:v>
      </x:c>
      <x:c r="J40" s="20" t="n">
        <x:v>0.83</x:v>
      </x:c>
      <x:c r="K40" s="15" t="str">
        <x:v>Başlık borsa düşüşünü vurguluyor; piyasa açısından olumsuz.</x:v>
      </x:c>
      <x:c r="L40" s="15" t="str">
        <x:f>IF(D40=I40,"same","different")</x:f>
        <x:v>same</x:v>
      </x:c>
      <x:c r="M40" s="15" t="str"/>
    </x:row>
    <x:row r="41">
      <x:c r="A41" s="15" t="str">
        <x:v>REUTERS_ANN_01740</x:v>
      </x:c>
      <x:c r="B41" s="15" t="str">
        <x:v>2006-10-21</x:v>
      </x:c>
      <x:c r="C41" s="15" t="n">
        <x:v>-1</x:v>
      </x:c>
      <x:c r="D41" s="15" t="str">
        <x:v>negative</x:v>
      </x:c>
      <x:c r="E41" s="18" t="n">
        <x:v>0.9675255417823792</x:v>
      </x:c>
      <x:c r="F41" s="15" t="str">
        <x:v>aol ceo says sales may shrink for two years -paper</x:v>
      </x:c>
      <x:c r="G41" s="15" t="str">
        <x:v>AOL CEO'su satışların iki yıl küçülebileceğini söyledi - gazete</x:v>
      </x:c>
      <x:c r="H41" s="15" t="n">
        <x:v>-1</x:v>
      </x:c>
      <x:c r="I41" s="15" t="str">
        <x:v>negative</x:v>
      </x:c>
      <x:c r="J41" s="20" t="n">
        <x:v>0.95</x:v>
      </x:c>
      <x:c r="K41" s="15" t="str">
        <x:v>Satışlarda uzun süreli daralma beklentisi açık olumsuz sinyal.</x:v>
      </x:c>
      <x:c r="L41" s="15" t="str">
        <x:f>IF(D41=I41,"same","different")</x:f>
        <x:v>same</x:v>
      </x:c>
      <x:c r="M41" s="15" t="str"/>
    </x:row>
    <x:row r="42">
      <x:c r="A42" s="15" t="str">
        <x:v>REUTERS_ANN_01741</x:v>
      </x:c>
      <x:c r="B42" s="15" t="str">
        <x:v>2007-02-22</x:v>
      </x:c>
      <x:c r="C42" s="15" t="n">
        <x:v>-1</x:v>
      </x:c>
      <x:c r="D42" s="15" t="str">
        <x:v>negative</x:v>
      </x:c>
      <x:c r="E42" s="18" t="n">
        <x:v>0.862305760383606</x:v>
      </x:c>
      <x:c r="F42" s="15" t="str">
        <x:v>mass. bill would make retailers pay for data leaks</x:v>
      </x:c>
      <x:c r="G42" s="15" t="str">
        <x:v>Massachusetts tasarısı, veri sızıntıları için perakendecilere ödeme yükümlülüğü getirebilir</x:v>
      </x:c>
      <x:c r="H42" s="15" t="n">
        <x:v>-1</x:v>
      </x:c>
      <x:c r="I42" s="15" t="str">
        <x:v>negative</x:v>
      </x:c>
      <x:c r="J42" s="20" t="n">
        <x:v>0.82</x:v>
      </x:c>
      <x:c r="K42" s="15" t="str">
        <x:v>Yeni düzenleme maliyet ve sorumluluk riski yaratır.</x:v>
      </x:c>
      <x:c r="L42" s="15" t="str">
        <x:f>IF(D42=I42,"same","different")</x:f>
        <x:v>same</x:v>
      </x:c>
      <x:c r="M42" s="15" t="str"/>
    </x:row>
    <x:row r="43">
      <x:c r="A43" s="15" t="str">
        <x:v>REUTERS_ANN_01742</x:v>
      </x:c>
      <x:c r="B43" s="15" t="str">
        <x:v>2006-12-27</x:v>
      </x:c>
      <x:c r="C43" s="15" t="n">
        <x:v>1</x:v>
      </x:c>
      <x:c r="D43" s="15" t="str">
        <x:v>positive</x:v>
      </x:c>
      <x:c r="E43" s="18" t="n">
        <x:v>0.501085638999939</x:v>
      </x:c>
      <x:c r="F43" s="15" t="str">
        <x:v>essar bids to buy out hutchison paper</x:v>
      </x:c>
      <x:c r="G43" s="15" t="str">
        <x:v>Essar, Hutchison'ı satın almak için teklif verdi - gazete</x:v>
      </x:c>
      <x:c r="H43" s="15" t="n">
        <x:v>1</x:v>
      </x:c>
      <x:c r="I43" s="15" t="str">
        <x:v>positive</x:v>
      </x:c>
      <x:c r="J43" s="20" t="n">
        <x:v>0.7</x:v>
      </x:c>
      <x:c r="K43" s="15" t="str">
        <x:v>Satın alma teklifi büyüme ve anlaşma beklentisi yaratır.</x:v>
      </x:c>
      <x:c r="L43" s="15" t="str">
        <x:f>IF(D43=I43,"same","different")</x:f>
        <x:v>same</x:v>
      </x:c>
      <x:c r="M43" s="15" t="str"/>
    </x:row>
    <x:row r="44">
      <x:c r="A44" s="15" t="str">
        <x:v>REUTERS_ANN_01743</x:v>
      </x:c>
      <x:c r="B44" s="15" t="str">
        <x:v>2007-02-28</x:v>
      </x:c>
      <x:c r="C44" s="15" t="n">
        <x:v>0</x:v>
      </x:c>
      <x:c r="D44" s="15" t="str">
        <x:v>neutral</x:v>
      </x:c>
      <x:c r="E44" s="18" t="n">
        <x:v>0.6029237508773804</x:v>
      </x:c>
      <x:c r="F44" s="15" t="str">
        <x:v>white house says u.s. economic fundamentals strong</x:v>
      </x:c>
      <x:c r="G44" s="15" t="str">
        <x:v>Beyaz Saray ABD ekonomik temellerinin güçlü olduğunu söyledi</x:v>
      </x:c>
      <x:c r="H44" s="15" t="n">
        <x:v>1</x:v>
      </x:c>
      <x:c r="I44" s="15" t="str">
        <x:v>positive</x:v>
      </x:c>
      <x:c r="J44" s="20" t="n">
        <x:v>0.72</x:v>
      </x:c>
      <x:c r="K44" s="15" t="str">
        <x:v>Ekonomik temellerin güçlü olduğu mesajı olumlu makro sinyal.</x:v>
      </x:c>
      <x:c r="L44" s="15" t="str">
        <x:f>IF(D44=I44,"same","different")</x:f>
        <x:v>different</x:v>
      </x:c>
      <x:c r="M44" s="15" t="str">
        <x:v>Kontrol önerilir: FinBERT ve ChatGPT etiketi farklı.</x:v>
      </x:c>
    </x:row>
    <x:row r="45">
      <x:c r="A45" s="15" t="str">
        <x:v>REUTERS_ANN_01744</x:v>
      </x:c>
      <x:c r="B45" s="15" t="str">
        <x:v>2007-04-12</x:v>
      </x:c>
      <x:c r="C45" s="15" t="n">
        <x:v>1</x:v>
      </x:c>
      <x:c r="D45" s="15" t="str">
        <x:v>positive</x:v>
      </x:c>
      <x:c r="E45" s="18" t="n">
        <x:v>0.9132538437843324</x:v>
      </x:c>
      <x:c r="F45" s="15" t="str">
        <x:v>nestle confirms $5.5 bln gerber buy from novartis</x:v>
      </x:c>
      <x:c r="G45" s="15" t="str">
        <x:v>Nestle, Novartis'ten Gerber'i 5,5 milyar dolara alacağını doğruladı</x:v>
      </x:c>
      <x:c r="H45" s="15" t="n">
        <x:v>1</x:v>
      </x:c>
      <x:c r="I45" s="15" t="str">
        <x:v>positive</x:v>
      </x:c>
      <x:c r="J45" s="20" t="n">
        <x:v>0.75</x:v>
      </x:c>
      <x:c r="K45" s="15" t="str">
        <x:v>Stratejik satın alma büyüme fırsatı sunuyor.</x:v>
      </x:c>
      <x:c r="L45" s="15" t="str">
        <x:f>IF(D45=I45,"same","different")</x:f>
        <x:v>same</x:v>
      </x:c>
      <x:c r="M45" s="15" t="str"/>
    </x:row>
    <x:row r="46">
      <x:c r="A46" s="15" t="str">
        <x:v>REUTERS_ANN_01745</x:v>
      </x:c>
      <x:c r="B46" s="15" t="str">
        <x:v>2006-12-01</x:v>
      </x:c>
      <x:c r="C46" s="15" t="n">
        <x:v>-1</x:v>
      </x:c>
      <x:c r="D46" s="15" t="str">
        <x:v>negative</x:v>
      </x:c>
      <x:c r="E46" s="18" t="n">
        <x:v>0.4866162240505218</x:v>
      </x:c>
      <x:c r="F46" s="15" t="str">
        <x:v>gm to seek more cost cuts, including labor report</x:v>
      </x:c>
      <x:c r="G46" s="15" t="str">
        <x:v>GM daha fazla maliyet indirimi, işçilik dahil, arayacak - haber</x:v>
      </x:c>
      <x:c r="H46" s="15" t="n">
        <x:v>-1</x:v>
      </x:c>
      <x:c r="I46" s="15" t="str">
        <x:v>negative</x:v>
      </x:c>
      <x:c r="J46" s="20" t="n">
        <x:v>0.75</x:v>
      </x:c>
      <x:c r="K46" s="15" t="str">
        <x:v>Ek maliyet kesintisi ihtiyacı operasyonel baskıyı gösterir.</x:v>
      </x:c>
      <x:c r="L46" s="15" t="str">
        <x:f>IF(D46=I46,"same","different")</x:f>
        <x:v>same</x:v>
      </x:c>
      <x:c r="M46" s="15" t="str"/>
    </x:row>
    <x:row r="47">
      <x:c r="A47" s="15" t="str">
        <x:v>REUTERS_ANN_01746</x:v>
      </x:c>
      <x:c r="B47" s="15" t="str">
        <x:v>2007-04-24</x:v>
      </x:c>
      <x:c r="C47" s="15" t="n">
        <x:v>-1</x:v>
      </x:c>
      <x:c r="D47" s="15" t="str">
        <x:v>negative</x:v>
      </x:c>
      <x:c r="E47" s="18" t="n">
        <x:v>0.9706130623817444</x:v>
      </x:c>
      <x:c r="F47" s="15" t="str">
        <x:v>att profit doubles, but wireless growth lags</x:v>
      </x:c>
      <x:c r="G47" s="15" t="str">
        <x:v>AT&amp;T kârı ikiye katlandı, ancak kablosuz büyüme geride kaldı</x:v>
      </x:c>
      <x:c r="H47" s="15" t="n">
        <x:v>1</x:v>
      </x:c>
      <x:c r="I47" s="15" t="str">
        <x:v>positive</x:v>
      </x:c>
      <x:c r="J47" s="20" t="n">
        <x:v>0.64</x:v>
      </x:c>
      <x:c r="K47" s="15" t="str">
        <x:v>Karışık olsa da kârın ikiye katlanması baskın olumlu finansal sinyal.</x:v>
      </x:c>
      <x:c r="L47" s="15" t="str">
        <x:f>IF(D47=I47,"same","different")</x:f>
        <x:v>different</x:v>
      </x:c>
      <x:c r="M47" s="15" t="str">
        <x:v>Kontrol önerilir: FinBERT ve ChatGPT etiketi farklı.</x:v>
      </x:c>
    </x:row>
    <x:row r="48">
      <x:c r="A48" s="15" t="str">
        <x:v>REUTERS_ANN_01747</x:v>
      </x:c>
      <x:c r="B48" s="15" t="str">
        <x:v>2007-04-13</x:v>
      </x:c>
      <x:c r="C48" s="15" t="n">
        <x:v>0</x:v>
      </x:c>
      <x:c r="D48" s="15" t="str">
        <x:v>neutral</x:v>
      </x:c>
      <x:c r="E48" s="18" t="n">
        <x:v>0.9490424394607544</x:v>
      </x:c>
      <x:c r="F48" s="15" t="str">
        <x:v>philips to take over u.s. peripherals maker dlo</x:v>
      </x:c>
      <x:c r="G48" s="15" t="str">
        <x:v>Philips ABD'li çevre birimi üreticisi DLO'yu devralacak</x:v>
      </x:c>
      <x:c r="H48" s="15" t="n">
        <x:v>1</x:v>
      </x:c>
      <x:c r="I48" s="15" t="str">
        <x:v>positive</x:v>
      </x:c>
      <x:c r="J48" s="20" t="n">
        <x:v>0.66</x:v>
      </x:c>
      <x:c r="K48" s="15" t="str">
        <x:v>Satın alma şirketin ürün/operasyon genişlemesini gösterir.</x:v>
      </x:c>
      <x:c r="L48" s="15" t="str">
        <x:f>IF(D48=I48,"same","different")</x:f>
        <x:v>different</x:v>
      </x:c>
      <x:c r="M48" s="15" t="str">
        <x:v>Kontrol önerilir: FinBERT ve ChatGPT etiketi farklı.</x:v>
      </x:c>
    </x:row>
    <x:row r="49">
      <x:c r="A49" s="15" t="str">
        <x:v>REUTERS_ANN_01748</x:v>
      </x:c>
      <x:c r="B49" s="15" t="str">
        <x:v>2006-12-18</x:v>
      </x:c>
      <x:c r="C49" s="15" t="n">
        <x:v>0</x:v>
      </x:c>
      <x:c r="D49" s="15" t="str">
        <x:v>neutral</x:v>
      </x:c>
      <x:c r="E49" s="18" t="n">
        <x:v>0.892920732498169</x:v>
      </x:c>
      <x:c r="F49" s="15" t="str">
        <x:v>home depot faces shareholder proposal on strategy</x:v>
      </x:c>
      <x:c r="G49" s="15" t="str">
        <x:v>Home Depot strateji konusunda hissedar önerisiyle karşı karşıya</x:v>
      </x:c>
      <x:c r="H49" s="15" t="n">
        <x:v>0</x:v>
      </x:c>
      <x:c r="I49" s="15" t="str">
        <x:v>neutral</x:v>
      </x:c>
      <x:c r="J49" s="20" t="n">
        <x:v>0.6</x:v>
      </x:c>
      <x:c r="K49" s="15" t="str">
        <x:v>Hissedar önerisi yönetim süreciyle ilgili; yön etkisi net değil.</x:v>
      </x:c>
      <x:c r="L49" s="15" t="str">
        <x:f>IF(D49=I49,"same","different")</x:f>
        <x:v>same</x:v>
      </x:c>
      <x:c r="M49" s="15" t="str"/>
    </x:row>
    <x:row r="50">
      <x:c r="A50" s="15" t="str">
        <x:v>REUTERS_ANN_01749</x:v>
      </x:c>
      <x:c r="B50" s="15" t="str">
        <x:v>2006-11-08</x:v>
      </x:c>
      <x:c r="C50" s="15" t="n">
        <x:v>1</x:v>
      </x:c>
      <x:c r="D50" s="15" t="str">
        <x:v>positive</x:v>
      </x:c>
      <x:c r="E50" s="18" t="n">
        <x:v>0.9444611668586732</x:v>
      </x:c>
      <x:c r="F50" s="15" t="str">
        <x:v>home loan demand rises as refinancing surges</x:v>
      </x:c>
      <x:c r="G50" s="15" t="str">
        <x:v>konut kredisi talebi yeniden finansman artışıyla yükseldi</x:v>
      </x:c>
      <x:c r="H50" s="15" t="n">
        <x:v>1</x:v>
      </x:c>
      <x:c r="I50" s="15" t="str">
        <x:v>positive</x:v>
      </x:c>
      <x:c r="J50" s="20" t="n">
        <x:v>0.82</x:v>
      </x:c>
      <x:c r="K50" s="15" t="str">
        <x:v>Konut kredisi talebindeki artış finansal aktivite için olumlu.</x:v>
      </x:c>
      <x:c r="L50" s="15" t="str">
        <x:f>IF(D50=I50,"same","different")</x:f>
        <x:v>same</x:v>
      </x:c>
      <x:c r="M50" s="15" t="str"/>
    </x:row>
    <x:row r="51">
      <x:c r="A51" s="15" t="str">
        <x:v>REUTERS_ANN_01750</x:v>
      </x:c>
      <x:c r="B51" s="15" t="str">
        <x:v>2007-01-16</x:v>
      </x:c>
      <x:c r="C51" s="15" t="n">
        <x:v>-1</x:v>
      </x:c>
      <x:c r="D51" s="15" t="str">
        <x:v>negative</x:v>
      </x:c>
      <x:c r="E51" s="18" t="n">
        <x:v>0.7875442504882812</x:v>
      </x:c>
      <x:c r="F51" s="15" t="str">
        <x:v>fire out at calif. chevron refinery 9 hrs later</x:v>
      </x:c>
      <x:c r="G51" s="15" t="str">
        <x:v>Kaliforniya Chevron rafinerisindeki yangın 9 saat sonra söndürüldü</x:v>
      </x:c>
      <x:c r="H51" s="15" t="n">
        <x:v>0</x:v>
      </x:c>
      <x:c r="I51" s="15" t="str">
        <x:v>neutral</x:v>
      </x:c>
      <x:c r="J51" s="20" t="n">
        <x:v>0.58</x:v>
      </x:c>
      <x:c r="K51" s="15" t="str">
        <x:v>Yangının söndürülmesi olumlu olsa da başlık olay etkisini netleştirmiyor; nötr bırakıldı.</x:v>
      </x:c>
      <x:c r="L51" s="15" t="str">
        <x:f>IF(D51=I51,"same","different")</x:f>
        <x:v>different</x:v>
      </x:c>
      <x:c r="M51" s="15" t="str">
        <x:v>Kontrol önerilir: FinBERT ve ChatGPT etiketi farklı.</x:v>
      </x:c>
    </x:row>
  </x:sheetData>
  <x:conditionalFormatting sqref="D2:D51">
    <x:cfRule type="expression" dxfId="0" priority="1">
      <x:formula>$D2="positive"</x:formula>
    </x:cfRule>
    <x:cfRule type="expression" dxfId="1" priority="2">
      <x:formula>$D2="negative"</x:formula>
    </x:cfRule>
    <x:cfRule type="expression" dxfId="2" priority="3">
      <x:formula>$D2="neutral"</x:formula>
    </x:cfRule>
  </x:conditionalFormatting>
  <x:conditionalFormatting sqref="I2:I51">
    <x:cfRule type="expression" dxfId="3" priority="4">
      <x:formula>$I2="positive"</x:formula>
    </x:cfRule>
    <x:cfRule type="expression" dxfId="4" priority="5">
      <x:formula>$I2="negative"</x:formula>
    </x:cfRule>
    <x:cfRule type="expression" dxfId="5" priority="6">
      <x:formula>$I2="neutral"</x:formula>
    </x:cfRule>
  </x:conditionalFormatting>
  <x:conditionalFormatting sqref="L2:L51">
    <x:cfRule type="expression" dxfId="6" priority="7">
      <x:formula>L2="different"</x:formula>
    </x:cfRule>
    <x:cfRule type="expression" dxfId="7" priority="8">
      <x:formula>L2="same"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2fd9d9d26144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18" hidden="0" customWidth="1"/>
    <x:col min="5" max="5" width="18" hidden="0" customWidth="1"/>
  </x:cols>
  <x:sheetData>
    <x:row r="1">
      <x:c r="A1" s="4" t="str">
        <x:v>REUTERS Annotation Batch</x:v>
      </x:c>
      <x:c r="B1" s="4" t="str">
        <x:v>035</x:v>
      </x:c>
      <x:c r="D1" s="3" t="str">
        <x:v>Label</x:v>
      </x:c>
      <x:c r="E1" s="3" t="str">
        <x:v>Count</x:v>
      </x:c>
    </x:row>
    <x:row r="2">
      <x:c r="A2" s="12" t="str">
        <x:v>Rows</x:v>
      </x:c>
      <x:c r="B2" s="12" t="str">
        <x:v>1700 - 1749</x:v>
      </x:c>
      <x:c r="D2" t="str">
        <x:v>positive</x:v>
      </x:c>
      <x:c r="E2" t="n">
        <x:f>B7</x:f>
        <x:v>22</x:v>
      </x:c>
    </x:row>
    <x:row r="3">
      <x:c r="A3" s="12" t="str">
        <x:v>Source file</x:v>
      </x:c>
      <x:c r="B3" s="12" t="str">
        <x:v>Pasted text(72).txt</x:v>
      </x:c>
      <x:c r="D3" t="str">
        <x:v>neutral</x:v>
      </x:c>
      <x:c r="E3" t="n">
        <x:f>B8</x:f>
        <x:v>14</x:v>
      </x:c>
    </x:row>
    <x:row r="4">
      <x:c r="A4" s="12" t="str">
        <x:v>Total rows</x:v>
      </x:c>
      <x:c r="B4" s="12" t="n">
        <x:f>COUNTA(annotations!A2:A51)</x:f>
        <x:v>50</x:v>
      </x:c>
      <x:c r="D4" t="str">
        <x:v>negative</x:v>
      </x:c>
      <x:c r="E4" t="n">
        <x:f>B9</x:f>
        <x:v>14</x:v>
      </x:c>
    </x:row>
    <x:row r="5">
      <x:c r="A5" s="12" t="str"/>
      <x:c r="B5" s="12" t="str"/>
    </x:row>
    <x:row r="6">
      <x:c r="A6" s="4" t="str">
        <x:v>Metric</x:v>
      </x:c>
      <x:c r="B6" s="4" t="str">
        <x:v>Value</x:v>
      </x:c>
    </x:row>
    <x:row r="7">
      <x:c r="A7" s="12" t="str">
        <x:v>ChatGPT positive</x:v>
      </x:c>
      <x:c r="B7" s="12" t="n">
        <x:f>COUNTIF(annotations!I2:I51,"positive")</x:f>
        <x:v>22</x:v>
      </x:c>
    </x:row>
    <x:row r="8">
      <x:c r="A8" s="12" t="str">
        <x:v>ChatGPT neutral</x:v>
      </x:c>
      <x:c r="B8" s="12" t="n">
        <x:f>COUNTIF(annotations!I2:I51,"neutral")</x:f>
        <x:v>14</x:v>
      </x:c>
    </x:row>
    <x:row r="9">
      <x:c r="A9" s="12" t="str">
        <x:v>ChatGPT negative</x:v>
      </x:c>
      <x:c r="B9" s="12" t="n">
        <x:f>COUNTIF(annotations!I2:I51,"negative")</x:f>
        <x:v>14</x:v>
      </x:c>
    </x:row>
    <x:row r="10">
      <x:c r="A10" s="12" t="str">
        <x:v>FinBERT same</x:v>
      </x:c>
      <x:c r="B10" s="12" t="n">
        <x:f>COUNTIF(annotations!L2:L51,"same")</x:f>
        <x:v>38</x:v>
      </x:c>
    </x:row>
    <x:row r="11">
      <x:c r="A11" s="12" t="str">
        <x:v>FinBERT different / review</x:v>
      </x:c>
      <x:c r="B11" s="12" t="n">
        <x:f>COUNTIF(annotations!L2:L51,"different")</x:f>
        <x:v>12</x:v>
      </x:c>
    </x:row>
  </x:sheetData>
  <x:pageMargins left="0.7" right="0.7" top="0.75" bottom="0.75" header="0.3" footer="0.3"/>
  <x:drawing xmlns:r="http://schemas.openxmlformats.org/officeDocument/2006/relationships" r:id="R543e5a4161fc4d6c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4" t="str">
        <x:v>Alan</x:v>
      </x:c>
      <x:c r="B1" s="4" t="str">
        <x:v>Açıklama</x:v>
      </x:c>
    </x:row>
    <x:row r="2">
      <x:c r="A2" s="12" t="str">
        <x:v>Amaç</x:v>
      </x:c>
      <x:c r="B2" s="12" t="str">
        <x:v>Reuters haber başlıkları için Türkçe çeviri ve finansal sentiment anotasyonu.</x:v>
      </x:c>
    </x:row>
    <x:row r="3">
      <x:c r="A3" s="12" t="str">
        <x:v>Etiketler</x:v>
      </x:c>
      <x:c r="B3" s="12" t="str">
        <x:v>positive: olumlu finansal/piyasa sinyali; negative: olumsuz sinyal; neutral: yönü belirsiz veya sadece süreç/bilgi.</x:v>
      </x:c>
    </x:row>
    <x:row r="4">
      <x:c r="A4" s="12" t="str">
        <x:v>Confidence</x:v>
      </x:c>
      <x:c r="B4" s="12" t="str">
        <x:v>0-1 arası manuel güven skoru; karışık veya bağlamı eksik başlıklarda daha düşük tutuldu.</x:v>
      </x:c>
    </x:row>
    <x:row r="5">
      <x:c r="A5" s="12" t="str">
        <x:v>finbert_correctness</x:v>
      </x:c>
      <x:c r="B5" s="12" t="str">
        <x:v>FinBERT etiketi ile ChatGPT nihai etiketi aynıysa same, farklıysa different.</x:v>
      </x:c>
    </x:row>
    <x:row r="6">
      <x:c r="A6" s="12" t="str">
        <x:v>Not</x:v>
      </x:c>
      <x:c r="B6" s="12" t="str">
        <x:v>Başlıklar tek başına değerlendirildi; tam haber metni olmadığı için bazı M&amp;A/süreç başlıkları nötr bırakıldı.</x:v>
      </x:c>
    </x:row>
  </x:sheetData>
  <x:pageMargins left="0.7" right="0.7" top="0.75" bottom="0.75" header="0.3" footer="0.3"/>
</x:worksheet>
</file>