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ec36567c5540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7c36d36cf7e44ce1"/>
    <x:sheet xmlns:r="http://schemas.openxmlformats.org/officeDocument/2006/relationships" name="summary" sheetId="2" r:id="R5f198244a0054f5b"/>
    <x:sheet xmlns:r="http://schemas.openxmlformats.org/officeDocument/2006/relationships" name="labeling_notes" sheetId="3" r:id="R3f187a40958248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.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5">
    <x:dxf>
      <x:fill>
        <x:patternFill patternType="solid">
          <x:bgColor rgb="DCFCE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3F4F6"/>
        </x:patternFill>
      </x:fill>
    </x:dxf>
    <x:dxf>
      <x:font>
        <x:b/>
      </x:font>
      <x:fill>
        <x:patternFill patternType="solid">
          <x:bgColor rgb="FEF3C7"/>
        </x:patternFill>
      </x:fill>
    </x:dxf>
    <x:dxf>
      <x:fill>
        <x:patternFill patternType="solid">
          <x:bgColor rgb="E0F2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85bbed79824406" /><Relationship Type="http://schemas.openxmlformats.org/officeDocument/2006/relationships/theme" Target="/xl/theme/theme1.xml" Id="Rebcc051dd9b1411c" /><Relationship Type="http://schemas.openxmlformats.org/officeDocument/2006/relationships/sharedStrings" Target="/xl/sharedStrings.xml" Id="Re2d577af0d6b4797" /><Relationship Type="http://schemas.openxmlformats.org/officeDocument/2006/relationships/worksheet" Target="/xl/worksheets/sheet1.xml" Id="R7c36d36cf7e44ce1" /><Relationship Type="http://schemas.openxmlformats.org/officeDocument/2006/relationships/worksheet" Target="/xl/worksheets/sheet2.xml" Id="R5f198244a0054f5b" /><Relationship Type="http://schemas.openxmlformats.org/officeDocument/2006/relationships/worksheet" Target="/xl/worksheets/sheet3.xml" Id="R3f187a4095824836" /></Relationships>
</file>

<file path=xl/tables/table1.xml><?xml version="1.0" encoding="utf-8"?>
<x:table xmlns:x="http://schemas.openxmlformats.org/spreadsheetml/2006/main" id="1" name="ReutersBatch027" displayName="ReutersBatch027" ref="A1:M51" headerRowCount="1">
  <x:tableColumns count="13">
    <x:tableColumn id="1" name="annotation_id"/>
    <x:tableColumn id="2" name="date"/>
    <x:tableColumn id="3" name="text_en"/>
    <x:tableColumn id="4" name="text_tr"/>
    <x:tableColumn id="5" name="finbert_score"/>
    <x:tableColumn id="6" name="finbert_label"/>
    <x:tableColumn id="7" name="finbert_confidence"/>
    <x:tableColumn id="8" name="chatgpt_label"/>
    <x:tableColumn id="9" name="chatgpt_score"/>
    <x:tableColumn id="10" name="chatgpt_confidence"/>
    <x:tableColumn id="11" name="chatgpt_reason_tr"/>
    <x:tableColumn id="12" name="finbert_correctness"/>
    <x:tableColumn id="13" name="revie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41478163084176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38" hidden="0" customWidth="1"/>
    <x:col min="4" max="4" width="46" hidden="0" customWidth="1"/>
    <x:col min="5" max="5" width="12" hidden="0" customWidth="1"/>
    <x:col min="6" max="6" width="14" hidden="0" customWidth="1"/>
    <x:col min="7" max="7" width="17" hidden="0" customWidth="1"/>
    <x:col min="8" max="8" width="14" hidden="0" customWidth="1"/>
    <x:col min="9" max="9" width="14" hidden="0" customWidth="1"/>
    <x:col min="10" max="10" width="18" hidden="0" customWidth="1"/>
    <x:col min="11" max="11" width="58" hidden="0" customWidth="1"/>
    <x:col min="12" max="12" width="18" hidden="0" customWidth="1"/>
    <x:col min="13" max="13" width="18" hidden="0" customWidth="1"/>
  </x:cols>
  <x:sheetData>
    <x:row r="1" ht="28" customHeight="1">
      <x:c r="A1" s="6" t="str">
        <x:v>annotation_id</x:v>
      </x:c>
      <x:c r="B1" s="6" t="str">
        <x:v>date</x:v>
      </x:c>
      <x:c r="C1" s="6" t="str">
        <x:v>text_en</x:v>
      </x:c>
      <x:c r="D1" s="6" t="str">
        <x:v>text_tr</x:v>
      </x:c>
      <x:c r="E1" s="6" t="str">
        <x:v>finbert_score</x:v>
      </x:c>
      <x:c r="F1" s="6" t="str">
        <x:v>finbert_label</x:v>
      </x:c>
      <x:c r="G1" s="6" t="str">
        <x:v>finbert_confidence</x:v>
      </x:c>
      <x:c r="H1" s="6" t="str">
        <x:v>chatgpt_label</x:v>
      </x:c>
      <x:c r="I1" s="6" t="str">
        <x:v>chatgpt_score</x:v>
      </x:c>
      <x:c r="J1" s="6" t="str">
        <x:v>chatgpt_confidence</x:v>
      </x:c>
      <x:c r="K1" s="6" t="str">
        <x:v>chatgpt_reason_tr</x:v>
      </x:c>
      <x:c r="L1" s="6" t="str">
        <x:v>finbert_correctness</x:v>
      </x:c>
      <x:c r="M1" s="6" t="str">
        <x:v>review_note</x:v>
      </x:c>
    </x:row>
    <x:row r="2" ht="42" customHeight="1">
      <x:c r="A2" s="12" t="str">
        <x:v>REUTERS_ANN_01301</x:v>
      </x:c>
      <x:c r="B2" s="14" t="n">
        <x:v>39170</x:v>
      </x:c>
      <x:c r="C2" s="12" t="str">
        <x:v>tribune responds to 2 billionaires paper</x:v>
      </x:c>
      <x:c r="D2" s="12" t="str">
        <x:v>Tribune gazetesi, iki milyarderin teklifine yanıt verdi.</x:v>
      </x:c>
      <x:c r="E2" s="12" t="n">
        <x:v>-1</x:v>
      </x:c>
      <x:c r="F2" s="12" t="str">
        <x:v>negative</x:v>
      </x:c>
      <x:c r="G2" s="16" t="n">
        <x:v>0.8729454874992371</x:v>
      </x:c>
      <x:c r="H2" s="12" t="str">
        <x:v>neutral</x:v>
      </x:c>
      <x:c r="I2" s="12" t="n">
        <x:v>0</x:v>
      </x:c>
      <x:c r="J2" s="18" t="n">
        <x:v>0.78</x:v>
      </x:c>
      <x:c r="K2" s="12" t="str">
        <x:v>Şirketin olası tekliflere yanıt vermesi M&amp;A süreci açısından haber değeri taşıyor; net olumlu/olumsuz finansal sonuç belirtilmiyor.</x:v>
      </x:c>
      <x:c r="L2" s="12" t="str">
        <x:f>IF(F2=H2,"same","different_review")</x:f>
        <x:v>different_review</x:v>
      </x:c>
      <x:c r="M2" s="12" t="str">
        <x:v>Kontrol önerilir</x:v>
      </x:c>
    </x:row>
    <x:row r="3" ht="42" customHeight="1">
      <x:c r="A3" s="12" t="str">
        <x:v>REUTERS_ANN_01302</x:v>
      </x:c>
      <x:c r="B3" s="14" t="n">
        <x:v>39150</x:v>
      </x:c>
      <x:c r="C3" s="12" t="str">
        <x:v>stocks to track mortgage woes and cpi</x:v>
      </x:c>
      <x:c r="D3" s="12" t="str">
        <x:v>Hisseler mortgage sıkıntıları ve TÜFE verisini izleyecek.</x:v>
      </x:c>
      <x:c r="E3" s="12" t="n">
        <x:v>-1</x:v>
      </x:c>
      <x:c r="F3" s="12" t="str">
        <x:v>negative</x:v>
      </x:c>
      <x:c r="G3" s="16" t="n">
        <x:v>0.9592662453651428</x:v>
      </x:c>
      <x:c r="H3" s="12" t="str">
        <x:v>negative</x:v>
      </x:c>
      <x:c r="I3" s="12" t="n">
        <x:v>-1</x:v>
      </x:c>
      <x:c r="J3" s="18" t="n">
        <x:v>0.88</x:v>
      </x:c>
      <x:c r="K3" s="12" t="str">
        <x:v>Mortgage sorunları ve enflasyon verisi piyasa için risk unsuru olarak sunuluyor.</x:v>
      </x:c>
      <x:c r="L3" s="12" t="str">
        <x:f>IF(F3=H3,"same","different_review")</x:f>
        <x:v>same</x:v>
      </x:c>
      <x:c r="M3" s="12" t="str">
        <x:v>FinBERT ile uyumlu</x:v>
      </x:c>
    </x:row>
    <x:row r="4" ht="42" customHeight="1">
      <x:c r="A4" s="12" t="str">
        <x:v>REUTERS_ANN_01303</x:v>
      </x:c>
      <x:c r="B4" s="14" t="n">
        <x:v>39123</x:v>
      </x:c>
      <x:c r="C4" s="12" t="str">
        <x:v>g7 warns markets against yen-shrinking bets</x:v>
      </x:c>
      <x:c r="D4" s="12" t="str">
        <x:v>G7, piyasaları yenin zayıflamasına yönelik bahisler konusunda uyardı.</x:v>
      </x:c>
      <x:c r="E4" s="12" t="n">
        <x:v>0</x:v>
      </x:c>
      <x:c r="F4" s="12" t="str">
        <x:v>neutral</x:v>
      </x:c>
      <x:c r="G4" s="16" t="n">
        <x:v>0.9313886761665344</x:v>
      </x:c>
      <x:c r="H4" s="12" t="str">
        <x:v>neutral</x:v>
      </x:c>
      <x:c r="I4" s="12" t="n">
        <x:v>0</x:v>
      </x:c>
      <x:c r="J4" s="18" t="n">
        <x:v>0.72</x:v>
      </x:c>
      <x:c r="K4" s="12" t="str">
        <x:v>Politika uyarısı var ancak doğrudan şirket kârı veya piyasa yönü açık değil.</x:v>
      </x:c>
      <x:c r="L4" s="12" t="str">
        <x:f>IF(F4=H4,"same","different_review")</x:f>
        <x:v>same</x:v>
      </x:c>
      <x:c r="M4" s="12" t="str">
        <x:v>FinBERT ile uyumlu</x:v>
      </x:c>
    </x:row>
    <x:row r="5" ht="42" customHeight="1">
      <x:c r="A5" s="12" t="str">
        <x:v>REUTERS_ANN_01304</x:v>
      </x:c>
      <x:c r="B5" s="14" t="n">
        <x:v>39120</x:v>
      </x:c>
      <x:c r="C5" s="12" t="str">
        <x:v>news corp sales rise on borat, x-men</x:v>
      </x:c>
      <x:c r="D5" s="12" t="str">
        <x:v>News Corp satışları Borat ve X-Men etkisiyle yükseldi.</x:v>
      </x:c>
      <x:c r="E5" s="12" t="n">
        <x:v>1</x:v>
      </x:c>
      <x:c r="F5" s="12" t="str">
        <x:v>positive</x:v>
      </x:c>
      <x:c r="G5" s="16" t="n">
        <x:v>0.9489395022392272</x:v>
      </x:c>
      <x:c r="H5" s="12" t="str">
        <x:v>positive</x:v>
      </x:c>
      <x:c r="I5" s="12" t="n">
        <x:v>1</x:v>
      </x:c>
      <x:c r="J5" s="18" t="n">
        <x:v>0.93</x:v>
      </x:c>
      <x:c r="K5" s="12" t="str">
        <x:v>Satış artışı şirket performansı açısından açık olumlu sinyal.</x:v>
      </x:c>
      <x:c r="L5" s="12" t="str">
        <x:f>IF(F5=H5,"same","different_review")</x:f>
        <x:v>same</x:v>
      </x:c>
      <x:c r="M5" s="12" t="str">
        <x:v>FinBERT ile uyumlu</x:v>
      </x:c>
    </x:row>
    <x:row r="6" ht="42" customHeight="1">
      <x:c r="A6" s="12" t="str">
        <x:v>REUTERS_ANN_01305</x:v>
      </x:c>
      <x:c r="B6" s="14" t="n">
        <x:v>39139</x:v>
      </x:c>
      <x:c r="C6" s="12" t="str">
        <x:v>fda staff questions sanofi bird flu vaccine</x:v>
      </x:c>
      <x:c r="D6" s="12" t="str">
        <x:v>FDA personeli Sanofi'nin kuş gribi aşısı hakkında soru işaretleri dile getirdi.</x:v>
      </x:c>
      <x:c r="E6" s="12" t="n">
        <x:v>1</x:v>
      </x:c>
      <x:c r="F6" s="12" t="str">
        <x:v>positive</x:v>
      </x:c>
      <x:c r="G6" s="16" t="n">
        <x:v>0.423964262008667</x:v>
      </x:c>
      <x:c r="H6" s="12" t="str">
        <x:v>negative</x:v>
      </x:c>
      <x:c r="I6" s="12" t="n">
        <x:v>-1</x:v>
      </x:c>
      <x:c r="J6" s="18" t="n">
        <x:v>0.84</x:v>
      </x:c>
      <x:c r="K6" s="12" t="str">
        <x:v>Regülatörün aşıya ilişkin soru işaretleri ürün onayı ve satış potansiyeli için olumsuz.</x:v>
      </x:c>
      <x:c r="L6" s="12" t="str">
        <x:f>IF(F6=H6,"same","different_review")</x:f>
        <x:v>different_review</x:v>
      </x:c>
      <x:c r="M6" s="12" t="str">
        <x:v>Kontrol önerilir</x:v>
      </x:c>
    </x:row>
    <x:row r="7" ht="42" customHeight="1">
      <x:c r="A7" s="12" t="str">
        <x:v>REUTERS_ANN_01306</x:v>
      </x:c>
      <x:c r="B7" s="14" t="n">
        <x:v>39163</x:v>
      </x:c>
      <x:c r="C7" s="12" t="str">
        <x:v>bill may not solve foreclosures woe key senator</x:v>
      </x:c>
      <x:c r="D7" s="12" t="str">
        <x:v>Önemli bir senatöre göre yasa, haciz sorununu çözmeyebilir.</x:v>
      </x:c>
      <x:c r="E7" s="12" t="n">
        <x:v>0</x:v>
      </x:c>
      <x:c r="F7" s="12" t="str">
        <x:v>neutral</x:v>
      </x:c>
      <x:c r="G7" s="16" t="n">
        <x:v>0.842441201210022</x:v>
      </x:c>
      <x:c r="H7" s="12" t="str">
        <x:v>negative</x:v>
      </x:c>
      <x:c r="I7" s="12" t="n">
        <x:v>-1</x:v>
      </x:c>
      <x:c r="J7" s="18" t="n">
        <x:v>0.8</x:v>
      </x:c>
      <x:c r="K7" s="12" t="str">
        <x:v>Haciz probleminin süreceği vurgusu finansal sistem ve konut piyasası için olumsuz.</x:v>
      </x:c>
      <x:c r="L7" s="12" t="str">
        <x:f>IF(F7=H7,"same","different_review")</x:f>
        <x:v>different_review</x:v>
      </x:c>
      <x:c r="M7" s="12" t="str">
        <x:v>Kontrol önerilir</x:v>
      </x:c>
    </x:row>
    <x:row r="8" ht="42" customHeight="1">
      <x:c r="A8" s="12" t="str">
        <x:v>REUTERS_ANN_01307</x:v>
      </x:c>
      <x:c r="B8" s="14" t="n">
        <x:v>39121</x:v>
      </x:c>
      <x:c r="C8" s="12" t="str">
        <x:v>jobless claims rise 3,000 in latest week</x:v>
      </x:c>
      <x:c r="D8" s="12" t="str">
        <x:v>İşsizlik maaşı başvuruları son haftada 3.000 arttı.</x:v>
      </x:c>
      <x:c r="E8" s="12" t="n">
        <x:v>1</x:v>
      </x:c>
      <x:c r="F8" s="12" t="str">
        <x:v>positive</x:v>
      </x:c>
      <x:c r="G8" s="16" t="n">
        <x:v>0.9390669465065002</x:v>
      </x:c>
      <x:c r="H8" s="12" t="str">
        <x:v>negative</x:v>
      </x:c>
      <x:c r="I8" s="12" t="n">
        <x:v>-1</x:v>
      </x:c>
      <x:c r="J8" s="18" t="n">
        <x:v>0.82</x:v>
      </x:c>
      <x:c r="K8" s="12" t="str">
        <x:v>İşsizlik başvurularındaki artış işgücü piyasası için zayıflama sinyali.</x:v>
      </x:c>
      <x:c r="L8" s="12" t="str">
        <x:f>IF(F8=H8,"same","different_review")</x:f>
        <x:v>different_review</x:v>
      </x:c>
      <x:c r="M8" s="12" t="str">
        <x:v>Kontrol önerilir</x:v>
      </x:c>
    </x:row>
    <x:row r="9" ht="42" customHeight="1">
      <x:c r="A9" s="12" t="str">
        <x:v>REUTERS_ANN_01308</x:v>
      </x:c>
      <x:c r="B9" s="14" t="n">
        <x:v>39129</x:v>
      </x:c>
      <x:c r="C9" s="12" t="str">
        <x:v>wal-mart japan unit sees return to profit in 2007</x:v>
      </x:c>
      <x:c r="D9" s="12" t="str">
        <x:v>Wal-Mart'ın Japonya birimi 2007'de yeniden kâra geçmeyi bekliyor.</x:v>
      </x:c>
      <x:c r="E9" s="12" t="n">
        <x:v>1</x:v>
      </x:c>
      <x:c r="F9" s="12" t="str">
        <x:v>positive</x:v>
      </x:c>
      <x:c r="G9" s="16" t="n">
        <x:v>0.951702892780304</x:v>
      </x:c>
      <x:c r="H9" s="12" t="str">
        <x:v>positive</x:v>
      </x:c>
      <x:c r="I9" s="12" t="n">
        <x:v>1</x:v>
      </x:c>
      <x:c r="J9" s="18" t="n">
        <x:v>0.91</x:v>
      </x:c>
      <x:c r="K9" s="12" t="str">
        <x:v>Zarar/kârsızlıktan kârlılığa dönüş beklentisi şirket açısından olumlu.</x:v>
      </x:c>
      <x:c r="L9" s="12" t="str">
        <x:f>IF(F9=H9,"same","different_review")</x:f>
        <x:v>same</x:v>
      </x:c>
      <x:c r="M9" s="12" t="str">
        <x:v>FinBERT ile uyumlu</x:v>
      </x:c>
    </x:row>
    <x:row r="10" ht="42" customHeight="1">
      <x:c r="A10" s="12" t="str">
        <x:v>REUTERS_ANN_01309</x:v>
      </x:c>
      <x:c r="B10" s="14" t="n">
        <x:v>39135</x:v>
      </x:c>
      <x:c r="C10" s="12" t="str">
        <x:v>freddie macs portfolio grew 4.4 pct in january</x:v>
      </x:c>
      <x:c r="D10" s="12" t="str">
        <x:v>Freddie Mac'in portföyü ocakta yüzde 4,4 büyüdü.</x:v>
      </x:c>
      <x:c r="E10" s="12" t="n">
        <x:v>-1</x:v>
      </x:c>
      <x:c r="F10" s="12" t="str">
        <x:v>negative</x:v>
      </x:c>
      <x:c r="G10" s="16" t="n">
        <x:v>0.6196388602256775</x:v>
      </x:c>
      <x:c r="H10" s="12" t="str">
        <x:v>positive</x:v>
      </x:c>
      <x:c r="I10" s="12" t="n">
        <x:v>1</x:v>
      </x:c>
      <x:c r="J10" s="18" t="n">
        <x:v>0.7</x:v>
      </x:c>
      <x:c r="K10" s="12" t="str">
        <x:v>Portföy büyümesi faaliyet hacmi açısından olumlu; bağlam sınırlı olduğu için güven orta.</x:v>
      </x:c>
      <x:c r="L10" s="12" t="str">
        <x:f>IF(F10=H10,"same","different_review")</x:f>
        <x:v>different_review</x:v>
      </x:c>
      <x:c r="M10" s="12" t="str">
        <x:v>Kontrol önerilir</x:v>
      </x:c>
    </x:row>
    <x:row r="11" ht="42" customHeight="1">
      <x:c r="A11" s="12" t="str">
        <x:v>REUTERS_ANN_01310</x:v>
      </x:c>
      <x:c r="B11" s="14" t="n">
        <x:v>39106</x:v>
      </x:c>
      <x:c r="C11" s="12" t="str">
        <x:v>conocophillips profit dips on gas prices, refining</x:v>
      </x:c>
      <x:c r="D11" s="12" t="str">
        <x:v>ConocoPhillips'in kârı gaz fiyatları ve rafineri etkisiyle geriledi.</x:v>
      </x:c>
      <x:c r="E11" s="12" t="n">
        <x:v>-1</x:v>
      </x:c>
      <x:c r="F11" s="12" t="str">
        <x:v>negative</x:v>
      </x:c>
      <x:c r="G11" s="16" t="n">
        <x:v>0.9758080244064332</x:v>
      </x:c>
      <x:c r="H11" s="12" t="str">
        <x:v>negative</x:v>
      </x:c>
      <x:c r="I11" s="12" t="n">
        <x:v>-1</x:v>
      </x:c>
      <x:c r="J11" s="18" t="n">
        <x:v>0.92</x:v>
      </x:c>
      <x:c r="K11" s="12" t="str">
        <x:v>Kâr düşüşü açık olumsuz finansal performans sinyali.</x:v>
      </x:c>
      <x:c r="L11" s="12" t="str">
        <x:f>IF(F11=H11,"same","different_review")</x:f>
        <x:v>same</x:v>
      </x:c>
      <x:c r="M11" s="12" t="str">
        <x:v>FinBERT ile uyumlu</x:v>
      </x:c>
    </x:row>
    <x:row r="12" ht="42" customHeight="1">
      <x:c r="A12" s="12" t="str">
        <x:v>REUTERS_ANN_01311</x:v>
      </x:c>
      <x:c r="B12" s="14" t="n">
        <x:v>39150</x:v>
      </x:c>
      <x:c r="C12" s="12" t="str">
        <x:v>ameren settles missouri gas delivery rates</x:v>
      </x:c>
      <x:c r="D12" s="12" t="str">
        <x:v>Ameren, Missouri doğal gaz dağıtım tarifelerinde uzlaşmaya vardı.</x:v>
      </x:c>
      <x:c r="E12" s="12" t="n">
        <x:v>1</x:v>
      </x:c>
      <x:c r="F12" s="12" t="str">
        <x:v>positive</x:v>
      </x:c>
      <x:c r="G12" s="16" t="n">
        <x:v>0.939298689365387</x:v>
      </x:c>
      <x:c r="H12" s="12" t="str">
        <x:v>neutral</x:v>
      </x:c>
      <x:c r="I12" s="12" t="n">
        <x:v>0</x:v>
      </x:c>
      <x:c r="J12" s="18" t="n">
        <x:v>0.74</x:v>
      </x:c>
      <x:c r="K12" s="12" t="str">
        <x:v>Tarife uzlaşması operasyonel bir gelişme; finansal etkisi net değil.</x:v>
      </x:c>
      <x:c r="L12" s="12" t="str">
        <x:f>IF(F12=H12,"same","different_review")</x:f>
        <x:v>different_review</x:v>
      </x:c>
      <x:c r="M12" s="12" t="str">
        <x:v>Kontrol önerilir</x:v>
      </x:c>
    </x:row>
    <x:row r="13" ht="42" customHeight="1">
      <x:c r="A13" s="12" t="str">
        <x:v>REUTERS_ANN_01312</x:v>
      </x:c>
      <x:c r="B13" s="14" t="n">
        <x:v>39189</x:v>
      </x:c>
      <x:c r="C13" s="12" t="str">
        <x:v>groups challenge shells alaska drilling plans</x:v>
      </x:c>
      <x:c r="D13" s="12" t="str">
        <x:v>Gruplar Shell'in Alaska sondaj planlarına itiraz etti.</x:v>
      </x:c>
      <x:c r="E13" s="12" t="n">
        <x:v>-1</x:v>
      </x:c>
      <x:c r="F13" s="12" t="str">
        <x:v>negative</x:v>
      </x:c>
      <x:c r="G13" s="16" t="n">
        <x:v>0.7198605537414551</x:v>
      </x:c>
      <x:c r="H13" s="12" t="str">
        <x:v>negative</x:v>
      </x:c>
      <x:c r="I13" s="12" t="n">
        <x:v>-1</x:v>
      </x:c>
      <x:c r="J13" s="18" t="n">
        <x:v>0.84</x:v>
      </x:c>
      <x:c r="K13" s="12" t="str">
        <x:v>Projeye yönelik itirazlar gecikme ve regülasyon riski oluşturuyor.</x:v>
      </x:c>
      <x:c r="L13" s="12" t="str">
        <x:f>IF(F13=H13,"same","different_review")</x:f>
        <x:v>same</x:v>
      </x:c>
      <x:c r="M13" s="12" t="str">
        <x:v>FinBERT ile uyumlu</x:v>
      </x:c>
    </x:row>
    <x:row r="14" ht="42" customHeight="1">
      <x:c r="A14" s="12" t="str">
        <x:v>REUTERS_ANN_01313</x:v>
      </x:c>
      <x:c r="B14" s="14" t="n">
        <x:v>39191</x:v>
      </x:c>
      <x:c r="C14" s="12" t="str">
        <x:v>chrysler sale could be wrapped up by may source</x:v>
      </x:c>
      <x:c r="D14" s="12" t="str">
        <x:v>Kaynağa göre Chrysler satışı mayısa kadar tamamlanabilir.</x:v>
      </x:c>
      <x:c r="E14" s="12" t="n">
        <x:v>0</x:v>
      </x:c>
      <x:c r="F14" s="12" t="str">
        <x:v>neutral</x:v>
      </x:c>
      <x:c r="G14" s="16" t="n">
        <x:v>0.8786256313323975</x:v>
      </x:c>
      <x:c r="H14" s="12" t="str">
        <x:v>neutral</x:v>
      </x:c>
      <x:c r="I14" s="12" t="n">
        <x:v>0</x:v>
      </x:c>
      <x:c r="J14" s="18" t="n">
        <x:v>0.76</x:v>
      </x:c>
      <x:c r="K14" s="12" t="str">
        <x:v>Satış sürecinde ilerleme var; alıcı/satıcı açısından net değer etkisi belirtilmiyor.</x:v>
      </x:c>
      <x:c r="L14" s="12" t="str">
        <x:f>IF(F14=H14,"same","different_review")</x:f>
        <x:v>same</x:v>
      </x:c>
      <x:c r="M14" s="12" t="str">
        <x:v>FinBERT ile uyumlu</x:v>
      </x:c>
    </x:row>
    <x:row r="15" ht="42" customHeight="1">
      <x:c r="A15" s="12" t="str">
        <x:v>REUTERS_ANN_01314</x:v>
      </x:c>
      <x:c r="B15" s="14" t="n">
        <x:v>39107</x:v>
      </x:c>
      <x:c r="C15" s="12" t="str">
        <x:v>indices slide on oils drop microsoft up late</x:v>
      </x:c>
      <x:c r="D15" s="12" t="str">
        <x:v>Endeksler petrol düşüşüyle gerilerken Microsoft geç saatlerde yükseldi.</x:v>
      </x:c>
      <x:c r="E15" s="12" t="n">
        <x:v>-1</x:v>
      </x:c>
      <x:c r="F15" s="12" t="str">
        <x:v>negative</x:v>
      </x:c>
      <x:c r="G15" s="16" t="n">
        <x:v>0.9706351161003112</x:v>
      </x:c>
      <x:c r="H15" s="12" t="str">
        <x:v>negative</x:v>
      </x:c>
      <x:c r="I15" s="12" t="n">
        <x:v>-1</x:v>
      </x:c>
      <x:c r="J15" s="18" t="n">
        <x:v>0.84</x:v>
      </x:c>
      <x:c r="K15" s="12" t="str">
        <x:v>Ana piyasa sinyali endekslerin gerilemesi; Microsoft ayrıntısı genel tonu değiştirmiyor.</x:v>
      </x:c>
      <x:c r="L15" s="12" t="str">
        <x:f>IF(F15=H15,"same","different_review")</x:f>
        <x:v>same</x:v>
      </x:c>
      <x:c r="M15" s="12" t="str">
        <x:v>FinBERT ile uyumlu</x:v>
      </x:c>
    </x:row>
    <x:row r="16" ht="42" customHeight="1">
      <x:c r="A16" s="12" t="str">
        <x:v>REUTERS_ANN_01315</x:v>
      </x:c>
      <x:c r="B16" s="14" t="n">
        <x:v>39093</x:v>
      </x:c>
      <x:c r="C16" s="12" t="str">
        <x:v>home depot investors seek more governance changes</x:v>
      </x:c>
      <x:c r="D16" s="12" t="str">
        <x:v>Home Depot yatırımcıları daha fazla kurumsal yönetim değişikliği istiyor.</x:v>
      </x:c>
      <x:c r="E16" s="12" t="n">
        <x:v>-1</x:v>
      </x:c>
      <x:c r="F16" s="12" t="str">
        <x:v>negative</x:v>
      </x:c>
      <x:c r="G16" s="16" t="n">
        <x:v>0.8390015959739685</x:v>
      </x:c>
      <x:c r="H16" s="12" t="str">
        <x:v>negative</x:v>
      </x:c>
      <x:c r="I16" s="12" t="n">
        <x:v>-1</x:v>
      </x:c>
      <x:c r="J16" s="18" t="n">
        <x:v>0.78</x:v>
      </x:c>
      <x:c r="K16" s="12" t="str">
        <x:v>Yatırımcı baskısı ve yönetim sorunları şirket algısı için olumsuz.</x:v>
      </x:c>
      <x:c r="L16" s="12" t="str">
        <x:f>IF(F16=H16,"same","different_review")</x:f>
        <x:v>same</x:v>
      </x:c>
      <x:c r="M16" s="12" t="str">
        <x:v>FinBERT ile uyumlu</x:v>
      </x:c>
    </x:row>
    <x:row r="17" ht="42" customHeight="1">
      <x:c r="A17" s="12" t="str">
        <x:v>REUTERS_ANN_01316</x:v>
      </x:c>
      <x:c r="B17" s="14" t="n">
        <x:v>39053</x:v>
      </x:c>
      <x:c r="C17" s="12" t="str">
        <x:v>feds kohn-inflation has shifted down, risks remain</x:v>
      </x:c>
      <x:c r="D17" s="12" t="str">
        <x:v>Fed'den Kohn: Enflasyon aşağı kaydı ancak riskler sürüyor.</x:v>
      </x:c>
      <x:c r="E17" s="12" t="n">
        <x:v>-1</x:v>
      </x:c>
      <x:c r="F17" s="12" t="str">
        <x:v>negative</x:v>
      </x:c>
      <x:c r="G17" s="16" t="n">
        <x:v>0.7522651553153992</x:v>
      </x:c>
      <x:c r="H17" s="12" t="str">
        <x:v>negative</x:v>
      </x:c>
      <x:c r="I17" s="12" t="n">
        <x:v>-1</x:v>
      </x:c>
      <x:c r="J17" s="18" t="n">
        <x:v>0.74</x:v>
      </x:c>
      <x:c r="K17" s="12" t="str">
        <x:v>Risklerin sürdüğü vurgusu makro görünüm için temkinli/olumsuz.</x:v>
      </x:c>
      <x:c r="L17" s="12" t="str">
        <x:f>IF(F17=H17,"same","different_review")</x:f>
        <x:v>same</x:v>
      </x:c>
      <x:c r="M17" s="12" t="str">
        <x:v>FinBERT ile uyumlu</x:v>
      </x:c>
    </x:row>
    <x:row r="18" ht="42" customHeight="1">
      <x:c r="A18" s="12" t="str">
        <x:v>REUTERS_ANN_01317</x:v>
      </x:c>
      <x:c r="B18" s="14" t="n">
        <x:v>39210</x:v>
      </x:c>
      <x:c r="C18" s="12" t="str">
        <x:v>hp lifts outlook as shares rise</x:v>
      </x:c>
      <x:c r="D18" s="12" t="str">
        <x:v>HP görünümünü yükseltti, hisseleri de arttı.</x:v>
      </x:c>
      <x:c r="E18" s="12" t="n">
        <x:v>1</x:v>
      </x:c>
      <x:c r="F18" s="12" t="str">
        <x:v>positive</x:v>
      </x:c>
      <x:c r="G18" s="16" t="n">
        <x:v>0.9482846856117249</x:v>
      </x:c>
      <x:c r="H18" s="12" t="str">
        <x:v>positive</x:v>
      </x:c>
      <x:c r="I18" s="12" t="n">
        <x:v>1</x:v>
      </x:c>
      <x:c r="J18" s="18" t="n">
        <x:v>0.94</x:v>
      </x:c>
      <x:c r="K18" s="12" t="str">
        <x:v>Görünüm artışı ve hisse yükselişi açık olumlu piyasa sinyali.</x:v>
      </x:c>
      <x:c r="L18" s="12" t="str">
        <x:f>IF(F18=H18,"same","different_review")</x:f>
        <x:v>same</x:v>
      </x:c>
      <x:c r="M18" s="12" t="str">
        <x:v>FinBERT ile uyumlu</x:v>
      </x:c>
    </x:row>
    <x:row r="19" ht="42" customHeight="1">
      <x:c r="A19" s="12" t="str">
        <x:v>REUTERS_ANN_01318</x:v>
      </x:c>
      <x:c r="B19" s="14" t="n">
        <x:v>39148</x:v>
      </x:c>
      <x:c r="C19" s="12" t="str">
        <x:v>china says to maintain rapid, stable growth in 2007</x:v>
      </x:c>
      <x:c r="D19" s="12" t="str">
        <x:v>Çin, 2007'de hızlı ve istikrarlı büyümeyi sürdüreceğini söyledi.</x:v>
      </x:c>
      <x:c r="E19" s="12" t="n">
        <x:v>1</x:v>
      </x:c>
      <x:c r="F19" s="12" t="str">
        <x:v>positive</x:v>
      </x:c>
      <x:c r="G19" s="16" t="n">
        <x:v>0.5014373660087585</x:v>
      </x:c>
      <x:c r="H19" s="12" t="str">
        <x:v>positive</x:v>
      </x:c>
      <x:c r="I19" s="12" t="n">
        <x:v>1</x:v>
      </x:c>
      <x:c r="J19" s="18" t="n">
        <x:v>0.83</x:v>
      </x:c>
      <x:c r="K19" s="12" t="str">
        <x:v>Hızlı ve istikrarlı büyüme beklentisi makro açıdan olumlu.</x:v>
      </x:c>
      <x:c r="L19" s="12" t="str">
        <x:f>IF(F19=H19,"same","different_review")</x:f>
        <x:v>same</x:v>
      </x:c>
      <x:c r="M19" s="12" t="str">
        <x:v>FinBERT ile uyumlu</x:v>
      </x:c>
    </x:row>
    <x:row r="20" ht="42" customHeight="1">
      <x:c r="A20" s="12" t="str">
        <x:v>REUTERS_ANN_01319</x:v>
      </x:c>
      <x:c r="B20" s="14" t="n">
        <x:v>39198</x:v>
      </x:c>
      <x:c r="C20" s="12" t="str">
        <x:v>sonys father of playstation to step down</x:v>
      </x:c>
      <x:c r="D20" s="12" t="str">
        <x:v>Sony'nin PlayStation'ın kurucu ismi görevinden ayrılacak.</x:v>
      </x:c>
      <x:c r="E20" s="12" t="n">
        <x:v>0</x:v>
      </x:c>
      <x:c r="F20" s="12" t="str">
        <x:v>neutral</x:v>
      </x:c>
      <x:c r="G20" s="16" t="n">
        <x:v>0.8620721101760864</x:v>
      </x:c>
      <x:c r="H20" s="12" t="str">
        <x:v>neutral</x:v>
      </x:c>
      <x:c r="I20" s="12" t="n">
        <x:v>0</x:v>
      </x:c>
      <x:c r="J20" s="18" t="n">
        <x:v>0.7</x:v>
      </x:c>
      <x:c r="K20" s="12" t="str">
        <x:v>Yönetim değişikliği var; finansal etkisi belirsiz.</x:v>
      </x:c>
      <x:c r="L20" s="12" t="str">
        <x:f>IF(F20=H20,"same","different_review")</x:f>
        <x:v>same</x:v>
      </x:c>
      <x:c r="M20" s="12" t="str">
        <x:v>FinBERT ile uyumlu</x:v>
      </x:c>
    </x:row>
    <x:row r="21" ht="42" customHeight="1">
      <x:c r="A21" s="12" t="str">
        <x:v>REUTERS_ANN_01320</x:v>
      </x:c>
      <x:c r="B21" s="14" t="n">
        <x:v>39121</x:v>
      </x:c>
      <x:c r="C21" s="12" t="str">
        <x:v>risk assets near highs before central banks, g7</x:v>
      </x:c>
      <x:c r="D21" s="12" t="str">
        <x:v>Riskli varlıklar merkez bankaları ve G7 öncesinde zirvelere yakın.</x:v>
      </x:c>
      <x:c r="E21" s="12" t="n">
        <x:v>-1</x:v>
      </x:c>
      <x:c r="F21" s="12" t="str">
        <x:v>negative</x:v>
      </x:c>
      <x:c r="G21" s="16" t="n">
        <x:v>0.96886146068573</x:v>
      </x:c>
      <x:c r="H21" s="12" t="str">
        <x:v>neutral</x:v>
      </x:c>
      <x:c r="I21" s="12" t="n">
        <x:v>0</x:v>
      </x:c>
      <x:c r="J21" s="18" t="n">
        <x:v>0.68</x:v>
      </x:c>
      <x:c r="K21" s="12" t="str">
        <x:v>Piyasa bekleyişi var; açık yönsel olumlu/olumsuz sonuç belirtilmiyor.</x:v>
      </x:c>
      <x:c r="L21" s="12" t="str">
        <x:f>IF(F21=H21,"same","different_review")</x:f>
        <x:v>different_review</x:v>
      </x:c>
      <x:c r="M21" s="12" t="str">
        <x:v>Kontrol önerilir</x:v>
      </x:c>
    </x:row>
    <x:row r="22" ht="42" customHeight="1">
      <x:c r="A22" s="12" t="str">
        <x:v>REUTERS_ANN_01321</x:v>
      </x:c>
      <x:c r="B22" s="14" t="n">
        <x:v>39051</x:v>
      </x:c>
      <x:c r="C22" s="12" t="str">
        <x:v>target trumps wal-mart again</x:v>
      </x:c>
      <x:c r="D22" s="12" t="str">
        <x:v>Target, Wal-Mart'ı yine geride bıraktı.</x:v>
      </x:c>
      <x:c r="E22" s="12" t="n">
        <x:v>1</x:v>
      </x:c>
      <x:c r="F22" s="12" t="str">
        <x:v>positive</x:v>
      </x:c>
      <x:c r="G22" s="16" t="n">
        <x:v>0.8087568283081055</x:v>
      </x:c>
      <x:c r="H22" s="12" t="str">
        <x:v>positive</x:v>
      </x:c>
      <x:c r="I22" s="12" t="n">
        <x:v>1</x:v>
      </x:c>
      <x:c r="J22" s="18" t="n">
        <x:v>0.87</x:v>
      </x:c>
      <x:c r="K22" s="12" t="str">
        <x:v>Rakibe karşı üstün performans Target açısından olumlu.</x:v>
      </x:c>
      <x:c r="L22" s="12" t="str">
        <x:f>IF(F22=H22,"same","different_review")</x:f>
        <x:v>same</x:v>
      </x:c>
      <x:c r="M22" s="12" t="str">
        <x:v>FinBERT ile uyumlu</x:v>
      </x:c>
    </x:row>
    <x:row r="23" ht="42" customHeight="1">
      <x:c r="A23" s="12" t="str">
        <x:v>REUTERS_ANN_01322</x:v>
      </x:c>
      <x:c r="B23" s="14" t="n">
        <x:v>39177</x:v>
      </x:c>
      <x:c r="C23" s="12" t="str">
        <x:v>apollo explores private sale of stake source</x:v>
      </x:c>
      <x:c r="D23" s="12" t="str">
        <x:v>Apollo, payını özel satış yoluyla satmayı değerlendiriyor.</x:v>
      </x:c>
      <x:c r="E23" s="12" t="n">
        <x:v>0</x:v>
      </x:c>
      <x:c r="F23" s="12" t="str">
        <x:v>neutral</x:v>
      </x:c>
      <x:c r="G23" s="16" t="n">
        <x:v>0.7598603367805481</x:v>
      </x:c>
      <x:c r="H23" s="12" t="str">
        <x:v>neutral</x:v>
      </x:c>
      <x:c r="I23" s="12" t="n">
        <x:v>0</x:v>
      </x:c>
      <x:c r="J23" s="18" t="n">
        <x:v>0.72</x:v>
      </x:c>
      <x:c r="K23" s="12" t="str">
        <x:v>Olası hisse satışı haberi; finansal etkisi ve gerçekleşme net değil.</x:v>
      </x:c>
      <x:c r="L23" s="12" t="str">
        <x:f>IF(F23=H23,"same","different_review")</x:f>
        <x:v>same</x:v>
      </x:c>
      <x:c r="M23" s="12" t="str">
        <x:v>FinBERT ile uyumlu</x:v>
      </x:c>
    </x:row>
    <x:row r="24" ht="42" customHeight="1">
      <x:c r="A24" s="12" t="str">
        <x:v>REUTERS_ANN_01323</x:v>
      </x:c>
      <x:c r="B24" s="14" t="n">
        <x:v>39160</x:v>
      </x:c>
      <x:c r="C24" s="12" t="str">
        <x:v>blackstone/carlyle team mulls rival txu bid source</x:v>
      </x:c>
      <x:c r="D24" s="12" t="str">
        <x:v>Kaynağa göre Blackstone/Carlyle ekibi rakip TXU teklifini değerlendiriyor.</x:v>
      </x:c>
      <x:c r="E24" s="12" t="n">
        <x:v>-1</x:v>
      </x:c>
      <x:c r="F24" s="12" t="str">
        <x:v>negative</x:v>
      </x:c>
      <x:c r="G24" s="16" t="n">
        <x:v>0.7972376346588135</x:v>
      </x:c>
      <x:c r="H24" s="12" t="str">
        <x:v>neutral</x:v>
      </x:c>
      <x:c r="I24" s="12" t="n">
        <x:v>0</x:v>
      </x:c>
      <x:c r="J24" s="18" t="n">
        <x:v>0.72</x:v>
      </x:c>
      <x:c r="K24" s="12" t="str">
        <x:v>Potansiyel M&amp;A teklifi var ancak kesin sonuç veya değer etkisi yok.</x:v>
      </x:c>
      <x:c r="L24" s="12" t="str">
        <x:f>IF(F24=H24,"same","different_review")</x:f>
        <x:v>different_review</x:v>
      </x:c>
      <x:c r="M24" s="12" t="str">
        <x:v>Kontrol önerilir</x:v>
      </x:c>
    </x:row>
    <x:row r="25" ht="42" customHeight="1">
      <x:c r="A25" s="12" t="str">
        <x:v>REUTERS_ANN_01324</x:v>
      </x:c>
      <x:c r="B25" s="14" t="n">
        <x:v>39157</x:v>
      </x:c>
      <x:c r="C25" s="12" t="str">
        <x:v>anntaylor results, forecast boost shares</x:v>
      </x:c>
      <x:c r="D25" s="12" t="str">
        <x:v>AnnTaylor sonuçları ve tahmini hisseleri yükseltti.</x:v>
      </x:c>
      <x:c r="E25" s="12" t="n">
        <x:v>-1</x:v>
      </x:c>
      <x:c r="F25" s="12" t="str">
        <x:v>negative</x:v>
      </x:c>
      <x:c r="G25" s="16" t="n">
        <x:v>0.9590398073196412</x:v>
      </x:c>
      <x:c r="H25" s="12" t="str">
        <x:v>positive</x:v>
      </x:c>
      <x:c r="I25" s="12" t="n">
        <x:v>1</x:v>
      </x:c>
      <x:c r="J25" s="18" t="n">
        <x:v>0.9</x:v>
      </x:c>
      <x:c r="K25" s="12" t="str">
        <x:v>Sonuçların/tahminin hisseleri artırması açık olumlu sinyal.</x:v>
      </x:c>
      <x:c r="L25" s="12" t="str">
        <x:f>IF(F25=H25,"same","different_review")</x:f>
        <x:v>different_review</x:v>
      </x:c>
      <x:c r="M25" s="12" t="str">
        <x:v>Kontrol önerilir</x:v>
      </x:c>
    </x:row>
    <x:row r="26" ht="42" customHeight="1">
      <x:c r="A26" s="12" t="str">
        <x:v>REUTERS_ANN_01325</x:v>
      </x:c>
      <x:c r="B26" s="14" t="n">
        <x:v>39041</x:v>
      </x:c>
      <x:c r="C26" s="12" t="str">
        <x:v>lehman to acquire h.a. schupf</x:v>
      </x:c>
      <x:c r="D26" s="12" t="str">
        <x:v>Lehman, H.A. Schupf'u satın alacak.</x:v>
      </x:c>
      <x:c r="E26" s="12" t="n">
        <x:v>0</x:v>
      </x:c>
      <x:c r="F26" s="12" t="str">
        <x:v>neutral</x:v>
      </x:c>
      <x:c r="G26" s="16" t="n">
        <x:v>0.9361668229103088</x:v>
      </x:c>
      <x:c r="H26" s="12" t="str">
        <x:v>neutral</x:v>
      </x:c>
      <x:c r="I26" s="12" t="n">
        <x:v>0</x:v>
      </x:c>
      <x:c r="J26" s="18" t="n">
        <x:v>0.7</x:v>
      </x:c>
      <x:c r="K26" s="12" t="str">
        <x:v>Satın alma haberi var; büyüklük/etki belirtilmediği için nötr.</x:v>
      </x:c>
      <x:c r="L26" s="12" t="str">
        <x:f>IF(F26=H26,"same","different_review")</x:f>
        <x:v>same</x:v>
      </x:c>
      <x:c r="M26" s="12" t="str">
        <x:v>FinBERT ile uyumlu</x:v>
      </x:c>
    </x:row>
    <x:row r="27" ht="42" customHeight="1">
      <x:c r="A27" s="12" t="str">
        <x:v>REUTERS_ANN_01326</x:v>
      </x:c>
      <x:c r="B27" s="14" t="n">
        <x:v>39177</x:v>
      </x:c>
      <x:c r="C27" s="12" t="str">
        <x:v>wall st ends higher on chrysler bid, lower oil</x:v>
      </x:c>
      <x:c r="D27" s="12" t="str">
        <x:v>Wall Street, Chrysler teklifi ve düşük petrol etkisiyle günü yükselişle kapattı.</x:v>
      </x:c>
      <x:c r="E27" s="12" t="n">
        <x:v>1</x:v>
      </x:c>
      <x:c r="F27" s="12" t="str">
        <x:v>positive</x:v>
      </x:c>
      <x:c r="G27" s="16" t="n">
        <x:v>0.916062593460083</x:v>
      </x:c>
      <x:c r="H27" s="12" t="str">
        <x:v>positive</x:v>
      </x:c>
      <x:c r="I27" s="12" t="n">
        <x:v>1</x:v>
      </x:c>
      <x:c r="J27" s="18" t="n">
        <x:v>0.92</x:v>
      </x:c>
      <x:c r="K27" s="12" t="str">
        <x:v>Piyasanın yükselişle kapanması açık olumlu piyasa sinyali.</x:v>
      </x:c>
      <x:c r="L27" s="12" t="str">
        <x:f>IF(F27=H27,"same","different_review")</x:f>
        <x:v>same</x:v>
      </x:c>
      <x:c r="M27" s="12" t="str">
        <x:v>FinBERT ile uyumlu</x:v>
      </x:c>
    </x:row>
    <x:row r="28" ht="42" customHeight="1">
      <x:c r="A28" s="12" t="str">
        <x:v>REUTERS_ANN_01327</x:v>
      </x:c>
      <x:c r="B28" s="14" t="n">
        <x:v>39188</x:v>
      </x:c>
      <x:c r="C28" s="12" t="str">
        <x:v>citigroup profit tops forecasts</x:v>
      </x:c>
      <x:c r="D28" s="12" t="str">
        <x:v>Citigroup kârı tahminleri aştı.</x:v>
      </x:c>
      <x:c r="E28" s="12" t="n">
        <x:v>-1</x:v>
      </x:c>
      <x:c r="F28" s="12" t="str">
        <x:v>negative</x:v>
      </x:c>
      <x:c r="G28" s="16" t="n">
        <x:v>0.7192708849906921</x:v>
      </x:c>
      <x:c r="H28" s="12" t="str">
        <x:v>positive</x:v>
      </x:c>
      <x:c r="I28" s="12" t="n">
        <x:v>1</x:v>
      </x:c>
      <x:c r="J28" s="18" t="n">
        <x:v>0.95</x:v>
      </x:c>
      <x:c r="K28" s="12" t="str">
        <x:v>Kârın beklentileri aşması güçlü olumlu finansal sinyal.</x:v>
      </x:c>
      <x:c r="L28" s="12" t="str">
        <x:f>IF(F28=H28,"same","different_review")</x:f>
        <x:v>different_review</x:v>
      </x:c>
      <x:c r="M28" s="12" t="str">
        <x:v>Kontrol önerilir</x:v>
      </x:c>
    </x:row>
    <x:row r="29" ht="42" customHeight="1">
      <x:c r="A29" s="12" t="str">
        <x:v>REUTERS_ANN_01328</x:v>
      </x:c>
      <x:c r="B29" s="14" t="n">
        <x:v>39198</x:v>
      </x:c>
      <x:c r="C29" s="12" t="str">
        <x:v>first data deal sparks spat between kkr, jpmorgan</x:v>
      </x:c>
      <x:c r="D29" s="12" t="str">
        <x:v>First Data anlaşması KKR ile JPMorgan arasında tartışma başlattı.</x:v>
      </x:c>
      <x:c r="E29" s="12" t="n">
        <x:v>-1</x:v>
      </x:c>
      <x:c r="F29" s="12" t="str">
        <x:v>negative</x:v>
      </x:c>
      <x:c r="G29" s="16" t="n">
        <x:v>0.9237309098243712</x:v>
      </x:c>
      <x:c r="H29" s="12" t="str">
        <x:v>negative</x:v>
      </x:c>
      <x:c r="I29" s="12" t="n">
        <x:v>-1</x:v>
      </x:c>
      <x:c r="J29" s="18" t="n">
        <x:v>0.8</x:v>
      </x:c>
      <x:c r="K29" s="12" t="str">
        <x:v>Anlaşma çevresinde anlaşmazlık ve çatışma oluşması olumsuz belirsizlik yaratıyor.</x:v>
      </x:c>
      <x:c r="L29" s="12" t="str">
        <x:f>IF(F29=H29,"same","different_review")</x:f>
        <x:v>same</x:v>
      </x:c>
      <x:c r="M29" s="12" t="str">
        <x:v>FinBERT ile uyumlu</x:v>
      </x:c>
    </x:row>
    <x:row r="30" ht="42" customHeight="1">
      <x:c r="A30" s="12" t="str">
        <x:v>REUTERS_ANN_01329</x:v>
      </x:c>
      <x:c r="B30" s="14" t="n">
        <x:v>39156</x:v>
      </x:c>
      <x:c r="C30" s="12" t="str">
        <x:v>calpers wants reform at marsh, lilly, 9 other companies</x:v>
      </x:c>
      <x:c r="D30" s="12" t="str">
        <x:v>CalPERS, Marsh, Lilly ve 9 şirkette reform istiyor.</x:v>
      </x:c>
      <x:c r="E30" s="12" t="n">
        <x:v>-1</x:v>
      </x:c>
      <x:c r="F30" s="12" t="str">
        <x:v>negative</x:v>
      </x:c>
      <x:c r="G30" s="16" t="n">
        <x:v>0.7835516929626465</x:v>
      </x:c>
      <x:c r="H30" s="12" t="str">
        <x:v>negative</x:v>
      </x:c>
      <x:c r="I30" s="12" t="n">
        <x:v>-1</x:v>
      </x:c>
      <x:c r="J30" s="18" t="n">
        <x:v>0.75</x:v>
      </x:c>
      <x:c r="K30" s="12" t="str">
        <x:v>Kurumsal reform baskısı şirketlerde yönetim sorunlarına işaret ediyor.</x:v>
      </x:c>
      <x:c r="L30" s="12" t="str">
        <x:f>IF(F30=H30,"same","different_review")</x:f>
        <x:v>same</x:v>
      </x:c>
      <x:c r="M30" s="12" t="str">
        <x:v>FinBERT ile uyumlu</x:v>
      </x:c>
    </x:row>
    <x:row r="31" ht="42" customHeight="1">
      <x:c r="A31" s="12" t="str">
        <x:v>REUTERS_ANN_01330</x:v>
      </x:c>
      <x:c r="B31" s="14" t="n">
        <x:v>39037</x:v>
      </x:c>
      <x:c r="C31" s="12" t="str">
        <x:v>clear channel agrees to be sold for $18.7 bln</x:v>
      </x:c>
      <x:c r="D31" s="12" t="str">
        <x:v>Clear Channel 18,7 milyar dolara satılmayı kabul etti.</x:v>
      </x:c>
      <x:c r="E31" s="12" t="n">
        <x:v>0</x:v>
      </x:c>
      <x:c r="F31" s="12" t="str">
        <x:v>neutral</x:v>
      </x:c>
      <x:c r="G31" s="16" t="n">
        <x:v>0.8952739834785461</x:v>
      </x:c>
      <x:c r="H31" s="12" t="str">
        <x:v>positive</x:v>
      </x:c>
      <x:c r="I31" s="12" t="n">
        <x:v>1</x:v>
      </x:c>
      <x:c r="J31" s="18" t="n">
        <x:v>0.82</x:v>
      </x:c>
      <x:c r="K31" s="12" t="str">
        <x:v>Satış anlaşmasının kabul edilmesi hissedar değeri/M&amp;A açısından olumlu yorumlanabilir.</x:v>
      </x:c>
      <x:c r="L31" s="12" t="str">
        <x:f>IF(F31=H31,"same","different_review")</x:f>
        <x:v>different_review</x:v>
      </x:c>
      <x:c r="M31" s="12" t="str">
        <x:v>Kontrol önerilir</x:v>
      </x:c>
    </x:row>
    <x:row r="32" ht="42" customHeight="1">
      <x:c r="A32" s="12" t="str">
        <x:v>REUTERS_ANN_01331</x:v>
      </x:c>
      <x:c r="B32" s="14" t="n">
        <x:v>39210</x:v>
      </x:c>
      <x:c r="C32" s="12" t="str">
        <x:v>wsj editors knew of murdoch offer in advance report</x:v>
      </x:c>
      <x:c r="D32" s="12" t="str">
        <x:v>Habere göre WSJ editörleri Murdoch teklifini önceden biliyordu.</x:v>
      </x:c>
      <x:c r="E32" s="12" t="n">
        <x:v>0</x:v>
      </x:c>
      <x:c r="F32" s="12" t="str">
        <x:v>neutral</x:v>
      </x:c>
      <x:c r="G32" s="16" t="n">
        <x:v>0.9135648012161256</x:v>
      </x:c>
      <x:c r="H32" s="12" t="str">
        <x:v>neutral</x:v>
      </x:c>
      <x:c r="I32" s="12" t="n">
        <x:v>0</x:v>
      </x:c>
      <x:c r="J32" s="18" t="n">
        <x:v>0.68</x:v>
      </x:c>
      <x:c r="K32" s="12" t="str">
        <x:v>Bilgi akışı/kurumsal süreç haberi; net finansal yön yok.</x:v>
      </x:c>
      <x:c r="L32" s="12" t="str">
        <x:f>IF(F32=H32,"same","different_review")</x:f>
        <x:v>same</x:v>
      </x:c>
      <x:c r="M32" s="12" t="str">
        <x:v>FinBERT ile uyumlu</x:v>
      </x:c>
    </x:row>
    <x:row r="33" ht="42" customHeight="1">
      <x:c r="A33" s="12" t="str">
        <x:v>REUTERS_ANN_01332</x:v>
      </x:c>
      <x:c r="B33" s="14" t="n">
        <x:v>39169</x:v>
      </x:c>
      <x:c r="C33" s="12" t="str">
        <x:v>electronic clearing house in pact with prosecutors</x:v>
      </x:c>
      <x:c r="D33" s="12" t="str">
        <x:v>Electronic Clearing House, savcılarla anlaşma yaptı.</x:v>
      </x:c>
      <x:c r="E33" s="12" t="n">
        <x:v>0</x:v>
      </x:c>
      <x:c r="F33" s="12" t="str">
        <x:v>neutral</x:v>
      </x:c>
      <x:c r="G33" s="16" t="n">
        <x:v>0.48641037940979</x:v>
      </x:c>
      <x:c r="H33" s="12" t="str">
        <x:v>neutral</x:v>
      </x:c>
      <x:c r="I33" s="12" t="n">
        <x:v>0</x:v>
      </x:c>
      <x:c r="J33" s="18" t="n">
        <x:v>0.66</x:v>
      </x:c>
      <x:c r="K33" s="12" t="str">
        <x:v>Hukuki süreçte anlaşma var; koşullar ve etkiler belirsiz.</x:v>
      </x:c>
      <x:c r="L33" s="12" t="str">
        <x:f>IF(F33=H33,"same","different_review")</x:f>
        <x:v>same</x:v>
      </x:c>
      <x:c r="M33" s="12" t="str">
        <x:v>FinBERT ile uyumlu</x:v>
      </x:c>
    </x:row>
    <x:row r="34" ht="42" customHeight="1">
      <x:c r="A34" s="12" t="str">
        <x:v>REUTERS_ANN_01333</x:v>
      </x:c>
      <x:c r="B34" s="14" t="n">
        <x:v>39201</x:v>
      </x:c>
      <x:c r="C34" s="12" t="str">
        <x:v>feds yellen says economic downturn possible</x:v>
      </x:c>
      <x:c r="D34" s="12" t="str">
        <x:v>Fed'den Yellen, ekonomik yavaşlamanın mümkün olduğunu söyledi.</x:v>
      </x:c>
      <x:c r="E34" s="12" t="n">
        <x:v>-1</x:v>
      </x:c>
      <x:c r="F34" s="12" t="str">
        <x:v>negative</x:v>
      </x:c>
      <x:c r="G34" s="16" t="n">
        <x:v>0.8462195992469788</x:v>
      </x:c>
      <x:c r="H34" s="12" t="str">
        <x:v>negative</x:v>
      </x:c>
      <x:c r="I34" s="12" t="n">
        <x:v>-1</x:v>
      </x:c>
      <x:c r="J34" s="18" t="n">
        <x:v>0.86</x:v>
      </x:c>
      <x:c r="K34" s="12" t="str">
        <x:v>Ekonomik daralma ihtimali piyasa ve makro görünüm için olumsuz.</x:v>
      </x:c>
      <x:c r="L34" s="12" t="str">
        <x:f>IF(F34=H34,"same","different_review")</x:f>
        <x:v>same</x:v>
      </x:c>
      <x:c r="M34" s="12" t="str">
        <x:v>FinBERT ile uyumlu</x:v>
      </x:c>
    </x:row>
    <x:row r="35" ht="42" customHeight="1">
      <x:c r="A35" s="12" t="str">
        <x:v>REUTERS_ANN_01334</x:v>
      </x:c>
      <x:c r="B35" s="14" t="n">
        <x:v>39048</x:v>
      </x:c>
      <x:c r="C35" s="12" t="str">
        <x:v>iac to tie together local info services, ceo says</x:v>
      </x:c>
      <x:c r="D35" s="12" t="str">
        <x:v>IAC, yerel bilgi hizmetlerini birbirine bağlayacak.</x:v>
      </x:c>
      <x:c r="E35" s="12" t="n">
        <x:v>0</x:v>
      </x:c>
      <x:c r="F35" s="12" t="str">
        <x:v>neutral</x:v>
      </x:c>
      <x:c r="G35" s="16" t="n">
        <x:v>0.7706957459449768</x:v>
      </x:c>
      <x:c r="H35" s="12" t="str">
        <x:v>neutral</x:v>
      </x:c>
      <x:c r="I35" s="12" t="n">
        <x:v>0</x:v>
      </x:c>
      <x:c r="J35" s="18" t="n">
        <x:v>0.66</x:v>
      </x:c>
      <x:c r="K35" s="12" t="str">
        <x:v>Stratejik plan var ancak gelir/kâr etkisi net belirtilmiyor.</x:v>
      </x:c>
      <x:c r="L35" s="12" t="str">
        <x:f>IF(F35=H35,"same","different_review")</x:f>
        <x:v>same</x:v>
      </x:c>
      <x:c r="M35" s="12" t="str">
        <x:v>FinBERT ile uyumlu</x:v>
      </x:c>
    </x:row>
    <x:row r="36" ht="42" customHeight="1">
      <x:c r="A36" s="12" t="str">
        <x:v>REUTERS_ANN_01335</x:v>
      </x:c>
      <x:c r="B36" s="14" t="n">
        <x:v>39059</x:v>
      </x:c>
      <x:c r="C36" s="12" t="str">
        <x:v>citigroup denies cfo leaving but speculation lingers</x:v>
      </x:c>
      <x:c r="D36" s="12" t="str">
        <x:v>Citigroup CFO'nun ayrılacağını reddetti ancak spekülasyon sürüyor.</x:v>
      </x:c>
      <x:c r="E36" s="12" t="n">
        <x:v>0</x:v>
      </x:c>
      <x:c r="F36" s="12" t="str">
        <x:v>neutral</x:v>
      </x:c>
      <x:c r="G36" s="16" t="n">
        <x:v>0.5355086922645569</x:v>
      </x:c>
      <x:c r="H36" s="12" t="str">
        <x:v>neutral</x:v>
      </x:c>
      <x:c r="I36" s="12" t="n">
        <x:v>0</x:v>
      </x:c>
      <x:c r="J36" s="18" t="n">
        <x:v>0.62</x:v>
      </x:c>
      <x:c r="K36" s="12" t="str">
        <x:v>Şirket söylentiyi reddediyor; belirsizlik olsa da net olumsuz sonuç yok.</x:v>
      </x:c>
      <x:c r="L36" s="12" t="str">
        <x:f>IF(F36=H36,"same","different_review")</x:f>
        <x:v>same</x:v>
      </x:c>
      <x:c r="M36" s="12" t="str">
        <x:v>FinBERT ile uyumlu</x:v>
      </x:c>
    </x:row>
    <x:row r="37" ht="42" customHeight="1">
      <x:c r="A37" s="12" t="str">
        <x:v>REUTERS_ANN_01336</x:v>
      </x:c>
      <x:c r="B37" s="14" t="n">
        <x:v>39056</x:v>
      </x:c>
      <x:c r="C37" s="12" t="str">
        <x:v>regulators ok euronext/nyse merger</x:v>
      </x:c>
      <x:c r="D37" s="12" t="str">
        <x:v>Regülatörler Euronext/NYSE birleşmesini onayladı.</x:v>
      </x:c>
      <x:c r="E37" s="12" t="n">
        <x:v>1</x:v>
      </x:c>
      <x:c r="F37" s="12" t="str">
        <x:v>positive</x:v>
      </x:c>
      <x:c r="G37" s="16" t="n">
        <x:v>0.8906376361846924</x:v>
      </x:c>
      <x:c r="H37" s="12" t="str">
        <x:v>positive</x:v>
      </x:c>
      <x:c r="I37" s="12" t="n">
        <x:v>1</x:v>
      </x:c>
      <x:c r="J37" s="18" t="n">
        <x:v>0.9</x:v>
      </x:c>
      <x:c r="K37" s="12" t="str">
        <x:v>Birleşmenin onaylanması işlem kapanışı açısından olumlu.</x:v>
      </x:c>
      <x:c r="L37" s="12" t="str">
        <x:f>IF(F37=H37,"same","different_review")</x:f>
        <x:v>same</x:v>
      </x:c>
      <x:c r="M37" s="12" t="str">
        <x:v>FinBERT ile uyumlu</x:v>
      </x:c>
    </x:row>
    <x:row r="38" ht="42" customHeight="1">
      <x:c r="A38" s="12" t="str">
        <x:v>REUTERS_ANN_01337</x:v>
      </x:c>
      <x:c r="B38" s="14" t="n">
        <x:v>39023</x:v>
      </x:c>
      <x:c r="C38" s="12" t="str">
        <x:v>productivity growth stalls in third quarter</x:v>
      </x:c>
      <x:c r="D38" s="12" t="str">
        <x:v>Üçüncü çeyrekte verimlilik artışı durdu.</x:v>
      </x:c>
      <x:c r="E38" s="12" t="n">
        <x:v>-1</x:v>
      </x:c>
      <x:c r="F38" s="12" t="str">
        <x:v>negative</x:v>
      </x:c>
      <x:c r="G38" s="16" t="n">
        <x:v>0.967738151550293</x:v>
      </x:c>
      <x:c r="H38" s="12" t="str">
        <x:v>negative</x:v>
      </x:c>
      <x:c r="I38" s="12" t="n">
        <x:v>-1</x:v>
      </x:c>
      <x:c r="J38" s="18" t="n">
        <x:v>0.84</x:v>
      </x:c>
      <x:c r="K38" s="12" t="str">
        <x:v>Verimlilik büyümesinin durması makro/şirket maliyetleri açısından olumsuz.</x:v>
      </x:c>
      <x:c r="L38" s="12" t="str">
        <x:f>IF(F38=H38,"same","different_review")</x:f>
        <x:v>same</x:v>
      </x:c>
      <x:c r="M38" s="12" t="str">
        <x:v>FinBERT ile uyumlu</x:v>
      </x:c>
    </x:row>
    <x:row r="39" ht="42" customHeight="1">
      <x:c r="A39" s="12" t="str">
        <x:v>REUTERS_ANN_01338</x:v>
      </x:c>
      <x:c r="B39" s="14" t="n">
        <x:v>39119</x:v>
      </x:c>
      <x:c r="C39" s="12" t="str">
        <x:v>shares seen firm on cisco earnings hopes</x:v>
      </x:c>
      <x:c r="D39" s="12" t="str">
        <x:v>Cisco bilançosu beklentileriyle hisselerin güçlü açılması bekleniyor.</x:v>
      </x:c>
      <x:c r="E39" s="12" t="n">
        <x:v>1</x:v>
      </x:c>
      <x:c r="F39" s="12" t="str">
        <x:v>positive</x:v>
      </x:c>
      <x:c r="G39" s="16" t="n">
        <x:v>0.9473114013671876</x:v>
      </x:c>
      <x:c r="H39" s="12" t="str">
        <x:v>positive</x:v>
      </x:c>
      <x:c r="I39" s="12" t="n">
        <x:v>1</x:v>
      </x:c>
      <x:c r="J39" s="18" t="n">
        <x:v>0.87</x:v>
      </x:c>
      <x:c r="K39" s="12" t="str">
        <x:v>Hisse piyasasında güçlenme beklentisi olumlu.</x:v>
      </x:c>
      <x:c r="L39" s="12" t="str">
        <x:f>IF(F39=H39,"same","different_review")</x:f>
        <x:v>same</x:v>
      </x:c>
      <x:c r="M39" s="12" t="str">
        <x:v>FinBERT ile uyumlu</x:v>
      </x:c>
    </x:row>
    <x:row r="40" ht="42" customHeight="1">
      <x:c r="A40" s="12" t="str">
        <x:v>REUTERS_ANN_01339</x:v>
      </x:c>
      <x:c r="B40" s="14" t="n">
        <x:v>39182</x:v>
      </x:c>
      <x:c r="C40" s="12" t="str">
        <x:v>inflation too high, more work needed feds fisher</x:v>
      </x:c>
      <x:c r="D40" s="12" t="str">
        <x:v>Fed'den Fisher: Enflasyon çok yüksek, daha fazla çalışma gerekiyor.</x:v>
      </x:c>
      <x:c r="E40" s="12" t="n">
        <x:v>0</x:v>
      </x:c>
      <x:c r="F40" s="12" t="str">
        <x:v>neutral</x:v>
      </x:c>
      <x:c r="G40" s="16" t="n">
        <x:v>0.8317720890045166</x:v>
      </x:c>
      <x:c r="H40" s="12" t="str">
        <x:v>negative</x:v>
      </x:c>
      <x:c r="I40" s="12" t="n">
        <x:v>-1</x:v>
      </x:c>
      <x:c r="J40" s="18" t="n">
        <x:v>0.84</x:v>
      </x:c>
      <x:c r="K40" s="12" t="str">
        <x:v>Yüksek enflasyon ve sıkı duruş ihtimali piyasa için olumsuz.</x:v>
      </x:c>
      <x:c r="L40" s="12" t="str">
        <x:f>IF(F40=H40,"same","different_review")</x:f>
        <x:v>different_review</x:v>
      </x:c>
      <x:c r="M40" s="12" t="str">
        <x:v>Kontrol önerilir</x:v>
      </x:c>
    </x:row>
    <x:row r="41" ht="42" customHeight="1">
      <x:c r="A41" s="12" t="str">
        <x:v>REUTERS_ANN_01340</x:v>
      </x:c>
      <x:c r="B41" s="14" t="n">
        <x:v>39023</x:v>
      </x:c>
      <x:c r="C41" s="12" t="str">
        <x:v>update 3-qualcomm quarterly profit, revenue rise</x:v>
      </x:c>
      <x:c r="D41" s="12" t="str">
        <x:v>Qualcomm'un üç aylık kârı ve geliri arttı.</x:v>
      </x:c>
      <x:c r="E41" s="12" t="n">
        <x:v>1</x:v>
      </x:c>
      <x:c r="F41" s="12" t="str">
        <x:v>positive</x:v>
      </x:c>
      <x:c r="G41" s="16" t="n">
        <x:v>0.7068963646888733</x:v>
      </x:c>
      <x:c r="H41" s="12" t="str">
        <x:v>positive</x:v>
      </x:c>
      <x:c r="I41" s="12" t="n">
        <x:v>1</x:v>
      </x:c>
      <x:c r="J41" s="18" t="n">
        <x:v>0.93</x:v>
      </x:c>
      <x:c r="K41" s="12" t="str">
        <x:v>Kâr ve gelir artışı açık olumlu finansal performans.</x:v>
      </x:c>
      <x:c r="L41" s="12" t="str">
        <x:f>IF(F41=H41,"same","different_review")</x:f>
        <x:v>same</x:v>
      </x:c>
      <x:c r="M41" s="12" t="str">
        <x:v>FinBERT ile uyumlu</x:v>
      </x:c>
    </x:row>
    <x:row r="42" ht="42" customHeight="1">
      <x:c r="A42" s="12" t="str">
        <x:v>REUTERS_ANN_01341</x:v>
      </x:c>
      <x:c r="B42" s="14" t="n">
        <x:v>39090</x:v>
      </x:c>
      <x:c r="C42" s="12" t="str">
        <x:v>boston scientific says crm business rebounding</x:v>
      </x:c>
      <x:c r="D42" s="12" t="str">
        <x:v>Boston Scientific, CRM işinin toparlandığını söyledi.</x:v>
      </x:c>
      <x:c r="E42" s="12" t="n">
        <x:v>-1</x:v>
      </x:c>
      <x:c r="F42" s="12" t="str">
        <x:v>negative</x:v>
      </x:c>
      <x:c r="G42" s="16" t="n">
        <x:v>0.8456264734268188</x:v>
      </x:c>
      <x:c r="H42" s="12" t="str">
        <x:v>positive</x:v>
      </x:c>
      <x:c r="I42" s="12" t="n">
        <x:v>1</x:v>
      </x:c>
      <x:c r="J42" s="18" t="n">
        <x:v>0.82</x:v>
      </x:c>
      <x:c r="K42" s="12" t="str">
        <x:v>İş kolunda toparlanma şirket görünümü için olumlu.</x:v>
      </x:c>
      <x:c r="L42" s="12" t="str">
        <x:f>IF(F42=H42,"same","different_review")</x:f>
        <x:v>different_review</x:v>
      </x:c>
      <x:c r="M42" s="12" t="str">
        <x:v>Kontrol önerilir</x:v>
      </x:c>
    </x:row>
    <x:row r="43" ht="42" customHeight="1">
      <x:c r="A43" s="12" t="str">
        <x:v>REUTERS_ANN_01342</x:v>
      </x:c>
      <x:c r="B43" s="14" t="n">
        <x:v>39183</x:v>
      </x:c>
      <x:c r="C43" s="12" t="str">
        <x:v>bernanke light regulation of hedge funds works well</x:v>
      </x:c>
      <x:c r="D43" s="12" t="str">
        <x:v>Bernanke, hedge fonlarda hafif düzenlemenin iyi çalıştığını söyledi.</x:v>
      </x:c>
      <x:c r="E43" s="12" t="n">
        <x:v>0</x:v>
      </x:c>
      <x:c r="F43" s="12" t="str">
        <x:v>neutral</x:v>
      </x:c>
      <x:c r="G43" s="16" t="n">
        <x:v>0.5992151498794556</x:v>
      </x:c>
      <x:c r="H43" s="12" t="str">
        <x:v>neutral</x:v>
      </x:c>
      <x:c r="I43" s="12" t="n">
        <x:v>0</x:v>
      </x:c>
      <x:c r="J43" s="18" t="n">
        <x:v>0.7</x:v>
      </x:c>
      <x:c r="K43" s="12" t="str">
        <x:v>Politika yorumu; doğrudan piyasa veya şirket kâr etkisi yok.</x:v>
      </x:c>
      <x:c r="L43" s="12" t="str">
        <x:f>IF(F43=H43,"same","different_review")</x:f>
        <x:v>same</x:v>
      </x:c>
      <x:c r="M43" s="12" t="str">
        <x:v>FinBERT ile uyumlu</x:v>
      </x:c>
    </x:row>
    <x:row r="44" ht="42" customHeight="1">
      <x:c r="A44" s="12" t="str">
        <x:v>REUTERS_ANN_01343</x:v>
      </x:c>
      <x:c r="B44" s="14" t="n">
        <x:v>39205</x:v>
      </x:c>
      <x:c r="C44" s="12" t="str">
        <x:v>bank of america says aims to guard legal rights</x:v>
      </x:c>
      <x:c r="D44" s="12" t="str">
        <x:v>Bank of America yasal haklarını korumayı hedeflediğini söyledi.</x:v>
      </x:c>
      <x:c r="E44" s="12" t="n">
        <x:v>0</x:v>
      </x:c>
      <x:c r="F44" s="12" t="str">
        <x:v>neutral</x:v>
      </x:c>
      <x:c r="G44" s="16" t="n">
        <x:v>0.8713297843933105</x:v>
      </x:c>
      <x:c r="H44" s="12" t="str">
        <x:v>neutral</x:v>
      </x:c>
      <x:c r="I44" s="12" t="n">
        <x:v>0</x:v>
      </x:c>
      <x:c r="J44" s="18" t="n">
        <x:v>0.7</x:v>
      </x:c>
      <x:c r="K44" s="12" t="str">
        <x:v>Yasal pozisyon açıklaması; net finansal sonuç belirtilmiyor.</x:v>
      </x:c>
      <x:c r="L44" s="12" t="str">
        <x:f>IF(F44=H44,"same","different_review")</x:f>
        <x:v>same</x:v>
      </x:c>
      <x:c r="M44" s="12" t="str">
        <x:v>FinBERT ile uyumlu</x:v>
      </x:c>
    </x:row>
    <x:row r="45" ht="42" customHeight="1">
      <x:c r="A45" s="12" t="str">
        <x:v>REUTERS_ANN_01344</x:v>
      </x:c>
      <x:c r="B45" s="14" t="n">
        <x:v>39062</x:v>
      </x:c>
      <x:c r="C45" s="12" t="str">
        <x:v>china to respond positively to paulson</x:v>
      </x:c>
      <x:c r="D45" s="12" t="str">
        <x:v>Çin, Paulson'a olumlu yanıt vereceğini bildirdi.</x:v>
      </x:c>
      <x:c r="E45" s="12" t="n">
        <x:v>-1</x:v>
      </x:c>
      <x:c r="F45" s="12" t="str">
        <x:v>negative</x:v>
      </x:c>
      <x:c r="G45" s="16" t="n">
        <x:v>0.6701162457466125</x:v>
      </x:c>
      <x:c r="H45" s="12" t="str">
        <x:v>positive</x:v>
      </x:c>
      <x:c r="I45" s="12" t="n">
        <x:v>1</x:v>
      </x:c>
      <x:c r="J45" s="18" t="n">
        <x:v>0.76</x:v>
      </x:c>
      <x:c r="K45" s="12" t="str">
        <x:v>Diplomatik/ekonomik diyalogda olumlu yanıt beklentisi pozitif.</x:v>
      </x:c>
      <x:c r="L45" s="12" t="str">
        <x:f>IF(F45=H45,"same","different_review")</x:f>
        <x:v>different_review</x:v>
      </x:c>
      <x:c r="M45" s="12" t="str">
        <x:v>Kontrol önerilir</x:v>
      </x:c>
    </x:row>
    <x:row r="46" ht="42" customHeight="1">
      <x:c r="A46" s="12" t="str">
        <x:v>REUTERS_ANN_01345</x:v>
      </x:c>
      <x:c r="B46" s="14" t="n">
        <x:v>39121</x:v>
      </x:c>
      <x:c r="C46" s="12" t="str">
        <x:v>bt pleases with q3 earnings, strong outlook</x:v>
      </x:c>
      <x:c r="D46" s="12" t="str">
        <x:v>BT, üçüncü çeyrek kârı ve güçlü görünümüyle memnun etti.</x:v>
      </x:c>
      <x:c r="E46" s="12" t="n">
        <x:v>1</x:v>
      </x:c>
      <x:c r="F46" s="12" t="str">
        <x:v>positive</x:v>
      </x:c>
      <x:c r="G46" s="16" t="n">
        <x:v>0.9525492787361144</x:v>
      </x:c>
      <x:c r="H46" s="12" t="str">
        <x:v>positive</x:v>
      </x:c>
      <x:c r="I46" s="12" t="n">
        <x:v>1</x:v>
      </x:c>
      <x:c r="J46" s="18" t="n">
        <x:v>0.94</x:v>
      </x:c>
      <x:c r="K46" s="12" t="str">
        <x:v>Güçlü kâr ve görünüm açık olumlu.</x:v>
      </x:c>
      <x:c r="L46" s="12" t="str">
        <x:f>IF(F46=H46,"same","different_review")</x:f>
        <x:v>same</x:v>
      </x:c>
      <x:c r="M46" s="12" t="str">
        <x:v>FinBERT ile uyumlu</x:v>
      </x:c>
    </x:row>
    <x:row r="47" ht="42" customHeight="1">
      <x:c r="A47" s="12" t="str">
        <x:v>REUTERS_ANN_01346</x:v>
      </x:c>
      <x:c r="B47" s="14" t="n">
        <x:v>39014</x:v>
      </x:c>
      <x:c r="C47" s="12" t="str">
        <x:v>pepsico looks to new products, acquisitions</x:v>
      </x:c>
      <x:c r="D47" s="12" t="str">
        <x:v>PepsiCo yeni ürünlere ve satın almalara yöneliyor.</x:v>
      </x:c>
      <x:c r="E47" s="12" t="n">
        <x:v>1</x:v>
      </x:c>
      <x:c r="F47" s="12" t="str">
        <x:v>positive</x:v>
      </x:c>
      <x:c r="G47" s="16" t="n">
        <x:v>0.61753249168396</x:v>
      </x:c>
      <x:c r="H47" s="12" t="str">
        <x:v>positive</x:v>
      </x:c>
      <x:c r="I47" s="12" t="n">
        <x:v>1</x:v>
      </x:c>
      <x:c r="J47" s="18" t="n">
        <x:v>0.72</x:v>
      </x:c>
      <x:c r="K47" s="12" t="str">
        <x:v>Büyüme ve genişleme odaklı strateji olumlu; kesin finansal etki sınırlı.</x:v>
      </x:c>
      <x:c r="L47" s="12" t="str">
        <x:f>IF(F47=H47,"same","different_review")</x:f>
        <x:v>same</x:v>
      </x:c>
      <x:c r="M47" s="12" t="str">
        <x:v>FinBERT ile uyumlu</x:v>
      </x:c>
    </x:row>
    <x:row r="48" ht="42" customHeight="1">
      <x:c r="A48" s="12" t="str">
        <x:v>REUTERS_ANN_01347</x:v>
      </x:c>
      <x:c r="B48" s="14" t="n">
        <x:v>39119</x:v>
      </x:c>
      <x:c r="C48" s="12" t="str">
        <x:v>bernanke focus on skills to widen opportunity</x:v>
      </x:c>
      <x:c r="D48" s="12" t="str">
        <x:v>Bernanke fırsatları genişletmek için becerilere odaklandı.</x:v>
      </x:c>
      <x:c r="E48" s="12" t="n">
        <x:v>0</x:v>
      </x:c>
      <x:c r="F48" s="12" t="str">
        <x:v>neutral</x:v>
      </x:c>
      <x:c r="G48" s="16" t="n">
        <x:v>0.798259437084198</x:v>
      </x:c>
      <x:c r="H48" s="12" t="str">
        <x:v>neutral</x:v>
      </x:c>
      <x:c r="I48" s="12" t="n">
        <x:v>0</x:v>
      </x:c>
      <x:c r="J48" s="18" t="n">
        <x:v>0.68</x:v>
      </x:c>
      <x:c r="K48" s="12" t="str">
        <x:v>Genel politika/ekonomi yorumu; net piyasa yönü yok.</x:v>
      </x:c>
      <x:c r="L48" s="12" t="str">
        <x:f>IF(F48=H48,"same","different_review")</x:f>
        <x:v>same</x:v>
      </x:c>
      <x:c r="M48" s="12" t="str">
        <x:v>FinBERT ile uyumlu</x:v>
      </x:c>
    </x:row>
    <x:row r="49" ht="42" customHeight="1">
      <x:c r="A49" s="12" t="str">
        <x:v>REUTERS_ANN_01348</x:v>
      </x:c>
      <x:c r="B49" s="14" t="n">
        <x:v>39195</x:v>
      </x:c>
      <x:c r="C49" s="12" t="str">
        <x:v>wall st down on oil, mortgage woes</x:v>
      </x:c>
      <x:c r="D49" s="12" t="str">
        <x:v>Wall Street petrol ve mortgage sıkıntılarıyla geriledi.</x:v>
      </x:c>
      <x:c r="E49" s="12" t="n">
        <x:v>-1</x:v>
      </x:c>
      <x:c r="F49" s="12" t="str">
        <x:v>negative</x:v>
      </x:c>
      <x:c r="G49" s="16" t="n">
        <x:v>0.968984603881836</x:v>
      </x:c>
      <x:c r="H49" s="12" t="str">
        <x:v>negative</x:v>
      </x:c>
      <x:c r="I49" s="12" t="n">
        <x:v>-1</x:v>
      </x:c>
      <x:c r="J49" s="18" t="n">
        <x:v>0.92</x:v>
      </x:c>
      <x:c r="K49" s="12" t="str">
        <x:v>Piyasanın düşmesi ve mortgage sorunları açık olumsuz.</x:v>
      </x:c>
      <x:c r="L49" s="12" t="str">
        <x:f>IF(F49=H49,"same","different_review")</x:f>
        <x:v>same</x:v>
      </x:c>
      <x:c r="M49" s="12" t="str">
        <x:v>FinBERT ile uyumlu</x:v>
      </x:c>
    </x:row>
    <x:row r="50" ht="42" customHeight="1">
      <x:c r="A50" s="12" t="str">
        <x:v>REUTERS_ANN_01349</x:v>
      </x:c>
      <x:c r="B50" s="14" t="n">
        <x:v>39187</x:v>
      </x:c>
      <x:c r="C50" s="12" t="str">
        <x:v>celesio seeks to cut deal with kkr on boots paper</x:v>
      </x:c>
      <x:c r="D50" s="12" t="str">
        <x:v>Celesio, Boots konusunda KKR ile anlaşma yapmaya çalışıyor.</x:v>
      </x:c>
      <x:c r="E50" s="12" t="n">
        <x:v>0</x:v>
      </x:c>
      <x:c r="F50" s="12" t="str">
        <x:v>neutral</x:v>
      </x:c>
      <x:c r="G50" s="16" t="n">
        <x:v>0.6432071924209595</x:v>
      </x:c>
      <x:c r="H50" s="12" t="str">
        <x:v>neutral</x:v>
      </x:c>
      <x:c r="I50" s="12" t="n">
        <x:v>0</x:v>
      </x:c>
      <x:c r="J50" s="18" t="n">
        <x:v>0.7</x:v>
      </x:c>
      <x:c r="K50" s="12" t="str">
        <x:v>Olası anlaşma görüşmesi var; sonuç ve değer etkisi belirsiz.</x:v>
      </x:c>
      <x:c r="L50" s="12" t="str">
        <x:f>IF(F50=H50,"same","different_review")</x:f>
        <x:v>same</x:v>
      </x:c>
      <x:c r="M50" s="12" t="str">
        <x:v>FinBERT ile uyumlu</x:v>
      </x:c>
    </x:row>
    <x:row r="51" ht="42" customHeight="1">
      <x:c r="A51" s="12" t="str">
        <x:v>REUTERS_ANN_01350</x:v>
      </x:c>
      <x:c r="B51" s="14" t="n">
        <x:v>39067</x:v>
      </x:c>
      <x:c r="C51" s="12" t="str">
        <x:v>stocks wait for ppi, mergers and santa</x:v>
      </x:c>
      <x:c r="D51" s="12" t="str">
        <x:v>Hisseler ÜFE, birleşmeler ve yıl sonu rallisi beklentisini izliyor.</x:v>
      </x:c>
      <x:c r="E51" s="12" t="n">
        <x:v>0</x:v>
      </x:c>
      <x:c r="F51" s="12" t="str">
        <x:v>neutral</x:v>
      </x:c>
      <x:c r="G51" s="16" t="n">
        <x:v>0.7869731187820435</x:v>
      </x:c>
      <x:c r="H51" s="12" t="str">
        <x:v>neutral</x:v>
      </x:c>
      <x:c r="I51" s="12" t="n">
        <x:v>0</x:v>
      </x:c>
      <x:c r="J51" s="18" t="n">
        <x:v>0.7</x:v>
      </x:c>
      <x:c r="K51" s="12" t="str">
        <x:v>Piyasa bekleyişi niteliğinde; açık yönsel sinyal sınırlı.</x:v>
      </x:c>
      <x:c r="L51" s="12" t="str">
        <x:f>IF(F51=H51,"same","different_review")</x:f>
        <x:v>same</x:v>
      </x:c>
      <x:c r="M51" s="12" t="str">
        <x:v>FinBERT ile uyumlu</x:v>
      </x:c>
    </x:row>
  </x:sheetData>
  <x:conditionalFormatting sqref="H2:H51">
    <x:cfRule type="expression" dxfId="0" priority="1">
      <x:formula>H2="positive"</x:formula>
    </x:cfRule>
    <x:cfRule type="expression" dxfId="1" priority="2">
      <x:formula>H2="negative"</x:formula>
    </x:cfRule>
    <x:cfRule type="expression" dxfId="2" priority="3">
      <x:formula>H2="neutral"</x:formula>
    </x:cfRule>
  </x:conditionalFormatting>
  <x:conditionalFormatting sqref="L2:L51">
    <x:cfRule type="expression" dxfId="3" priority="4">
      <x:formula>L2="different_review"</x:formula>
    </x:cfRule>
    <x:cfRule type="expression" dxfId="4" priority="5">
      <x:formula>L2="same"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24147816308417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</x:cols>
  <x:sheetData>
    <x:row r="1">
      <x:c r="A1" s="5" t="str">
        <x:v>REUTERS Annotation Batch</x:v>
      </x:c>
      <x:c r="B1" s="5" t="str">
        <x:v>027</x:v>
      </x:c>
    </x:row>
    <x:row r="2">
      <x:c r="A2" s="12" t="str">
        <x:v>Rows</x:v>
      </x:c>
      <x:c r="B2" s="12" t="str">
        <x:v>1300 - 1349</x:v>
      </x:c>
    </x:row>
    <x:row r="3">
      <x:c r="A3" s="12" t="str">
        <x:v>Total rows</x:v>
      </x:c>
      <x:c r="B3" s="12" t="n">
        <x:v>50</x:v>
      </x:c>
    </x:row>
    <x:row r="4">
      <x:c r="A4" s="12" t="str"/>
      <x:c r="B4" s="12" t="str"/>
    </x:row>
    <x:row r="5">
      <x:c r="A5" s="6" t="str">
        <x:v>ChatGPT label</x:v>
      </x:c>
      <x:c r="B5" s="6" t="str">
        <x:v>Count</x:v>
      </x:c>
    </x:row>
    <x:row r="6">
      <x:c r="A6" s="12" t="str">
        <x:v>positive</x:v>
      </x:c>
      <x:c r="B6" s="12" t="n">
        <x:f>COUNTIF(annotations!H:H,"positive")</x:f>
        <x:v>17</x:v>
      </x:c>
    </x:row>
    <x:row r="7">
      <x:c r="A7" s="12" t="str">
        <x:v>neutral</x:v>
      </x:c>
      <x:c r="B7" s="12" t="n">
        <x:f>COUNTIF(annotations!H:H,"neutral")</x:f>
        <x:v>18</x:v>
      </x:c>
    </x:row>
    <x:row r="8">
      <x:c r="A8" s="12" t="str">
        <x:v>negative</x:v>
      </x:c>
      <x:c r="B8" s="12" t="n">
        <x:f>COUNTIF(annotations!H:H,"negative")</x:f>
        <x:v>15</x:v>
      </x:c>
    </x:row>
    <x:row r="9">
      <x:c r="A9" s="12" t="str"/>
      <x:c r="B9" s="12" t="str"/>
    </x:row>
    <x:row r="10">
      <x:c r="A10" s="6" t="str">
        <x:v>FinBERT comparison</x:v>
      </x:c>
      <x:c r="B10" s="6" t="str">
        <x:v>Count</x:v>
      </x:c>
    </x:row>
    <x:row r="11">
      <x:c r="A11" s="12" t="str">
        <x:v>same</x:v>
      </x:c>
      <x:c r="B11" s="12" t="n">
        <x:f>COUNTIF(annotations!L:L,"same")</x:f>
        <x:v>36</x:v>
      </x:c>
    </x:row>
    <x:row r="12">
      <x:c r="A12" s="12" t="str">
        <x:v>different_review</x:v>
      </x:c>
      <x:c r="B12" s="12" t="n">
        <x:f>COUNTIF(annotations!L:L,"different_review")</x:f>
        <x:v>14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6" t="str">
        <x:v>Alan</x:v>
      </x:c>
      <x:c r="B1" s="6" t="str">
        <x:v>Açıklama</x:v>
      </x:c>
    </x:row>
    <x:row r="2">
      <x:c r="A2" s="12" t="str">
        <x:v>text_tr</x:v>
      </x:c>
      <x:c r="B2" s="12" t="str">
        <x:v>İngilizce haber başlığının Türkçe çevirisi.</x:v>
      </x:c>
    </x:row>
    <x:row r="3">
      <x:c r="A3" s="12" t="str">
        <x:v>chatgpt_label</x:v>
      </x:c>
      <x:c r="B3" s="12" t="str">
        <x:v>Haberin baskın yatırım/piyasa/şirket etkisine göre nihai duygu etiketi: positive, neutral, negative.</x:v>
      </x:c>
    </x:row>
    <x:row r="4">
      <x:c r="A4" s="12" t="str">
        <x:v>chatgpt_confidence</x:v>
      </x:c>
      <x:c r="B4" s="12" t="str">
        <x:v>Etiketleme güven skoru. Başlık kısa veya bağlamı sınırlı ise düşük/orta tutuldu.</x:v>
      </x:c>
    </x:row>
    <x:row r="5">
      <x:c r="A5" s="12" t="str">
        <x:v>chatgpt_reason_tr</x:v>
      </x:c>
      <x:c r="B5" s="12" t="str">
        <x:v>Nihai etiket için kısa Türkçe gerekçe.</x:v>
      </x:c>
    </x:row>
    <x:row r="6">
      <x:c r="A6" s="12" t="str">
        <x:v>finbert_correctness</x:v>
      </x:c>
      <x:c r="B6" s="12" t="str">
        <x:v>FinBERT etiketi ile ChatGPT nihai etiketi aynıysa 'same', farklıysa 'different_review'.</x:v>
      </x:c>
    </x:row>
    <x:row r="7">
      <x:c r="A7" s="12" t="str">
        <x:v>review_note</x:v>
      </x:c>
      <x:c r="B7" s="12" t="str">
        <x:v>Farklı etiketlerde manuel kontrol önerisi veya uyum notu.</x:v>
      </x:c>
    </x:row>
  </x:sheetData>
  <x:pageMargins left="0.7" right="0.7" top="0.75" bottom="0.75" header="0.3" footer="0.3"/>
</x:worksheet>
</file>