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499f9c3fb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a351ccbaaafa4a1e"/>
    <x:sheet xmlns:r="http://schemas.openxmlformats.org/officeDocument/2006/relationships" name="Summary" sheetId="2" r:id="R294efe8cbdbb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0"/>
    <x:numFmt numFmtId="202" formatCode="0.00"/>
    <x:numFmt numFmtId="203" formatCode="0.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i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ont>
        <x:b/>
      </x:font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1ebde0b404c15" /><Relationship Type="http://schemas.openxmlformats.org/officeDocument/2006/relationships/theme" Target="/xl/theme/theme1.xml" Id="R01c22a48c38e4ccf" /><Relationship Type="http://schemas.openxmlformats.org/officeDocument/2006/relationships/sharedStrings" Target="/xl/sharedStrings.xml" Id="R97e661f617fa469e" /><Relationship Type="http://schemas.openxmlformats.org/officeDocument/2006/relationships/worksheet" Target="/xl/worksheets/sheet1.xml" Id="Ra351ccbaaafa4a1e" /><Relationship Type="http://schemas.openxmlformats.org/officeDocument/2006/relationships/worksheet" Target="/xl/worksheets/sheet2.xml" Id="R294efe8cbdbb4120" /></Relationships>
</file>

<file path=xl/tables/table1.xml><?xml version="1.0" encoding="utf-8"?>
<x:table xmlns:x="http://schemas.openxmlformats.org/spreadsheetml/2006/main" id="1" name="ReutersBatch007Table" displayName="ReutersBatch007Table" ref="A1:M51" headerRowCount="1">
  <x:tableColumns count="13">
    <x:tableColumn id="1" name="annotation_id"/>
    <x:tableColumn id="2" name="date"/>
    <x:tableColumn id="3" name="text_en"/>
    <x:tableColumn id="4" name="text_tr"/>
    <x:tableColumn id="5" name="finbert_score"/>
    <x:tableColumn id="6" name="finbert_label"/>
    <x:tableColumn id="7" name="finbert_confidence"/>
    <x:tableColumn id="8" name="chatgpt_score"/>
    <x:tableColumn id="9" name="chatgpt_label"/>
    <x:tableColumn id="10" name="chatgpt_confidence"/>
    <x:tableColumn id="11" name="chatgpt_reason_tr"/>
    <x:tableColumn id="12" name="finbert_match"/>
    <x:tableColumn id="13" name="review_note_t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9454fcc17b484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16" hidden="0" customWidth="1"/>
    <x:col min="8" max="8" width="13" hidden="0" customWidth="1"/>
    <x:col min="9" max="9" width="14" hidden="0" customWidth="1"/>
    <x:col min="10" max="10" width="18" hidden="0" customWidth="1"/>
    <x:col min="11" max="11" width="55" hidden="0" customWidth="1"/>
    <x:col min="12" max="12" width="18" hidden="0" customWidth="1"/>
    <x:col min="13" max="13" width="52" hidden="0" customWidth="1"/>
  </x:cols>
  <x:sheetData>
    <x:row r="1" ht="26" customHeight="1">
      <x:c r="A1" s="10" t="str">
        <x:v>annotation_id</x:v>
      </x:c>
      <x:c r="B1" s="10" t="str">
        <x:v>date</x:v>
      </x:c>
      <x:c r="C1" s="10" t="str">
        <x:v>text_en</x:v>
      </x:c>
      <x:c r="D1" s="10" t="str">
        <x:v>text_tr</x:v>
      </x:c>
      <x:c r="E1" s="10" t="str">
        <x:v>finbert_score</x:v>
      </x:c>
      <x:c r="F1" s="10" t="str">
        <x:v>finbert_label</x:v>
      </x:c>
      <x:c r="G1" s="10" t="str">
        <x:v>finbert_confidence</x:v>
      </x:c>
      <x:c r="H1" s="10" t="str">
        <x:v>chatgpt_score</x:v>
      </x:c>
      <x:c r="I1" s="10" t="str">
        <x:v>chatgpt_label</x:v>
      </x:c>
      <x:c r="J1" s="10" t="str">
        <x:v>chatgpt_confidence</x:v>
      </x:c>
      <x:c r="K1" s="10" t="str">
        <x:v>chatgpt_reason_tr</x:v>
      </x:c>
      <x:c r="L1" s="10" t="str">
        <x:v>finbert_match</x:v>
      </x:c>
      <x:c r="M1" s="10" t="str">
        <x:v>review_note_tr</x:v>
      </x:c>
    </x:row>
    <x:row r="2" ht="48" customHeight="1">
      <x:c r="A2" s="11" t="str">
        <x:v>REUTERS_ANN_00301</x:v>
      </x:c>
      <x:c r="B2" s="14" t="n">
        <x:v>39045</x:v>
      </x:c>
      <x:c r="C2" s="11" t="str">
        <x:v>scania rebuffs man again, sees new payout prospect</x:v>
      </x:c>
      <x:c r="D2" s="11" t="str">
        <x:v>Scania, MAN'in teklifini yeniden reddediyor; yeni temettü/ödeme ihtimali görüyor.</x:v>
      </x:c>
      <x:c r="E2" s="11" t="n">
        <x:v>-1</x:v>
      </x:c>
      <x:c r="F2" s="11" t="str">
        <x:v>negative</x:v>
      </x:c>
      <x:c r="G2" s="16" t="n">
        <x:v>0.9360670447349548</x:v>
      </x:c>
      <x:c r="H2" s="11" t="n">
        <x:v>1</x:v>
      </x:c>
      <x:c r="I2" s="11" t="str">
        <x:v>positive</x:v>
      </x:c>
      <x:c r="J2" s="18" t="n">
        <x:v>0.68</x:v>
      </x:c>
      <x:c r="K2" s="11" t="str">
        <x:v>Teklifin reddi karışık olsa da yeni ödeme/dağıtım ihtimali yatırımcı açısından olumlu sinyal veriyor.</x:v>
      </x:c>
      <x:c r="L2" s="11" t="str">
        <x:f>IF($F2=$I2,"same","different_review")</x:f>
        <x:v>different_review</x:v>
      </x:c>
      <x:c r="M2" s="11" t="str">
        <x:v>FinBERT negative demiş; benim etiketim positive. Manuel kontrolde bu satır gözden geçirilebilir.</x:v>
      </x:c>
    </x:row>
    <x:row r="3" ht="48" customHeight="1">
      <x:c r="A3" s="11" t="str">
        <x:v>REUTERS_ANN_00302</x:v>
      </x:c>
      <x:c r="B3" s="14" t="n">
        <x:v>39013</x:v>
      </x:c>
      <x:c r="C3" s="11" t="str">
        <x:v>fda rejects antibiotic from replidyne, forest</x:v>
      </x:c>
      <x:c r="D3" s="11" t="str">
        <x:v>FDA, Replidyne ve Forest'ın antibiyotiğini reddetti.</x:v>
      </x:c>
      <x:c r="E3" s="11" t="n">
        <x:v>-1</x:v>
      </x:c>
      <x:c r="F3" s="11" t="str">
        <x:v>negative</x:v>
      </x:c>
      <x:c r="G3" s="16" t="n">
        <x:v>0.9688729047775269</x:v>
      </x:c>
      <x:c r="H3" s="11" t="n">
        <x:v>-1</x:v>
      </x:c>
      <x:c r="I3" s="11" t="str">
        <x:v>negative</x:v>
      </x:c>
      <x:c r="J3" s="18" t="n">
        <x:v>0.95</x:v>
      </x:c>
      <x:c r="K3" s="11" t="str">
        <x:v>Regülasyon reddi ürün ve gelir beklentileri açısından açık olumsuzdur.</x:v>
      </x:c>
      <x:c r="L3" s="11" t="str">
        <x:f>IF($F3=$I3,"same","different_review")</x:f>
        <x:v>same</x:v>
      </x:c>
      <x:c r="M3" s="11" t="str">
        <x:v>FinBERT ile aynı.</x:v>
      </x:c>
    </x:row>
    <x:row r="4" ht="48" customHeight="1">
      <x:c r="A4" s="11" t="str">
        <x:v>REUTERS_ANN_00303</x:v>
      </x:c>
      <x:c r="B4" s="14" t="n">
        <x:v>39079</x:v>
      </x:c>
      <x:c r="C4" s="11" t="str">
        <x:v>update 2-alliance data to buy abacus for $435 mln</x:v>
      </x:c>
      <x:c r="D4" s="11" t="str">
        <x:v>Güncelleme 2: Alliance Data, Abacus'u 435 milyon dolara satın alacak.</x:v>
      </x:c>
      <x:c r="E4" s="11" t="n">
        <x:v>0</x:v>
      </x:c>
      <x:c r="F4" s="11" t="str">
        <x:v>neutral</x:v>
      </x:c>
      <x:c r="G4" s="16" t="n">
        <x:v>0.830943763256073</x:v>
      </x:c>
      <x:c r="H4" s="11" t="n">
        <x:v>0</x:v>
      </x:c>
      <x:c r="I4" s="11" t="str">
        <x:v>neutral</x:v>
      </x:c>
      <x:c r="J4" s="18" t="n">
        <x:v>0.72</x:v>
      </x:c>
      <x:c r="K4" s="11" t="str">
        <x:v>Satın alma haberi var ancak başlıkta değer yaratımı veya zarar sinyali net değil.</x:v>
      </x:c>
      <x:c r="L4" s="11" t="str">
        <x:f>IF($F4=$I4,"same","different_review")</x:f>
        <x:v>same</x:v>
      </x:c>
      <x:c r="M4" s="11" t="str">
        <x:v>FinBERT ile aynı.</x:v>
      </x:c>
    </x:row>
    <x:row r="5" ht="48" customHeight="1">
      <x:c r="A5" s="11" t="str">
        <x:v>REUTERS_ANN_00304</x:v>
      </x:c>
      <x:c r="B5" s="14" t="n">
        <x:v>39034</x:v>
      </x:c>
      <x:c r="C5" s="11" t="str">
        <x:v>tyson foods posts another loss, but sees 07 profits</x:v>
      </x:c>
      <x:c r="D5" s="11" t="str">
        <x:v>Tyson Foods yine zarar açıkladı, ancak 2007'de kâr bekliyor.</x:v>
      </x:c>
      <x:c r="E5" s="11" t="n">
        <x:v>-1</x:v>
      </x:c>
      <x:c r="F5" s="11" t="str">
        <x:v>negative</x:v>
      </x:c>
      <x:c r="G5" s="16" t="n">
        <x:v>0.9561297297477722</x:v>
      </x:c>
      <x:c r="H5" s="11" t="n">
        <x:v>-1</x:v>
      </x:c>
      <x:c r="I5" s="11" t="str">
        <x:v>negative</x:v>
      </x:c>
      <x:c r="J5" s="18" t="n">
        <x:v>0.66</x:v>
      </x:c>
      <x:c r="K5" s="11" t="str">
        <x:v>Olumlu görünüm olsa da başlıktaki baskın sinyal mevcut dönemde tekrar zarar açıklanmasıdır.</x:v>
      </x:c>
      <x:c r="L5" s="11" t="str">
        <x:f>IF($F5=$I5,"same","different_review")</x:f>
        <x:v>same</x:v>
      </x:c>
      <x:c r="M5" s="11" t="str">
        <x:v>FinBERT ile aynı.</x:v>
      </x:c>
    </x:row>
    <x:row r="6" ht="48" customHeight="1">
      <x:c r="A6" s="11" t="str">
        <x:v>REUTERS_ANN_00305</x:v>
      </x:c>
      <x:c r="B6" s="14" t="n">
        <x:v>39140</x:v>
      </x:c>
      <x:c r="C6" s="11" t="str">
        <x:v>yum brands says new york rat incident isolated</x:v>
      </x:c>
      <x:c r="D6" s="11" t="str">
        <x:v>Yum Brands, New York'taki fare olayının münferit olduğunu söylüyor.</x:v>
      </x:c>
      <x:c r="E6" s="11" t="n">
        <x:v>0</x:v>
      </x:c>
      <x:c r="F6" s="11" t="str">
        <x:v>neutral</x:v>
      </x:c>
      <x:c r="G6" s="16" t="n">
        <x:v>0.7766414880752563</x:v>
      </x:c>
      <x:c r="H6" s="11" t="n">
        <x:v>0</x:v>
      </x:c>
      <x:c r="I6" s="11" t="str">
        <x:v>neutral</x:v>
      </x:c>
      <x:c r="J6" s="18" t="n">
        <x:v>0.58</x:v>
      </x:c>
      <x:c r="K6" s="11" t="str">
        <x:v>İtibar riski var ama şirket olayı sınırlı gösterdiği için net finansal etki belirsiz.</x:v>
      </x:c>
      <x:c r="L6" s="11" t="str">
        <x:f>IF($F6=$I6,"same","different_review")</x:f>
        <x:v>same</x:v>
      </x:c>
      <x:c r="M6" s="11" t="str">
        <x:v>FinBERT ile aynı.</x:v>
      </x:c>
    </x:row>
    <x:row r="7" ht="48" customHeight="1">
      <x:c r="A7" s="11" t="str">
        <x:v>REUTERS_ANN_00306</x:v>
      </x:c>
      <x:c r="B7" s="14" t="n">
        <x:v>39035</x:v>
      </x:c>
      <x:c r="C7" s="11" t="str">
        <x:v>internet ad revenue rises to $4.2 billion in 3rd quarter</x:v>
      </x:c>
      <x:c r="D7" s="11" t="str">
        <x:v>İnternet reklam geliri üçüncü çeyrekte 4,2 milyar dolara yükseldi.</x:v>
      </x:c>
      <x:c r="E7" s="11" t="n">
        <x:v>1</x:v>
      </x:c>
      <x:c r="F7" s="11" t="str">
        <x:v>positive</x:v>
      </x:c>
      <x:c r="G7" s="16" t="n">
        <x:v>0.9505184888839722</x:v>
      </x:c>
      <x:c r="H7" s="11" t="n">
        <x:v>1</x:v>
      </x:c>
      <x:c r="I7" s="11" t="str">
        <x:v>positive</x:v>
      </x:c>
      <x:c r="J7" s="18" t="n">
        <x:v>0.94</x:v>
      </x:c>
      <x:c r="K7" s="11" t="str">
        <x:v>Gelirde artış sektör için açık olumlu büyüme sinyali verir.</x:v>
      </x:c>
      <x:c r="L7" s="11" t="str">
        <x:f>IF($F7=$I7,"same","different_review")</x:f>
        <x:v>same</x:v>
      </x:c>
      <x:c r="M7" s="11" t="str">
        <x:v>FinBERT ile aynı.</x:v>
      </x:c>
    </x:row>
    <x:row r="8" ht="48" customHeight="1">
      <x:c r="A8" s="11" t="str">
        <x:v>REUTERS_ANN_00307</x:v>
      </x:c>
      <x:c r="B8" s="14" t="n">
        <x:v>39139</x:v>
      </x:c>
      <x:c r="C8" s="11" t="str">
        <x:v>u.s. economy moving to sustainable growth nabe</x:v>
      </x:c>
      <x:c r="D8" s="11" t="str">
        <x:v>NABE'ye göre ABD ekonomisi sürdürülebilir büyümeye ilerliyor.</x:v>
      </x:c>
      <x:c r="E8" s="11" t="n">
        <x:v>1</x:v>
      </x:c>
      <x:c r="F8" s="11" t="str">
        <x:v>positive</x:v>
      </x:c>
      <x:c r="G8" s="16" t="n">
        <x:v>0.9262145757675172</x:v>
      </x:c>
      <x:c r="H8" s="11" t="n">
        <x:v>1</x:v>
      </x:c>
      <x:c r="I8" s="11" t="str">
        <x:v>positive</x:v>
      </x:c>
      <x:c r="J8" s="18" t="n">
        <x:v>0.9</x:v>
      </x:c>
      <x:c r="K8" s="11" t="str">
        <x:v>Sürdürülebilir büyüme beklentisi makro ve piyasa açısından olumludur.</x:v>
      </x:c>
      <x:c r="L8" s="11" t="str">
        <x:f>IF($F8=$I8,"same","different_review")</x:f>
        <x:v>same</x:v>
      </x:c>
      <x:c r="M8" s="11" t="str">
        <x:v>FinBERT ile aynı.</x:v>
      </x:c>
    </x:row>
    <x:row r="9" ht="48" customHeight="1">
      <x:c r="A9" s="11" t="str">
        <x:v>REUTERS_ANN_00308</x:v>
      </x:c>
      <x:c r="B9" s="14" t="n">
        <x:v>39090</x:v>
      </x:c>
      <x:c r="C9" s="11" t="str">
        <x:v>chairman outlines double act plan to run hsbc</x:v>
      </x:c>
      <x:c r="D9" s="11" t="str">
        <x:v>Başkan, HSBC'yi yönetmek için ikili yönetim planını açıkladı.</x:v>
      </x:c>
      <x:c r="E9" s="11" t="n">
        <x:v>0</x:v>
      </x:c>
      <x:c r="F9" s="11" t="str">
        <x:v>neutral</x:v>
      </x:c>
      <x:c r="G9" s="16" t="n">
        <x:v>0.927345335483551</x:v>
      </x:c>
      <x:c r="H9" s="11" t="n">
        <x:v>0</x:v>
      </x:c>
      <x:c r="I9" s="11" t="str">
        <x:v>neutral</x:v>
      </x:c>
      <x:c r="J9" s="18" t="n">
        <x:v>0.8</x:v>
      </x:c>
      <x:c r="K9" s="11" t="str">
        <x:v>Yönetim yapısına ilişkin haber; doğrudan kâr/zarar sinyali yok.</x:v>
      </x:c>
      <x:c r="L9" s="11" t="str">
        <x:f>IF($F9=$I9,"same","different_review")</x:f>
        <x:v>same</x:v>
      </x:c>
      <x:c r="M9" s="11" t="str">
        <x:v>FinBERT ile aynı.</x:v>
      </x:c>
    </x:row>
    <x:row r="10" ht="48" customHeight="1">
      <x:c r="A10" s="11" t="str">
        <x:v>REUTERS_ANN_00309</x:v>
      </x:c>
      <x:c r="B10" s="14" t="n">
        <x:v>39143</x:v>
      </x:c>
      <x:c r="C10" s="11" t="str">
        <x:v>oil shocks no excuse for inflation feds poole</x:v>
      </x:c>
      <x:c r="D10" s="11" t="str">
        <x:v>Fed'den Poole: Petrol şokları enflasyon için bahane olamaz.</x:v>
      </x:c>
      <x:c r="E10" s="11" t="n">
        <x:v>-1</x:v>
      </x:c>
      <x:c r="F10" s="11" t="str">
        <x:v>negative</x:v>
      </x:c>
      <x:c r="G10" s="16" t="n">
        <x:v>0.6284734606742859</x:v>
      </x:c>
      <x:c r="H10" s="11" t="n">
        <x:v>-1</x:v>
      </x:c>
      <x:c r="I10" s="11" t="str">
        <x:v>negative</x:v>
      </x:c>
      <x:c r="J10" s="18" t="n">
        <x:v>0.62</x:v>
      </x:c>
      <x:c r="K10" s="11" t="str">
        <x:v>Enflasyon baskısı ve sıkı para politikası vurgusu piyasa açısından temkinli/olumsuzdur.</x:v>
      </x:c>
      <x:c r="L10" s="11" t="str">
        <x:f>IF($F10=$I10,"same","different_review")</x:f>
        <x:v>same</x:v>
      </x:c>
      <x:c r="M10" s="11" t="str">
        <x:v>FinBERT ile aynı.</x:v>
      </x:c>
    </x:row>
    <x:row r="11" ht="48" customHeight="1">
      <x:c r="A11" s="11" t="str">
        <x:v>REUTERS_ANN_00310</x:v>
      </x:c>
      <x:c r="B11" s="14" t="n">
        <x:v>39210</x:v>
      </x:c>
      <x:c r="C11" s="11" t="str">
        <x:v>factbox subprime lenders sold, closed or bankrupt</x:v>
      </x:c>
      <x:c r="D11" s="11" t="str">
        <x:v>Bilgi kutusu: Satılan, kapanan veya iflas eden subprime kredi kuruluşları.</x:v>
      </x:c>
      <x:c r="E11" s="11" t="n">
        <x:v>0</x:v>
      </x:c>
      <x:c r="F11" s="11" t="str">
        <x:v>neutral</x:v>
      </x:c>
      <x:c r="G11" s="16" t="n">
        <x:v>0.6507730484008789</x:v>
      </x:c>
      <x:c r="H11" s="11" t="n">
        <x:v>-1</x:v>
      </x:c>
      <x:c r="I11" s="11" t="str">
        <x:v>negative</x:v>
      </x:c>
      <x:c r="J11" s="18" t="n">
        <x:v>0.88</x:v>
      </x:c>
      <x:c r="K11" s="11" t="str">
        <x:v>Subprime sektöründe kapanma ve iflaslar finansal stres sinyali verir.</x:v>
      </x:c>
      <x:c r="L11" s="11" t="str">
        <x:f>IF($F11=$I11,"same","different_review")</x:f>
        <x:v>different_review</x:v>
      </x:c>
      <x:c r="M11" s="11" t="str">
        <x:v>FinBERT neutral demiş; benim etiketim negative. Manuel kontrolde bu satır gözden geçirilebilir.</x:v>
      </x:c>
    </x:row>
    <x:row r="12" ht="48" customHeight="1">
      <x:c r="A12" s="11" t="str">
        <x:v>REUTERS_ANN_00311</x:v>
      </x:c>
      <x:c r="B12" s="14" t="n">
        <x:v>39128</x:v>
      </x:c>
      <x:c r="C12" s="11" t="str">
        <x:v>buffetts berkshire buys 1 million shares unitedhealth</x:v>
      </x:c>
      <x:c r="D12" s="11" t="str">
        <x:v>Buffett'ın Berkshire'ı UnitedHealth'ten 1 milyon hisse aldı.</x:v>
      </x:c>
      <x:c r="E12" s="11" t="n">
        <x:v>0</x:v>
      </x:c>
      <x:c r="F12" s="11" t="str">
        <x:v>neutral</x:v>
      </x:c>
      <x:c r="G12" s="16" t="n">
        <x:v>0.9470446705818176</x:v>
      </x:c>
      <x:c r="H12" s="11" t="n">
        <x:v>1</x:v>
      </x:c>
      <x:c r="I12" s="11" t="str">
        <x:v>positive</x:v>
      </x:c>
      <x:c r="J12" s="18" t="n">
        <x:v>0.82</x:v>
      </x:c>
      <x:c r="K12" s="11" t="str">
        <x:v>Güçlü yatırımcı alımı ilgili hisse için güven ve talep sinyali oluşturur.</x:v>
      </x:c>
      <x:c r="L12" s="11" t="str">
        <x:f>IF($F12=$I12,"same","different_review")</x:f>
        <x:v>different_review</x:v>
      </x:c>
      <x:c r="M12" s="11" t="str">
        <x:v>FinBERT neutral demiş; benim etiketim positive. Manuel kontrolde bu satır gözden geçirilebilir.</x:v>
      </x:c>
    </x:row>
    <x:row r="13" ht="48" customHeight="1">
      <x:c r="A13" s="11" t="str">
        <x:v>REUTERS_ANN_00312</x:v>
      </x:c>
      <x:c r="B13" s="14" t="n">
        <x:v>39094</x:v>
      </x:c>
      <x:c r="C13" s="11" t="str">
        <x:v>dec retail sales surprisingly strong</x:v>
      </x:c>
      <x:c r="D13" s="11" t="str">
        <x:v>Aralık perakende satışları şaşırtıcı derecede güçlü geldi.</x:v>
      </x:c>
      <x:c r="E13" s="11" t="n">
        <x:v>1</x:v>
      </x:c>
      <x:c r="F13" s="11" t="str">
        <x:v>positive</x:v>
      </x:c>
      <x:c r="G13" s="16" t="n">
        <x:v>0.9377264976501464</x:v>
      </x:c>
      <x:c r="H13" s="11" t="n">
        <x:v>1</x:v>
      </x:c>
      <x:c r="I13" s="11" t="str">
        <x:v>positive</x:v>
      </x:c>
      <x:c r="J13" s="18" t="n">
        <x:v>0.93</x:v>
      </x:c>
      <x:c r="K13" s="11" t="str">
        <x:v>Beklentiden güçlü satışlar tüketim ve büyüme açısından olumlu sinyaldir.</x:v>
      </x:c>
      <x:c r="L13" s="11" t="str">
        <x:f>IF($F13=$I13,"same","different_review")</x:f>
        <x:v>same</x:v>
      </x:c>
      <x:c r="M13" s="11" t="str">
        <x:v>FinBERT ile aynı.</x:v>
      </x:c>
    </x:row>
    <x:row r="14" ht="48" customHeight="1">
      <x:c r="A14" s="11" t="str">
        <x:v>REUTERS_ANN_00313</x:v>
      </x:c>
      <x:c r="B14" s="14" t="n">
        <x:v>39055</x:v>
      </x:c>
      <x:c r="C14" s="11" t="str">
        <x:v>update 2-medtronic to spin off external defibrillator unit</x:v>
      </x:c>
      <x:c r="D14" s="11" t="str">
        <x:v>Güncelleme 2: Medtronic harici defibrilatör birimini ayıracak.</x:v>
      </x:c>
      <x:c r="E14" s="11" t="n">
        <x:v>0</x:v>
      </x:c>
      <x:c r="F14" s="11" t="str">
        <x:v>neutral</x:v>
      </x:c>
      <x:c r="G14" s="16" t="n">
        <x:v>0.9134297370910645</x:v>
      </x:c>
      <x:c r="H14" s="11" t="n">
        <x:v>0</x:v>
      </x:c>
      <x:c r="I14" s="11" t="str">
        <x:v>neutral</x:v>
      </x:c>
      <x:c r="J14" s="18" t="n">
        <x:v>0.74</x:v>
      </x:c>
      <x:c r="K14" s="11" t="str">
        <x:v>Bölünme/ayırma kurumsal işlemidir; başlıkta net olumlu ya da olumsuz performans sinyali yok.</x:v>
      </x:c>
      <x:c r="L14" s="11" t="str">
        <x:f>IF($F14=$I14,"same","different_review")</x:f>
        <x:v>same</x:v>
      </x:c>
      <x:c r="M14" s="11" t="str">
        <x:v>FinBERT ile aynı.</x:v>
      </x:c>
    </x:row>
    <x:row r="15" ht="48" customHeight="1">
      <x:c r="A15" s="11" t="str">
        <x:v>REUTERS_ANN_00314</x:v>
      </x:c>
      <x:c r="B15" s="14" t="n">
        <x:v>39101</x:v>
      </x:c>
      <x:c r="C15" s="11" t="str">
        <x:v>schlumberger profit tops estimates shares rise</x:v>
      </x:c>
      <x:c r="D15" s="11" t="str">
        <x:v>Schlumberger kârı tahminleri aştı, hisseleri yükseldi.</x:v>
      </x:c>
      <x:c r="E15" s="11" t="n">
        <x:v>1</x:v>
      </x:c>
      <x:c r="F15" s="11" t="str">
        <x:v>positive</x:v>
      </x:c>
      <x:c r="G15" s="16" t="n">
        <x:v>0.951807737350464</x:v>
      </x:c>
      <x:c r="H15" s="11" t="n">
        <x:v>1</x:v>
      </x:c>
      <x:c r="I15" s="11" t="str">
        <x:v>positive</x:v>
      </x:c>
      <x:c r="J15" s="18" t="n">
        <x:v>0.96</x:v>
      </x:c>
      <x:c r="K15" s="11" t="str">
        <x:v>Tahminleri aşan kâr ve hisse yükselişi açık olumlu sinyaldir.</x:v>
      </x:c>
      <x:c r="L15" s="11" t="str">
        <x:f>IF($F15=$I15,"same","different_review")</x:f>
        <x:v>same</x:v>
      </x:c>
      <x:c r="M15" s="11" t="str">
        <x:v>FinBERT ile aynı.</x:v>
      </x:c>
    </x:row>
    <x:row r="16" ht="48" customHeight="1">
      <x:c r="A16" s="11" t="str">
        <x:v>REUTERS_ANN_00315</x:v>
      </x:c>
      <x:c r="B16" s="14" t="n">
        <x:v>39099</x:v>
      </x:c>
      <x:c r="C16" s="11" t="str">
        <x:v>nasdaq down on intel apple waxes and wanes</x:v>
      </x:c>
      <x:c r="D16" s="11" t="str">
        <x:v>Nasdaq, Intel etkisiyle düştü; Apple dalgalandı.</x:v>
      </x:c>
      <x:c r="E16" s="11" t="n">
        <x:v>-1</x:v>
      </x:c>
      <x:c r="F16" s="11" t="str">
        <x:v>negative</x:v>
      </x:c>
      <x:c r="G16" s="16" t="n">
        <x:v>0.9513639807701112</x:v>
      </x:c>
      <x:c r="H16" s="11" t="n">
        <x:v>-1</x:v>
      </x:c>
      <x:c r="I16" s="11" t="str">
        <x:v>negative</x:v>
      </x:c>
      <x:c r="J16" s="18" t="n">
        <x:v>0.86</x:v>
      </x:c>
      <x:c r="K16" s="11" t="str">
        <x:v>Endeks düşüşü ve teknoloji hisselerinde zayıflık olumsuz piyasa sinyalidir.</x:v>
      </x:c>
      <x:c r="L16" s="11" t="str">
        <x:f>IF($F16=$I16,"same","different_review")</x:f>
        <x:v>same</x:v>
      </x:c>
      <x:c r="M16" s="11" t="str">
        <x:v>FinBERT ile aynı.</x:v>
      </x:c>
    </x:row>
    <x:row r="17" ht="48" customHeight="1">
      <x:c r="A17" s="11" t="str">
        <x:v>REUTERS_ANN_00316</x:v>
      </x:c>
      <x:c r="B17" s="14" t="n">
        <x:v>39014</x:v>
      </x:c>
      <x:c r="C17" s="11" t="str">
        <x:v>level 3 posts smaller quarterly loss</x:v>
      </x:c>
      <x:c r="D17" s="11" t="str">
        <x:v>Level 3 daha küçük çeyreklik zarar açıkladı.</x:v>
      </x:c>
      <x:c r="E17" s="11" t="n">
        <x:v>-1</x:v>
      </x:c>
      <x:c r="F17" s="11" t="str">
        <x:v>negative</x:v>
      </x:c>
      <x:c r="G17" s="16" t="n">
        <x:v>0.9722899198532104</x:v>
      </x:c>
      <x:c r="H17" s="11" t="n">
        <x:v>1</x:v>
      </x:c>
      <x:c r="I17" s="11" t="str">
        <x:v>positive</x:v>
      </x:c>
      <x:c r="J17" s="18" t="n">
        <x:v>0.62</x:v>
      </x:c>
      <x:c r="K17" s="11" t="str">
        <x:v>Zarar sürse de zararın azalması önceki döneme göre iyileşme sinyalidir.</x:v>
      </x:c>
      <x:c r="L17" s="11" t="str">
        <x:f>IF($F17=$I17,"same","different_review")</x:f>
        <x:v>different_review</x:v>
      </x:c>
      <x:c r="M17" s="11" t="str">
        <x:v>FinBERT negative demiş; benim etiketim positive. Manuel kontrolde bu satır gözden geçirilebilir.</x:v>
      </x:c>
    </x:row>
    <x:row r="18" ht="48" customHeight="1">
      <x:c r="A18" s="11" t="str">
        <x:v>REUTERS_ANN_00317</x:v>
      </x:c>
      <x:c r="B18" s="14" t="n">
        <x:v>39143</x:v>
      </x:c>
      <x:c r="C18" s="11" t="str">
        <x:v>google says in dispute with sec on tax accounting</x:v>
      </x:c>
      <x:c r="D18" s="11" t="str">
        <x:v>Google, vergi muhasebesi konusunda SEC ile anlaşmazlık yaşadığını söylüyor.</x:v>
      </x:c>
      <x:c r="E18" s="11" t="n">
        <x:v>0</x:v>
      </x:c>
      <x:c r="F18" s="11" t="str">
        <x:v>neutral</x:v>
      </x:c>
      <x:c r="G18" s="16" t="n">
        <x:v>0.8872167468070984</x:v>
      </x:c>
      <x:c r="H18" s="11" t="n">
        <x:v>-1</x:v>
      </x:c>
      <x:c r="I18" s="11" t="str">
        <x:v>negative</x:v>
      </x:c>
      <x:c r="J18" s="18" t="n">
        <x:v>0.7</x:v>
      </x:c>
      <x:c r="K18" s="11" t="str">
        <x:v>SEC ile muhasebe anlaşmazlığı regülasyon ve güven riski doğurur.</x:v>
      </x:c>
      <x:c r="L18" s="11" t="str">
        <x:f>IF($F18=$I18,"same","different_review")</x:f>
        <x:v>different_review</x:v>
      </x:c>
      <x:c r="M18" s="11" t="str">
        <x:v>FinBERT neutral demiş; benim etiketim negative. Manuel kontrolde bu satır gözden geçirilebilir.</x:v>
      </x:c>
    </x:row>
    <x:row r="19" ht="48" customHeight="1">
      <x:c r="A19" s="11" t="str">
        <x:v>REUTERS_ANN_00318</x:v>
      </x:c>
      <x:c r="B19" s="14" t="n">
        <x:v>39145</x:v>
      </x:c>
      <x:c r="C19" s="11" t="str">
        <x:v>citigroup to sell nikko principal finance arm report</x:v>
      </x:c>
      <x:c r="D19" s="11" t="str">
        <x:v>Citigroup'un Nikko Principal Finance birimini satacağı bildirildi.</x:v>
      </x:c>
      <x:c r="E19" s="11" t="n">
        <x:v>0</x:v>
      </x:c>
      <x:c r="F19" s="11" t="str">
        <x:v>neutral</x:v>
      </x:c>
      <x:c r="G19" s="16" t="n">
        <x:v>0.6920342445373535</x:v>
      </x:c>
      <x:c r="H19" s="11" t="n">
        <x:v>0</x:v>
      </x:c>
      <x:c r="I19" s="11" t="str">
        <x:v>neutral</x:v>
      </x:c>
      <x:c r="J19" s="18" t="n">
        <x:v>0.72</x:v>
      </x:c>
      <x:c r="K19" s="11" t="str">
        <x:v>Varlık satışı haberi var; finansal etkisi başlıkta net değil.</x:v>
      </x:c>
      <x:c r="L19" s="11" t="str">
        <x:f>IF($F19=$I19,"same","different_review")</x:f>
        <x:v>same</x:v>
      </x:c>
      <x:c r="M19" s="11" t="str">
        <x:v>FinBERT ile aynı.</x:v>
      </x:c>
    </x:row>
    <x:row r="20" ht="48" customHeight="1">
      <x:c r="A20" s="11" t="str">
        <x:v>REUTERS_ANN_00319</x:v>
      </x:c>
      <x:c r="B20" s="14" t="n">
        <x:v>39034</x:v>
      </x:c>
      <x:c r="C20" s="11" t="str">
        <x:v>illumina to buy solexa for $600 million in stock</x:v>
      </x:c>
      <x:c r="D20" s="11" t="str">
        <x:v>Illumina, Solexa'yı 600 milyon dolarlık hisse anlaşmasıyla satın alacak.</x:v>
      </x:c>
      <x:c r="E20" s="11" t="n">
        <x:v>1</x:v>
      </x:c>
      <x:c r="F20" s="11" t="str">
        <x:v>positive</x:v>
      </x:c>
      <x:c r="G20" s="16" t="n">
        <x:v>0.5724567174911499</x:v>
      </x:c>
      <x:c r="H20" s="11" t="n">
        <x:v>0</x:v>
      </x:c>
      <x:c r="I20" s="11" t="str">
        <x:v>neutral</x:v>
      </x:c>
      <x:c r="J20" s="18" t="n">
        <x:v>0.7</x:v>
      </x:c>
      <x:c r="K20" s="11" t="str">
        <x:v>Satın alma stratejik olabilir ancak başlık tek başına net pozitif/negatif etki göstermiyor.</x:v>
      </x:c>
      <x:c r="L20" s="11" t="str">
        <x:f>IF($F20=$I20,"same","different_review")</x:f>
        <x:v>different_review</x:v>
      </x:c>
      <x:c r="M20" s="11" t="str">
        <x:v>FinBERT positive demiş; benim etiketim neutral. Manuel kontrolde bu satır gözden geçirilebilir.</x:v>
      </x:c>
    </x:row>
    <x:row r="21" ht="48" customHeight="1">
      <x:c r="A21" s="11" t="str">
        <x:v>REUTERS_ANN_00320</x:v>
      </x:c>
      <x:c r="B21" s="14" t="n">
        <x:v>39044</x:v>
      </x:c>
      <x:c r="C21" s="11" t="str">
        <x:v>asian shares gain as dell earnings boost techs</x:v>
      </x:c>
      <x:c r="D21" s="11" t="str">
        <x:v>Dell bilançosunun teknoloji hisselerini desteklemesiyle Asya hisseleri yükseldi.</x:v>
      </x:c>
      <x:c r="E21" s="11" t="n">
        <x:v>1</x:v>
      </x:c>
      <x:c r="F21" s="11" t="str">
        <x:v>positive</x:v>
      </x:c>
      <x:c r="G21" s="16" t="n">
        <x:v>0.519014298915863</x:v>
      </x:c>
      <x:c r="H21" s="11" t="n">
        <x:v>1</x:v>
      </x:c>
      <x:c r="I21" s="11" t="str">
        <x:v>positive</x:v>
      </x:c>
      <x:c r="J21" s="18" t="n">
        <x:v>0.88</x:v>
      </x:c>
      <x:c r="K21" s="11" t="str">
        <x:v>Bölgesel hisselerde yükseliş ve teknoloji desteği olumlu piyasa sinyalidir.</x:v>
      </x:c>
      <x:c r="L21" s="11" t="str">
        <x:f>IF($F21=$I21,"same","different_review")</x:f>
        <x:v>same</x:v>
      </x:c>
      <x:c r="M21" s="11" t="str">
        <x:v>FinBERT ile aynı.</x:v>
      </x:c>
    </x:row>
    <x:row r="22" ht="48" customHeight="1">
      <x:c r="A22" s="11" t="str">
        <x:v>REUTERS_ANN_00321</x:v>
      </x:c>
      <x:c r="B22" s="14" t="n">
        <x:v>39140</x:v>
      </x:c>
      <x:c r="C22" s="11" t="str">
        <x:v>target earnings rise, but shares sink</x:v>
      </x:c>
      <x:c r="D22" s="11" t="str">
        <x:v>Target'ın kârı arttı ancak hisseleri düştü.</x:v>
      </x:c>
      <x:c r="E22" s="11" t="n">
        <x:v>1</x:v>
      </x:c>
      <x:c r="F22" s="11" t="str">
        <x:v>positive</x:v>
      </x:c>
      <x:c r="G22" s="16" t="n">
        <x:v>0.8796288967132568</x:v>
      </x:c>
      <x:c r="H22" s="11" t="n">
        <x:v>-1</x:v>
      </x:c>
      <x:c r="I22" s="11" t="str">
        <x:v>negative</x:v>
      </x:c>
      <x:c r="J22" s="18" t="n">
        <x:v>0.72</x:v>
      </x:c>
      <x:c r="K22" s="11" t="str">
        <x:v>Kâr artışına rağmen piyasa tepkisi olumsuz; yatırımcı açısından baskın sinyal hisse düşüşüdür.</x:v>
      </x:c>
      <x:c r="L22" s="11" t="str">
        <x:f>IF($F22=$I22,"same","different_review")</x:f>
        <x:v>different_review</x:v>
      </x:c>
      <x:c r="M22" s="11" t="str">
        <x:v>FinBERT positive demiş; benim etiketim negative. Manuel kontrolde bu satır gözden geçirilebilir.</x:v>
      </x:c>
    </x:row>
    <x:row r="23" ht="48" customHeight="1">
      <x:c r="A23" s="11" t="str">
        <x:v>REUTERS_ANN_00322</x:v>
      </x:c>
      <x:c r="B23" s="14" t="n">
        <x:v>39179</x:v>
      </x:c>
      <x:c r="C23" s="11" t="str">
        <x:v>electronic arts to buy stake in the9 report</x:v>
      </x:c>
      <x:c r="D23" s="11" t="str">
        <x:v>Electronic Arts'ın The9'da hisse alacağı bildirildi.</x:v>
      </x:c>
      <x:c r="E23" s="11" t="n">
        <x:v>1</x:v>
      </x:c>
      <x:c r="F23" s="11" t="str">
        <x:v>positive</x:v>
      </x:c>
      <x:c r="G23" s="16" t="n">
        <x:v>0.5542192459106445</x:v>
      </x:c>
      <x:c r="H23" s="11" t="n">
        <x:v>0</x:v>
      </x:c>
      <x:c r="I23" s="11" t="str">
        <x:v>neutral</x:v>
      </x:c>
      <x:c r="J23" s="18" t="n">
        <x:v>0.68</x:v>
      </x:c>
      <x:c r="K23" s="11" t="str">
        <x:v>Hisse alımı/stratejik yatırım haberi var; başlıkta net performans etkisi yok.</x:v>
      </x:c>
      <x:c r="L23" s="11" t="str">
        <x:f>IF($F23=$I23,"same","different_review")</x:f>
        <x:v>different_review</x:v>
      </x:c>
      <x:c r="M23" s="11" t="str">
        <x:v>FinBERT positive demiş; benim etiketim neutral. Manuel kontrolde bu satır gözden geçirilebilir.</x:v>
      </x:c>
    </x:row>
    <x:row r="24" ht="48" customHeight="1">
      <x:c r="A24" s="11" t="str">
        <x:v>REUTERS_ANN_00323</x:v>
      </x:c>
      <x:c r="B24" s="14" t="n">
        <x:v>39146</x:v>
      </x:c>
      <x:c r="C24" s="11" t="str">
        <x:v>omi, paulson agree japan, u.s. economies firm</x:v>
      </x:c>
      <x:c r="D24" s="11" t="str">
        <x:v>Omi ve Paulson, Japonya ve ABD ekonomilerinin sağlam olduğu konusunda anlaştı.</x:v>
      </x:c>
      <x:c r="E24" s="11" t="n">
        <x:v>0</x:v>
      </x:c>
      <x:c r="F24" s="11" t="str">
        <x:v>neutral</x:v>
      </x:c>
      <x:c r="G24" s="16" t="n">
        <x:v>0.6405948996543884</x:v>
      </x:c>
      <x:c r="H24" s="11" t="n">
        <x:v>1</x:v>
      </x:c>
      <x:c r="I24" s="11" t="str">
        <x:v>positive</x:v>
      </x:c>
      <x:c r="J24" s="18" t="n">
        <x:v>0.76</x:v>
      </x:c>
      <x:c r="K24" s="11" t="str">
        <x:v>Ekonomilerin sağlam olduğu mesajı makro açıdan olumlu sinyal verir.</x:v>
      </x:c>
      <x:c r="L24" s="11" t="str">
        <x:f>IF($F24=$I24,"same","different_review")</x:f>
        <x:v>different_review</x:v>
      </x:c>
      <x:c r="M24" s="11" t="str">
        <x:v>FinBERT neutral demiş; benim etiketim positive. Manuel kontrolde bu satır gözden geçirilebilir.</x:v>
      </x:c>
    </x:row>
    <x:row r="25" ht="48" customHeight="1">
      <x:c r="A25" s="11" t="str">
        <x:v>REUTERS_ANN_00324</x:v>
      </x:c>
      <x:c r="B25" s="14" t="n">
        <x:v>39057</x:v>
      </x:c>
      <x:c r="C25" s="11" t="str">
        <x:v>metlife sees $1.10-$1.20 4th-qtr operating earnings</x:v>
      </x:c>
      <x:c r="D25" s="11" t="str">
        <x:v>MetLife dördüncü çeyrek faaliyet kârını 1,10-1,20 dolar aralığında bekliyor.</x:v>
      </x:c>
      <x:c r="E25" s="11" t="n">
        <x:v>0</x:v>
      </x:c>
      <x:c r="F25" s="11" t="str">
        <x:v>neutral</x:v>
      </x:c>
      <x:c r="G25" s="16" t="n">
        <x:v>0.4901312291622162</x:v>
      </x:c>
      <x:c r="H25" s="11" t="n">
        <x:v>0</x:v>
      </x:c>
      <x:c r="I25" s="11" t="str">
        <x:v>neutral</x:v>
      </x:c>
      <x:c r="J25" s="18" t="n">
        <x:v>0.64</x:v>
      </x:c>
      <x:c r="K25" s="11" t="str">
        <x:v>Beklenti aralığı verilmiş; beklentiye göre iyi/kötü olduğu belirtilmediği için nötr.</x:v>
      </x:c>
      <x:c r="L25" s="11" t="str">
        <x:f>IF($F25=$I25,"same","different_review")</x:f>
        <x:v>same</x:v>
      </x:c>
      <x:c r="M25" s="11" t="str">
        <x:v>FinBERT ile aynı.</x:v>
      </x:c>
    </x:row>
    <x:row r="26" ht="48" customHeight="1">
      <x:c r="A26" s="11" t="str">
        <x:v>REUTERS_ANN_00325</x:v>
      </x:c>
      <x:c r="B26" s="14" t="n">
        <x:v>39129</x:v>
      </x:c>
      <x:c r="C26" s="11" t="str">
        <x:v>ford to miss u.s. retail sales goals in feburay and march</x:v>
      </x:c>
      <x:c r="D26" s="11" t="str">
        <x:v>Ford, Şubat ve Mart aylarında ABD perakende satış hedeflerini kaçıracak.</x:v>
      </x:c>
      <x:c r="E26" s="11" t="n">
        <x:v>-1</x:v>
      </x:c>
      <x:c r="F26" s="11" t="str">
        <x:v>negative</x:v>
      </x:c>
      <x:c r="G26" s="16" t="n">
        <x:v>0.9622183442115784</x:v>
      </x:c>
      <x:c r="H26" s="11" t="n">
        <x:v>-1</x:v>
      </x:c>
      <x:c r="I26" s="11" t="str">
        <x:v>negative</x:v>
      </x:c>
      <x:c r="J26" s="18" t="n">
        <x:v>0.93</x:v>
      </x:c>
      <x:c r="K26" s="11" t="str">
        <x:v>Satış hedeflerinin kaçırılması gelir ve performans açısından olumsuzdur.</x:v>
      </x:c>
      <x:c r="L26" s="11" t="str">
        <x:f>IF($F26=$I26,"same","different_review")</x:f>
        <x:v>same</x:v>
      </x:c>
      <x:c r="M26" s="11" t="str">
        <x:v>FinBERT ile aynı.</x:v>
      </x:c>
    </x:row>
    <x:row r="27" ht="48" customHeight="1">
      <x:c r="A27" s="11" t="str">
        <x:v>REUTERS_ANN_00326</x:v>
      </x:c>
      <x:c r="B27" s="14" t="n">
        <x:v>39142</x:v>
      </x:c>
      <x:c r="C27" s="11" t="str">
        <x:v>dell profit down sharply</x:v>
      </x:c>
      <x:c r="D27" s="11" t="str">
        <x:v>Dell'in kârı sert düştü.</x:v>
      </x:c>
      <x:c r="E27" s="11" t="n">
        <x:v>-1</x:v>
      </x:c>
      <x:c r="F27" s="11" t="str">
        <x:v>negative</x:v>
      </x:c>
      <x:c r="G27" s="16" t="n">
        <x:v>0.9729444980621338</x:v>
      </x:c>
      <x:c r="H27" s="11" t="n">
        <x:v>-1</x:v>
      </x:c>
      <x:c r="I27" s="11" t="str">
        <x:v>negative</x:v>
      </x:c>
      <x:c r="J27" s="18" t="n">
        <x:v>0.96</x:v>
      </x:c>
      <x:c r="K27" s="11" t="str">
        <x:v>Kârda keskin düşüş açık olumsuz finansal sinyaldir.</x:v>
      </x:c>
      <x:c r="L27" s="11" t="str">
        <x:f>IF($F27=$I27,"same","different_review")</x:f>
        <x:v>same</x:v>
      </x:c>
      <x:c r="M27" s="11" t="str">
        <x:v>FinBERT ile aynı.</x:v>
      </x:c>
    </x:row>
    <x:row r="28" ht="48" customHeight="1">
      <x:c r="A28" s="11" t="str">
        <x:v>REUTERS_ANN_00327</x:v>
      </x:c>
      <x:c r="B28" s="14" t="n">
        <x:v>39123</x:v>
      </x:c>
      <x:c r="C28" s="11" t="str">
        <x:v>paulson tells g7 let markets regulate hedge funds</x:v>
      </x:c>
      <x:c r="D28" s="11" t="str">
        <x:v>Paulson G7'ye hedge fonları piyasaların düzenlemesine izin verilmesini söyledi.</x:v>
      </x:c>
      <x:c r="E28" s="11" t="n">
        <x:v>0</x:v>
      </x:c>
      <x:c r="F28" s="11" t="str">
        <x:v>neutral</x:v>
      </x:c>
      <x:c r="G28" s="16" t="n">
        <x:v>0.9445167183876038</x:v>
      </x:c>
      <x:c r="H28" s="11" t="n">
        <x:v>0</x:v>
      </x:c>
      <x:c r="I28" s="11" t="str">
        <x:v>neutral</x:v>
      </x:c>
      <x:c r="J28" s="18" t="n">
        <x:v>0.74</x:v>
      </x:c>
      <x:c r="K28" s="11" t="str">
        <x:v>Politika görüşü niteliğinde; belirli bir varlık için net yön sinyali yok.</x:v>
      </x:c>
      <x:c r="L28" s="11" t="str">
        <x:f>IF($F28=$I28,"same","different_review")</x:f>
        <x:v>same</x:v>
      </x:c>
      <x:c r="M28" s="11" t="str">
        <x:v>FinBERT ile aynı.</x:v>
      </x:c>
    </x:row>
    <x:row r="29" ht="48" customHeight="1">
      <x:c r="A29" s="11" t="str">
        <x:v>REUTERS_ANN_00328</x:v>
      </x:c>
      <x:c r="B29" s="14" t="n">
        <x:v>39013</x:v>
      </x:c>
      <x:c r="C29" s="11" t="str">
        <x:v>kimberly-clark profit higher, narrows view</x:v>
      </x:c>
      <x:c r="D29" s="11" t="str">
        <x:v>Kimberly-Clark'ın kârı yükseldi, beklenti aralığını daralttı.</x:v>
      </x:c>
      <x:c r="E29" s="11" t="n">
        <x:v>-1</x:v>
      </x:c>
      <x:c r="F29" s="11" t="str">
        <x:v>negative</x:v>
      </x:c>
      <x:c r="G29" s="16" t="n">
        <x:v>0.9635515809059144</x:v>
      </x:c>
      <x:c r="H29" s="11" t="n">
        <x:v>1</x:v>
      </x:c>
      <x:c r="I29" s="11" t="str">
        <x:v>positive</x:v>
      </x:c>
      <x:c r="J29" s="18" t="n">
        <x:v>0.62</x:v>
      </x:c>
      <x:c r="K29" s="11" t="str">
        <x:v>Beklenti daraltma karışık olsa da kâr artışı başlıkta olumlu tarafı ağır basıyor.</x:v>
      </x:c>
      <x:c r="L29" s="11" t="str">
        <x:f>IF($F29=$I29,"same","different_review")</x:f>
        <x:v>different_review</x:v>
      </x:c>
      <x:c r="M29" s="11" t="str">
        <x:v>FinBERT negative demiş; benim etiketim positive. Manuel kontrolde bu satır gözden geçirilebilir.</x:v>
      </x:c>
    </x:row>
    <x:row r="30" ht="48" customHeight="1">
      <x:c r="A30" s="11" t="str">
        <x:v>REUTERS_ANN_00329</x:v>
      </x:c>
      <x:c r="B30" s="14" t="n">
        <x:v>39165</x:v>
      </x:c>
      <x:c r="C30" s="11" t="str">
        <x:v>china, venezuela to cement ties with oil deals</x:v>
      </x:c>
      <x:c r="D30" s="11" t="str">
        <x:v>Çin ve Venezuela petrol anlaşmalarıyla ilişkilerini güçlendirecek.</x:v>
      </x:c>
      <x:c r="E30" s="11" t="n">
        <x:v>1</x:v>
      </x:c>
      <x:c r="F30" s="11" t="str">
        <x:v>positive</x:v>
      </x:c>
      <x:c r="G30" s="16" t="n">
        <x:v>0.8895421028137207</x:v>
      </x:c>
      <x:c r="H30" s="11" t="n">
        <x:v>1</x:v>
      </x:c>
      <x:c r="I30" s="11" t="str">
        <x:v>positive</x:v>
      </x:c>
      <x:c r="J30" s="18" t="n">
        <x:v>0.78</x:v>
      </x:c>
      <x:c r="K30" s="11" t="str">
        <x:v>Petrol anlaşmaları ve ekonomik bağların güçlenmesi ilgili taraflar için olumlu iş sinyali verir.</x:v>
      </x:c>
      <x:c r="L30" s="11" t="str">
        <x:f>IF($F30=$I30,"same","different_review")</x:f>
        <x:v>same</x:v>
      </x:c>
      <x:c r="M30" s="11" t="str">
        <x:v>FinBERT ile aynı.</x:v>
      </x:c>
    </x:row>
    <x:row r="31" ht="48" customHeight="1">
      <x:c r="A31" s="11" t="str">
        <x:v>REUTERS_ANN_00330</x:v>
      </x:c>
      <x:c r="B31" s="14" t="n">
        <x:v>39106</x:v>
      </x:c>
      <x:c r="C31" s="11" t="str">
        <x:v>yahoo shares rise, investors eye faster growth</x:v>
      </x:c>
      <x:c r="D31" s="11" t="str">
        <x:v>Yahoo hisseleri yükseldi; yatırımcılar daha hızlı büyümeye odaklandı.</x:v>
      </x:c>
      <x:c r="E31" s="11" t="n">
        <x:v>1</x:v>
      </x:c>
      <x:c r="F31" s="11" t="str">
        <x:v>positive</x:v>
      </x:c>
      <x:c r="G31" s="16" t="n">
        <x:v>0.941272497177124</x:v>
      </x:c>
      <x:c r="H31" s="11" t="n">
        <x:v>1</x:v>
      </x:c>
      <x:c r="I31" s="11" t="str">
        <x:v>positive</x:v>
      </x:c>
      <x:c r="J31" s="18" t="n">
        <x:v>0.93</x:v>
      </x:c>
      <x:c r="K31" s="11" t="str">
        <x:v>Hisse yükselişi ve büyüme beklentisi açık olumlu sinyaldir.</x:v>
      </x:c>
      <x:c r="L31" s="11" t="str">
        <x:f>IF($F31=$I31,"same","different_review")</x:f>
        <x:v>same</x:v>
      </x:c>
      <x:c r="M31" s="11" t="str">
        <x:v>FinBERT ile aynı.</x:v>
      </x:c>
    </x:row>
    <x:row r="32" ht="48" customHeight="1">
      <x:c r="A32" s="11" t="str">
        <x:v>REUTERS_ANN_00331</x:v>
      </x:c>
      <x:c r="B32" s="14" t="n">
        <x:v>39064</x:v>
      </x:c>
      <x:c r="C32" s="11" t="str">
        <x:v>wrapup 3-u.s. retail sales send strong signal on growth</x:v>
      </x:c>
      <x:c r="D32" s="11" t="str">
        <x:v>Özet 3: ABD perakende satışları büyüme için güçlü sinyal gönderdi.</x:v>
      </x:c>
      <x:c r="E32" s="11" t="n">
        <x:v>1</x:v>
      </x:c>
      <x:c r="F32" s="11" t="str">
        <x:v>positive</x:v>
      </x:c>
      <x:c r="G32" s="16" t="n">
        <x:v>0.9233654737472534</x:v>
      </x:c>
      <x:c r="H32" s="11" t="n">
        <x:v>1</x:v>
      </x:c>
      <x:c r="I32" s="11" t="str">
        <x:v>positive</x:v>
      </x:c>
      <x:c r="J32" s="18" t="n">
        <x:v>0.94</x:v>
      </x:c>
      <x:c r="K32" s="11" t="str">
        <x:v>Güçlü perakende satış ve büyüme sinyali makro açıdan olumludur.</x:v>
      </x:c>
      <x:c r="L32" s="11" t="str">
        <x:f>IF($F32=$I32,"same","different_review")</x:f>
        <x:v>same</x:v>
      </x:c>
      <x:c r="M32" s="11" t="str">
        <x:v>FinBERT ile aynı.</x:v>
      </x:c>
    </x:row>
    <x:row r="33" ht="48" customHeight="1">
      <x:c r="A33" s="11" t="str">
        <x:v>REUTERS_ANN_00332</x:v>
      </x:c>
      <x:c r="B33" s="14" t="n">
        <x:v>39175</x:v>
      </x:c>
      <x:c r="C33" s="11" t="str">
        <x:v>boardroom and factory feuds rage at airbus</x:v>
      </x:c>
      <x:c r="D33" s="11" t="str">
        <x:v>Airbus'ta yönetim kurulu ve fabrika anlaşmazlıkları şiddetleniyor.</x:v>
      </x:c>
      <x:c r="E33" s="11" t="n">
        <x:v>-1</x:v>
      </x:c>
      <x:c r="F33" s="11" t="str">
        <x:v>negative</x:v>
      </x:c>
      <x:c r="G33" s="16" t="n">
        <x:v>0.9648981094360352</x:v>
      </x:c>
      <x:c r="H33" s="11" t="n">
        <x:v>-1</x:v>
      </x:c>
      <x:c r="I33" s="11" t="str">
        <x:v>negative</x:v>
      </x:c>
      <x:c r="J33" s="18" t="n">
        <x:v>0.92</x:v>
      </x:c>
      <x:c r="K33" s="11" t="str">
        <x:v>Şirket içi çatışma ve üretim/işgücü gerilimi operasyonel risk yaratır.</x:v>
      </x:c>
      <x:c r="L33" s="11" t="str">
        <x:f>IF($F33=$I33,"same","different_review")</x:f>
        <x:v>same</x:v>
      </x:c>
      <x:c r="M33" s="11" t="str">
        <x:v>FinBERT ile aynı.</x:v>
      </x:c>
    </x:row>
    <x:row r="34" ht="48" customHeight="1">
      <x:c r="A34" s="11" t="str">
        <x:v>REUTERS_ANN_00333</x:v>
      </x:c>
      <x:c r="B34" s="14" t="n">
        <x:v>39175</x:v>
      </x:c>
      <x:c r="C34" s="11" t="str">
        <x:v>falling oil, rising home sales spark rally</x:v>
      </x:c>
      <x:c r="D34" s="11" t="str">
        <x:v>Düşen petrol ve artan konut satışları ralliyi ateşledi.</x:v>
      </x:c>
      <x:c r="E34" s="11" t="n">
        <x:v>1</x:v>
      </x:c>
      <x:c r="F34" s="11" t="str">
        <x:v>positive</x:v>
      </x:c>
      <x:c r="G34" s="16" t="n">
        <x:v>0.915860116481781</x:v>
      </x:c>
      <x:c r="H34" s="11" t="n">
        <x:v>1</x:v>
      </x:c>
      <x:c r="I34" s="11" t="str">
        <x:v>positive</x:v>
      </x:c>
      <x:c r="J34" s="18" t="n">
        <x:v>0.95</x:v>
      </x:c>
      <x:c r="K34" s="11" t="str">
        <x:v>Ralli, düşük petrol ve güçlü konut satışı piyasa açısından açık olumlu sinyal verir.</x:v>
      </x:c>
      <x:c r="L34" s="11" t="str">
        <x:f>IF($F34=$I34,"same","different_review")</x:f>
        <x:v>same</x:v>
      </x:c>
      <x:c r="M34" s="11" t="str">
        <x:v>FinBERT ile aynı.</x:v>
      </x:c>
    </x:row>
    <x:row r="35" ht="48" customHeight="1">
      <x:c r="A35" s="11" t="str">
        <x:v>REUTERS_ANN_00334</x:v>
      </x:c>
      <x:c r="B35" s="14" t="n">
        <x:v>39093</x:v>
      </x:c>
      <x:c r="C35" s="11" t="str">
        <x:v>cisco sues apple over iphone name</x:v>
      </x:c>
      <x:c r="D35" s="11" t="str">
        <x:v>Cisco, iPhone adı nedeniyle Apple'a dava açtı.</x:v>
      </x:c>
      <x:c r="E35" s="11" t="n">
        <x:v>-1</x:v>
      </x:c>
      <x:c r="F35" s="11" t="str">
        <x:v>negative</x:v>
      </x:c>
      <x:c r="G35" s="16" t="n">
        <x:v>0.9652559757232666</x:v>
      </x:c>
      <x:c r="H35" s="11" t="n">
        <x:v>-1</x:v>
      </x:c>
      <x:c r="I35" s="11" t="str">
        <x:v>negative</x:v>
      </x:c>
      <x:c r="J35" s="18" t="n">
        <x:v>0.86</x:v>
      </x:c>
      <x:c r="K35" s="11" t="str">
        <x:v>Dava ve marka anlaşmazlığı şirketler için hukuki risk oluşturur.</x:v>
      </x:c>
      <x:c r="L35" s="11" t="str">
        <x:f>IF($F35=$I35,"same","different_review")</x:f>
        <x:v>same</x:v>
      </x:c>
      <x:c r="M35" s="11" t="str">
        <x:v>FinBERT ile aynı.</x:v>
      </x:c>
    </x:row>
    <x:row r="36" ht="48" customHeight="1">
      <x:c r="A36" s="11" t="str">
        <x:v>REUTERS_ANN_00335</x:v>
      </x:c>
      <x:c r="B36" s="14" t="n">
        <x:v>39149</x:v>
      </x:c>
      <x:c r="C36" s="11" t="str">
        <x:v>gap february same-store sales fall</x:v>
      </x:c>
      <x:c r="D36" s="11" t="str">
        <x:v>Gap'in Şubat ayı aynı mağaza satışları düştü.</x:v>
      </x:c>
      <x:c r="E36" s="11" t="n">
        <x:v>-1</x:v>
      </x:c>
      <x:c r="F36" s="11" t="str">
        <x:v>negative</x:v>
      </x:c>
      <x:c r="G36" s="16" t="n">
        <x:v>0.9757079482078552</x:v>
      </x:c>
      <x:c r="H36" s="11" t="n">
        <x:v>-1</x:v>
      </x:c>
      <x:c r="I36" s="11" t="str">
        <x:v>negative</x:v>
      </x:c>
      <x:c r="J36" s="18" t="n">
        <x:v>0.94</x:v>
      </x:c>
      <x:c r="K36" s="11" t="str">
        <x:v>Aynı mağaza satışlarındaki düşüş perakende performansı için olumsuzdur.</x:v>
      </x:c>
      <x:c r="L36" s="11" t="str">
        <x:f>IF($F36=$I36,"same","different_review")</x:f>
        <x:v>same</x:v>
      </x:c>
      <x:c r="M36" s="11" t="str">
        <x:v>FinBERT ile aynı.</x:v>
      </x:c>
    </x:row>
    <x:row r="37" ht="48" customHeight="1">
      <x:c r="A37" s="11" t="str">
        <x:v>REUTERS_ANN_00336</x:v>
      </x:c>
      <x:c r="B37" s="14" t="n">
        <x:v>39064</x:v>
      </x:c>
      <x:c r="C37" s="11" t="str">
        <x:v>opec oil cut already tightening world market iea</x:v>
      </x:c>
      <x:c r="D37" s="11" t="str">
        <x:v>IEA'ya göre OPEC'in petrol kesintisi dünya piyasasını şimdiden sıkılaştırıyor.</x:v>
      </x:c>
      <x:c r="E37" s="11" t="n">
        <x:v>-1</x:v>
      </x:c>
      <x:c r="F37" s="11" t="str">
        <x:v>negative</x:v>
      </x:c>
      <x:c r="G37" s="16" t="n">
        <x:v>0.946061670780182</x:v>
      </x:c>
      <x:c r="H37" s="11" t="n">
        <x:v>-1</x:v>
      </x:c>
      <x:c r="I37" s="11" t="str">
        <x:v>negative</x:v>
      </x:c>
      <x:c r="J37" s="18" t="n">
        <x:v>0.7</x:v>
      </x:c>
      <x:c r="K37" s="11" t="str">
        <x:v>Arz sıkılaşması ve petrol fiyat baskısı geniş piyasa için maliyet ve enflasyon riski taşır.</x:v>
      </x:c>
      <x:c r="L37" s="11" t="str">
        <x:f>IF($F37=$I37,"same","different_review")</x:f>
        <x:v>same</x:v>
      </x:c>
      <x:c r="M37" s="11" t="str">
        <x:v>FinBERT ile aynı.</x:v>
      </x:c>
    </x:row>
    <x:row r="38" ht="48" customHeight="1">
      <x:c r="A38" s="11" t="str">
        <x:v>REUTERS_ANN_00337</x:v>
      </x:c>
      <x:c r="B38" s="14" t="n">
        <x:v>39199</x:v>
      </x:c>
      <x:c r="C38" s="11" t="str">
        <x:v>menu foods says chemnutra statement wrong</x:v>
      </x:c>
      <x:c r="D38" s="11" t="str">
        <x:v>Menu Foods, ChemNutra'nın açıklamasının yanlış olduğunu söylüyor.</x:v>
      </x:c>
      <x:c r="E38" s="11" t="n">
        <x:v>-1</x:v>
      </x:c>
      <x:c r="F38" s="11" t="str">
        <x:v>negative</x:v>
      </x:c>
      <x:c r="G38" s="16" t="n">
        <x:v>0.8907449841499329</x:v>
      </x:c>
      <x:c r="H38" s="11" t="n">
        <x:v>-1</x:v>
      </x:c>
      <x:c r="I38" s="11" t="str">
        <x:v>negative</x:v>
      </x:c>
      <x:c r="J38" s="18" t="n">
        <x:v>0.74</x:v>
      </x:c>
      <x:c r="K38" s="11" t="str">
        <x:v>Gıda/tedarik zinciri tartışması ve karşılıklı suçlama itibar ve dava riski doğurur.</x:v>
      </x:c>
      <x:c r="L38" s="11" t="str">
        <x:f>IF($F38=$I38,"same","different_review")</x:f>
        <x:v>same</x:v>
      </x:c>
      <x:c r="M38" s="11" t="str">
        <x:v>FinBERT ile aynı.</x:v>
      </x:c>
    </x:row>
    <x:row r="39" ht="48" customHeight="1">
      <x:c r="A39" s="11" t="str">
        <x:v>REUTERS_ANN_00338</x:v>
      </x:c>
      <x:c r="B39" s="14" t="n">
        <x:v>39030</x:v>
      </x:c>
      <x:c r="C39" s="11" t="str">
        <x:v>fiat auto raises 2006 profit goal</x:v>
      </x:c>
      <x:c r="D39" s="11" t="str">
        <x:v>Fiat Auto 2006 kâr hedefini yükseltti.</x:v>
      </x:c>
      <x:c r="E39" s="11" t="n">
        <x:v>-1</x:v>
      </x:c>
      <x:c r="F39" s="11" t="str">
        <x:v>negative</x:v>
      </x:c>
      <x:c r="G39" s="16" t="n">
        <x:v>0.9601287245750428</x:v>
      </x:c>
      <x:c r="H39" s="11" t="n">
        <x:v>1</x:v>
      </x:c>
      <x:c r="I39" s="11" t="str">
        <x:v>positive</x:v>
      </x:c>
      <x:c r="J39" s="18" t="n">
        <x:v>0.94</x:v>
      </x:c>
      <x:c r="K39" s="11" t="str">
        <x:v>Kâr hedefinin yükseltilmesi şirket performansı açısından açık olumlu sinyaldir.</x:v>
      </x:c>
      <x:c r="L39" s="11" t="str">
        <x:f>IF($F39=$I39,"same","different_review")</x:f>
        <x:v>different_review</x:v>
      </x:c>
      <x:c r="M39" s="11" t="str">
        <x:v>FinBERT negative demiş; benim etiketim positive. Manuel kontrolde bu satır gözden geçirilebilir.</x:v>
      </x:c>
    </x:row>
    <x:row r="40" ht="48" customHeight="1">
      <x:c r="A40" s="11" t="str">
        <x:v>REUTERS_ANN_00339</x:v>
      </x:c>
      <x:c r="B40" s="14" t="n">
        <x:v>39181</x:v>
      </x:c>
      <x:c r="C40" s="11" t="str">
        <x:v>mortgage bond prepayments increase</x:v>
      </x:c>
      <x:c r="D40" s="11" t="str">
        <x:v>Mortgage tahvillerinde erken ödeme oranları artıyor.</x:v>
      </x:c>
      <x:c r="E40" s="11" t="n">
        <x:v>1</x:v>
      </x:c>
      <x:c r="F40" s="11" t="str">
        <x:v>positive</x:v>
      </x:c>
      <x:c r="G40" s="16" t="n">
        <x:v>0.9467016458511353</x:v>
      </x:c>
      <x:c r="H40" s="11" t="n">
        <x:v>0</x:v>
      </x:c>
      <x:c r="I40" s="11" t="str">
        <x:v>neutral</x:v>
      </x:c>
      <x:c r="J40" s="18" t="n">
        <x:v>0.58</x:v>
      </x:c>
      <x:c r="K40" s="11" t="str">
        <x:v>Erken ödeme artışı yatırımcı türüne göre farklı etki yaratabilir; yön tek başına net değil.</x:v>
      </x:c>
      <x:c r="L40" s="11" t="str">
        <x:f>IF($F40=$I40,"same","different_review")</x:f>
        <x:v>different_review</x:v>
      </x:c>
      <x:c r="M40" s="11" t="str">
        <x:v>FinBERT positive demiş; benim etiketim neutral. Manuel kontrolde bu satır gözden geçirilebilir.</x:v>
      </x:c>
    </x:row>
    <x:row r="41" ht="48" customHeight="1">
      <x:c r="A41" s="11" t="str">
        <x:v>REUTERS_ANN_00340</x:v>
      </x:c>
      <x:c r="B41" s="14" t="n">
        <x:v>39162</x:v>
      </x:c>
      <x:c r="C41" s="11" t="str">
        <x:v>motorola warns of q1 loss</x:v>
      </x:c>
      <x:c r="D41" s="11" t="str">
        <x:v>Motorola birinci çeyrekte zarar uyarısı yaptı.</x:v>
      </x:c>
      <x:c r="E41" s="11" t="n">
        <x:v>-1</x:v>
      </x:c>
      <x:c r="F41" s="11" t="str">
        <x:v>negative</x:v>
      </x:c>
      <x:c r="G41" s="16" t="n">
        <x:v>0.9676351547241212</x:v>
      </x:c>
      <x:c r="H41" s="11" t="n">
        <x:v>-1</x:v>
      </x:c>
      <x:c r="I41" s="11" t="str">
        <x:v>negative</x:v>
      </x:c>
      <x:c r="J41" s="18" t="n">
        <x:v>0.96</x:v>
      </x:c>
      <x:c r="K41" s="11" t="str">
        <x:v>Zarar uyarısı şirket beklentileri açısından açık olumsuzdur.</x:v>
      </x:c>
      <x:c r="L41" s="11" t="str">
        <x:f>IF($F41=$I41,"same","different_review")</x:f>
        <x:v>same</x:v>
      </x:c>
      <x:c r="M41" s="11" t="str">
        <x:v>FinBERT ile aynı.</x:v>
      </x:c>
    </x:row>
    <x:row r="42" ht="48" customHeight="1">
      <x:c r="A42" s="11" t="str">
        <x:v>REUTERS_ANN_00341</x:v>
      </x:c>
      <x:c r="B42" s="14" t="n">
        <x:v>39202</x:v>
      </x:c>
      <x:c r="C42" s="11" t="str">
        <x:v>yahoo to buy rest of right media for $680 mln</x:v>
      </x:c>
      <x:c r="D42" s="11" t="str">
        <x:v>Yahoo, Right Media'nın kalan kısmını 680 milyon dolara satın alacak.</x:v>
      </x:c>
      <x:c r="E42" s="11" t="n">
        <x:v>1</x:v>
      </x:c>
      <x:c r="F42" s="11" t="str">
        <x:v>positive</x:v>
      </x:c>
      <x:c r="G42" s="16" t="n">
        <x:v>0.5647250413894653</x:v>
      </x:c>
      <x:c r="H42" s="11" t="n">
        <x:v>0</x:v>
      </x:c>
      <x:c r="I42" s="11" t="str">
        <x:v>neutral</x:v>
      </x:c>
      <x:c r="J42" s="18" t="n">
        <x:v>0.68</x:v>
      </x:c>
      <x:c r="K42" s="11" t="str">
        <x:v>Satın alma stratejik olabilir ancak finansal etkisi başlıkta net değil.</x:v>
      </x:c>
      <x:c r="L42" s="11" t="str">
        <x:f>IF($F42=$I42,"same","different_review")</x:f>
        <x:v>different_review</x:v>
      </x:c>
      <x:c r="M42" s="11" t="str">
        <x:v>FinBERT positive demiş; benim etiketim neutral. Manuel kontrolde bu satır gözden geçirilebilir.</x:v>
      </x:c>
    </x:row>
    <x:row r="43" ht="48" customHeight="1">
      <x:c r="A43" s="11" t="str">
        <x:v>REUTERS_ANN_00342</x:v>
      </x:c>
      <x:c r="B43" s="14" t="n">
        <x:v>39198</x:v>
      </x:c>
      <x:c r="C43" s="11" t="str">
        <x:v>starwood first-quarter profit rises</x:v>
      </x:c>
      <x:c r="D43" s="11" t="str">
        <x:v>Starwood'un birinci çeyrek kârı arttı.</x:v>
      </x:c>
      <x:c r="E43" s="11" t="n">
        <x:v>1</x:v>
      </x:c>
      <x:c r="F43" s="11" t="str">
        <x:v>positive</x:v>
      </x:c>
      <x:c r="G43" s="16" t="n">
        <x:v>0.9511613845825196</x:v>
      </x:c>
      <x:c r="H43" s="11" t="n">
        <x:v>1</x:v>
      </x:c>
      <x:c r="I43" s="11" t="str">
        <x:v>positive</x:v>
      </x:c>
      <x:c r="J43" s="18" t="n">
        <x:v>0.92</x:v>
      </x:c>
      <x:c r="K43" s="11" t="str">
        <x:v>Kâr artışı doğrudan olumlu finansal sinyaldir.</x:v>
      </x:c>
      <x:c r="L43" s="11" t="str">
        <x:f>IF($F43=$I43,"same","different_review")</x:f>
        <x:v>same</x:v>
      </x:c>
      <x:c r="M43" s="11" t="str">
        <x:v>FinBERT ile aynı.</x:v>
      </x:c>
    </x:row>
    <x:row r="44" ht="48" customHeight="1">
      <x:c r="A44" s="11" t="str">
        <x:v>REUTERS_ANN_00343</x:v>
      </x:c>
      <x:c r="B44" s="14" t="n">
        <x:v>39141</x:v>
      </x:c>
      <x:c r="C44" s="11" t="str">
        <x:v>chronology-airbus grapples with restructuring after a380 woes</x:v>
      </x:c>
      <x:c r="D44" s="11" t="str">
        <x:v>Kronoloji: Airbus, A380 sorunlarının ardından yeniden yapılanmayla boğuşuyor.</x:v>
      </x:c>
      <x:c r="E44" s="11" t="n">
        <x:v>-1</x:v>
      </x:c>
      <x:c r="F44" s="11" t="str">
        <x:v>negative</x:v>
      </x:c>
      <x:c r="G44" s="16" t="n">
        <x:v>0.7433944940567017</x:v>
      </x:c>
      <x:c r="H44" s="11" t="n">
        <x:v>-1</x:v>
      </x:c>
      <x:c r="I44" s="11" t="str">
        <x:v>negative</x:v>
      </x:c>
      <x:c r="J44" s="18" t="n">
        <x:v>0.88</x:v>
      </x:c>
      <x:c r="K44" s="11" t="str">
        <x:v>A380 sorunları ve yeniden yapılanma baskısı operasyonel zorluk ve maliyet riski gösterir.</x:v>
      </x:c>
      <x:c r="L44" s="11" t="str">
        <x:f>IF($F44=$I44,"same","different_review")</x:f>
        <x:v>same</x:v>
      </x:c>
      <x:c r="M44" s="11" t="str">
        <x:v>FinBERT ile aynı.</x:v>
      </x:c>
    </x:row>
    <x:row r="45" ht="48" customHeight="1">
      <x:c r="A45" s="11" t="str">
        <x:v>REUTERS_ANN_00344</x:v>
      </x:c>
      <x:c r="B45" s="14" t="n">
        <x:v>39035</x:v>
      </x:c>
      <x:c r="C45" s="11" t="str">
        <x:v>internet ad potential underestimated yahoo ceo</x:v>
      </x:c>
      <x:c r="D45" s="11" t="str">
        <x:v>Yahoo CEO'suna göre internet reklam potansiyeli hafife alınıyor.</x:v>
      </x:c>
      <x:c r="E45" s="11" t="n">
        <x:v>0</x:v>
      </x:c>
      <x:c r="F45" s="11" t="str">
        <x:v>neutral</x:v>
      </x:c>
      <x:c r="G45" s="16" t="n">
        <x:v>0.8712888360023499</x:v>
      </x:c>
      <x:c r="H45" s="11" t="n">
        <x:v>1</x:v>
      </x:c>
      <x:c r="I45" s="11" t="str">
        <x:v>positive</x:v>
      </x:c>
      <x:c r="J45" s="18" t="n">
        <x:v>0.72</x:v>
      </x:c>
      <x:c r="K45" s="11" t="str">
        <x:v>Sektör potansiyelinin yüksek görülmesi büyüme beklentisi açısından olumlu kabul edilir.</x:v>
      </x:c>
      <x:c r="L45" s="11" t="str">
        <x:f>IF($F45=$I45,"same","different_review")</x:f>
        <x:v>different_review</x:v>
      </x:c>
      <x:c r="M45" s="11" t="str">
        <x:v>FinBERT neutral demiş; benim etiketim positive. Manuel kontrolde bu satır gözden geçirilebilir.</x:v>
      </x:c>
    </x:row>
    <x:row r="46" ht="48" customHeight="1">
      <x:c r="A46" s="11" t="str">
        <x:v>REUTERS_ANN_00345</x:v>
      </x:c>
      <x:c r="B46" s="14" t="n">
        <x:v>39091</x:v>
      </x:c>
      <x:c r="C46" s="11" t="str">
        <x:v>u.s. economy moving upward, greenspan quoted as saying</x:v>
      </x:c>
      <x:c r="D46" s="11" t="str">
        <x:v>Greenspan'ın aktarıldığına göre ABD ekonomisi yukarı yönlü ilerliyor.</x:v>
      </x:c>
      <x:c r="E46" s="11" t="n">
        <x:v>1</x:v>
      </x:c>
      <x:c r="F46" s="11" t="str">
        <x:v>positive</x:v>
      </x:c>
      <x:c r="G46" s="16" t="n">
        <x:v>0.8240138292312622</x:v>
      </x:c>
      <x:c r="H46" s="11" t="n">
        <x:v>1</x:v>
      </x:c>
      <x:c r="I46" s="11" t="str">
        <x:v>positive</x:v>
      </x:c>
      <x:c r="J46" s="18" t="n">
        <x:v>0.88</x:v>
      </x:c>
      <x:c r="K46" s="11" t="str">
        <x:v>Ekonominin yukarı yönlü hareket ettiği ifadesi makro piyasa açısından olumludur.</x:v>
      </x:c>
      <x:c r="L46" s="11" t="str">
        <x:f>IF($F46=$I46,"same","different_review")</x:f>
        <x:v>same</x:v>
      </x:c>
      <x:c r="M46" s="11" t="str">
        <x:v>FinBERT ile aynı.</x:v>
      </x:c>
    </x:row>
    <x:row r="47" ht="48" customHeight="1">
      <x:c r="A47" s="11" t="str">
        <x:v>REUTERS_ANN_00346</x:v>
      </x:c>
      <x:c r="B47" s="14" t="n">
        <x:v>39028</x:v>
      </x:c>
      <x:c r="C47" s="11" t="str">
        <x:v>toyota sees higher 2006/07 global sales</x:v>
      </x:c>
      <x:c r="D47" s="11" t="str">
        <x:v>Toyota 2006/07 küresel satışlarının daha yüksek olmasını bekliyor.</x:v>
      </x:c>
      <x:c r="E47" s="11" t="n">
        <x:v>1</x:v>
      </x:c>
      <x:c r="F47" s="11" t="str">
        <x:v>positive</x:v>
      </x:c>
      <x:c r="G47" s="16" t="n">
        <x:v>0.954133927822113</x:v>
      </x:c>
      <x:c r="H47" s="11" t="n">
        <x:v>1</x:v>
      </x:c>
      <x:c r="I47" s="11" t="str">
        <x:v>positive</x:v>
      </x:c>
      <x:c r="J47" s="18" t="n">
        <x:v>0.94</x:v>
      </x:c>
      <x:c r="K47" s="11" t="str">
        <x:v>Satış artışı beklentisi şirket performansı için açık olumlu sinyaldir.</x:v>
      </x:c>
      <x:c r="L47" s="11" t="str">
        <x:f>IF($F47=$I47,"same","different_review")</x:f>
        <x:v>same</x:v>
      </x:c>
      <x:c r="M47" s="11" t="str">
        <x:v>FinBERT ile aynı.</x:v>
      </x:c>
    </x:row>
    <x:row r="48" ht="48" customHeight="1">
      <x:c r="A48" s="11" t="str">
        <x:v>REUTERS_ANN_00347</x:v>
      </x:c>
      <x:c r="B48" s="14" t="n">
        <x:v>39114</x:v>
      </x:c>
      <x:c r="C48" s="11" t="str">
        <x:v>adm posts record quarterly profit</x:v>
      </x:c>
      <x:c r="D48" s="11" t="str">
        <x:v>ADM rekor çeyreklik kâr açıkladı.</x:v>
      </x:c>
      <x:c r="E48" s="11" t="n">
        <x:v>1</x:v>
      </x:c>
      <x:c r="F48" s="11" t="str">
        <x:v>positive</x:v>
      </x:c>
      <x:c r="G48" s="16" t="n">
        <x:v>0.946560561656952</x:v>
      </x:c>
      <x:c r="H48" s="11" t="n">
        <x:v>1</x:v>
      </x:c>
      <x:c r="I48" s="11" t="str">
        <x:v>positive</x:v>
      </x:c>
      <x:c r="J48" s="18" t="n">
        <x:v>0.96</x:v>
      </x:c>
      <x:c r="K48" s="11" t="str">
        <x:v>Rekor kâr doğrudan güçlü finansal performans gösterir.</x:v>
      </x:c>
      <x:c r="L48" s="11" t="str">
        <x:f>IF($F48=$I48,"same","different_review")</x:f>
        <x:v>same</x:v>
      </x:c>
      <x:c r="M48" s="11" t="str">
        <x:v>FinBERT ile aynı.</x:v>
      </x:c>
    </x:row>
    <x:row r="49" ht="48" customHeight="1">
      <x:c r="A49" s="11" t="str">
        <x:v>REUTERS_ANN_00348</x:v>
      </x:c>
      <x:c r="B49" s="14" t="n">
        <x:v>39156</x:v>
      </x:c>
      <x:c r="C49" s="11" t="str">
        <x:v>ice bid prompts questions on cboe exercise rights</x:v>
      </x:c>
      <x:c r="D49" s="11" t="str">
        <x:v>ICE teklifi, CBOE kullanım hakları hakkında soru işaretleri doğurdu.</x:v>
      </x:c>
      <x:c r="E49" s="11" t="n">
        <x:v>0</x:v>
      </x:c>
      <x:c r="F49" s="11" t="str">
        <x:v>neutral</x:v>
      </x:c>
      <x:c r="G49" s="16" t="n">
        <x:v>0.7016353607177734</x:v>
      </x:c>
      <x:c r="H49" s="11" t="n">
        <x:v>0</x:v>
      </x:c>
      <x:c r="I49" s="11" t="str">
        <x:v>neutral</x:v>
      </x:c>
      <x:c r="J49" s="18" t="n">
        <x:v>0.62</x:v>
      </x:c>
      <x:c r="K49" s="11" t="str">
        <x:v>Teklif ve haklar konusunda belirsizlik var; yönlü finansal etki net değil.</x:v>
      </x:c>
      <x:c r="L49" s="11" t="str">
        <x:f>IF($F49=$I49,"same","different_review")</x:f>
        <x:v>same</x:v>
      </x:c>
      <x:c r="M49" s="11" t="str">
        <x:v>FinBERT ile aynı.</x:v>
      </x:c>
    </x:row>
    <x:row r="50" ht="48" customHeight="1">
      <x:c r="A50" s="11" t="str">
        <x:v>REUTERS_ANN_00349</x:v>
      </x:c>
      <x:c r="B50" s="14" t="n">
        <x:v>39160</x:v>
      </x:c>
      <x:c r="C50" s="11" t="str">
        <x:v>abn amro says in exclusive merger talks with barclays</x:v>
      </x:c>
      <x:c r="D50" s="11" t="str">
        <x:v>ABN Amro, Barclays ile özel birleşme görüşmelerinde olduğunu söyledi.</x:v>
      </x:c>
      <x:c r="E50" s="11" t="n">
        <x:v>0</x:v>
      </x:c>
      <x:c r="F50" s="11" t="str">
        <x:v>neutral</x:v>
      </x:c>
      <x:c r="G50" s="16" t="n">
        <x:v>0.6748239398002625</x:v>
      </x:c>
      <x:c r="H50" s="11" t="n">
        <x:v>0</x:v>
      </x:c>
      <x:c r="I50" s="11" t="str">
        <x:v>neutral</x:v>
      </x:c>
      <x:c r="J50" s="18" t="n">
        <x:v>0.7</x:v>
      </x:c>
      <x:c r="K50" s="11" t="str">
        <x:v>Birleşme görüşmesi haberi; anlaşmanın değeri veya etkisi başlıkta netleşmiyor.</x:v>
      </x:c>
      <x:c r="L50" s="11" t="str">
        <x:f>IF($F50=$I50,"same","different_review")</x:f>
        <x:v>same</x:v>
      </x:c>
      <x:c r="M50" s="11" t="str">
        <x:v>FinBERT ile aynı.</x:v>
      </x:c>
    </x:row>
    <x:row r="51" ht="48" customHeight="1">
      <x:c r="A51" s="11" t="str">
        <x:v>REUTERS_ANN_00350</x:v>
      </x:c>
      <x:c r="B51" s="14" t="n">
        <x:v>39064</x:v>
      </x:c>
      <x:c r="C51" s="11" t="str">
        <x:v>continental, ual union says would defend rights</x:v>
      </x:c>
      <x:c r="D51" s="11" t="str">
        <x:v>Continental ve UAL sendikası haklarını savunacağını söylüyor.</x:v>
      </x:c>
      <x:c r="E51" s="11" t="n">
        <x:v>0</x:v>
      </x:c>
      <x:c r="F51" s="11" t="str">
        <x:v>neutral</x:v>
      </x:c>
      <x:c r="G51" s="16" t="n">
        <x:v>0.6746951341629028</x:v>
      </x:c>
      <x:c r="H51" s="11" t="n">
        <x:v>-1</x:v>
      </x:c>
      <x:c r="I51" s="11" t="str">
        <x:v>negative</x:v>
      </x:c>
      <x:c r="J51" s="18" t="n">
        <x:v>0.6</x:v>
      </x:c>
      <x:c r="K51" s="11" t="str">
        <x:v>Sendikanın hak savunma vurgusu potansiyel işgücü gerilimi ve belirsizlik yaratır.</x:v>
      </x:c>
      <x:c r="L51" s="11" t="str">
        <x:f>IF($F51=$I51,"same","different_review")</x:f>
        <x:v>different_review</x:v>
      </x:c>
      <x:c r="M51" s="11" t="str">
        <x:v>FinBERT neutral demiş; benim etiketim negative. Manuel kontrolde bu satır gözden geçirilebilir.</x:v>
      </x:c>
    </x:row>
  </x:sheetData>
  <x:conditionalFormatting sqref="I2:I51">
    <x:cfRule type="expression" dxfId="0" priority="1">
      <x:formula>I2="positive"</x:formula>
    </x:cfRule>
    <x:cfRule type="expression" dxfId="1" priority="2">
      <x:formula>I2="negative"</x:formula>
    </x:cfRule>
    <x:cfRule type="expression" dxfId="2" priority="3">
      <x:formula>I2="neutral"</x:formula>
    </x:cfRule>
  </x:conditionalFormatting>
  <x:conditionalFormatting sqref="L2:L51">
    <x:cfRule type="expression" dxfId="3" priority="4">
      <x:formula>L2="different_review"</x:formula>
    </x:cfRule>
  </x:conditionalFormatting>
  <x:dataValidations count="3">
    <x:dataValidation type="list" sqref="I2:I51">
      <x:formula1>"negative,neutral,positive"</x:formula1>
    </x:dataValidation>
    <x:dataValidation type="list" sqref="H2:H51">
      <x:formula1>"-1,0,1"</x:formula1>
    </x:dataValidation>
    <x:dataValidation type="list" sqref="L2:L51">
      <x:formula1>"same,different_review"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9454fcc17b48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</x:cols>
  <x:sheetData>
    <x:row r="1">
      <x:c r="A1" s="21" t="str">
        <x:v>REUTERS ANNOTATION BATCH 007 - Summary</x:v>
      </x:c>
      <x:c r="B1" s="21"/>
      <x:c r="C1" s="21"/>
      <x:c r="D1" s="21"/>
    </x:row>
    <x:row r="3">
      <x:c r="A3" s="5" t="str">
        <x:v>Metric</x:v>
      </x:c>
      <x:c r="B3" s="5" t="str">
        <x:v>Value</x:v>
      </x:c>
    </x:row>
    <x:row r="4">
      <x:c r="A4" t="str">
        <x:v>Total rows</x:v>
      </x:c>
      <x:c r="B4" t="n">
        <x:v>50</x:v>
      </x:c>
    </x:row>
    <x:row r="5">
      <x:c r="A5" t="str">
        <x:v>ChatGPT positive</x:v>
      </x:c>
      <x:c r="B5" t="n">
        <x:f>COUNTIF(Annotations!$I:$I,"positive")</x:f>
        <x:v>20</x:v>
      </x:c>
    </x:row>
    <x:row r="6">
      <x:c r="A6" t="str">
        <x:v>ChatGPT neutral</x:v>
      </x:c>
      <x:c r="B6" t="n">
        <x:f>COUNTIF(Annotations!$I:$I,"neutral")</x:f>
        <x:v>13</x:v>
      </x:c>
    </x:row>
    <x:row r="7">
      <x:c r="A7" t="str">
        <x:v>ChatGPT negative</x:v>
      </x:c>
      <x:c r="B7" t="n">
        <x:f>COUNTIF(Annotations!$I:$I,"negative")</x:f>
        <x:v>17</x:v>
      </x:c>
    </x:row>
    <x:row r="8">
      <x:c r="A8" t="str">
        <x:v>FinBERT same</x:v>
      </x:c>
      <x:c r="B8" t="n">
        <x:f>COUNTIF(Annotations!$L:$L,"same")</x:f>
        <x:v>35</x:v>
      </x:c>
    </x:row>
    <x:row r="10">
      <x:c r="A10" s="5" t="str">
        <x:v>ChatGPT label</x:v>
      </x:c>
      <x:c r="B10" s="5" t="str">
        <x:v>Count</x:v>
      </x:c>
      <x:c r="C10" s="5" t="str">
        <x:v>Share</x:v>
      </x:c>
    </x:row>
    <x:row r="11">
      <x:c r="A11" t="str">
        <x:v>positive</x:v>
      </x:c>
      <x:c r="B11" t="n">
        <x:f>COUNTIF(Annotations!$I:$I,A11)</x:f>
        <x:v>20</x:v>
      </x:c>
      <x:c r="C11" s="24" t="n">
        <x:f>B11/$B$4</x:f>
        <x:v>0.4</x:v>
      </x:c>
    </x:row>
    <x:row r="12">
      <x:c r="A12" t="str">
        <x:v>neutral</x:v>
      </x:c>
      <x:c r="B12" t="n">
        <x:f>COUNTIF(Annotations!$I:$I,A12)</x:f>
        <x:v>13</x:v>
      </x:c>
      <x:c r="C12" s="24" t="n">
        <x:f>B12/$B$4</x:f>
        <x:v>0.26</x:v>
      </x:c>
    </x:row>
    <x:row r="13">
      <x:c r="A13" t="str">
        <x:v>negative</x:v>
      </x:c>
      <x:c r="B13" t="n">
        <x:f>COUNTIF(Annotations!$I:$I,A13)</x:f>
        <x:v>17</x:v>
      </x:c>
      <x:c r="C13" s="24" t="n">
        <x:f>B13/$B$4</x:f>
        <x:v>0.34</x:v>
      </x:c>
    </x:row>
    <x:row r="14">
      <x:c r="A14" t="str">
        <x:v>different_review</x:v>
      </x:c>
      <x:c r="B14" t="n">
        <x:f>COUNTIF(Annotations!$L:$L,A14)</x:f>
        <x:v>15</x:v>
      </x:c>
      <x:c r="C14" s="24" t="n">
        <x:f>B14/$B$4</x:f>
        <x:v>0.3</x:v>
      </x:c>
    </x:row>
    <x:row r="16">
      <x:c r="A16" s="27" t="str">
        <x:v>Not: Etiketleme, haber başlığının yatırım/piyasa açısından baskın kısa vadeli finansal sinyaline göre yapılmıştır.</x:v>
      </x:c>
      <x:c r="B16" s="27"/>
      <x:c r="C16" s="27"/>
    </x:row>
  </x:sheetData>
  <x:pageMargins left="0.7" right="0.7" top="0.75" bottom="0.75" header="0.3" footer="0.3"/>
</x:worksheet>
</file>